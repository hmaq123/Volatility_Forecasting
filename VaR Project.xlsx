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sh\Desktop\Projects\"/>
    </mc:Choice>
  </mc:AlternateContent>
  <xr:revisionPtr revIDLastSave="0" documentId="13_ncr:1_{A813FE98-C552-4186-9774-EEC5DE3E8E46}" xr6:coauthVersionLast="47" xr6:coauthVersionMax="47" xr10:uidLastSave="{00000000-0000-0000-0000-000000000000}"/>
  <bookViews>
    <workbookView xWindow="-108" yWindow="-108" windowWidth="23256" windowHeight="12456" tabRatio="700" xr2:uid="{5DC603FF-96D9-42CA-ADB6-AB98D2AE5109}"/>
  </bookViews>
  <sheets>
    <sheet name="Summary Table" sheetId="11" r:id="rId1"/>
    <sheet name="Variance Covariance" sheetId="1" r:id="rId2"/>
    <sheet name="Historical Simulation" sheetId="8" r:id="rId3"/>
    <sheet name="Monte Carlo Simulation" sheetId="9" r:id="rId4"/>
    <sheet name="Backtesting (Traffic Light)" sheetId="12" r:id="rId5"/>
    <sheet name="Backtesting (Kupiec)" sheetId="13" r:id="rId6"/>
    <sheet name="Data" sheetId="7" r:id="rId7"/>
  </sheets>
  <definedNames>
    <definedName name="_xlchart.v1.0" hidden="1">'Historical Simulation'!$W$3</definedName>
    <definedName name="_xlchart.v1.1" hidden="1">'Historical Simulation'!$W$4:$W$254</definedName>
    <definedName name="_xlchart.v1.2" hidden="1">'Monte Carlo Simulation'!$U$6</definedName>
    <definedName name="_xlchart.v1.3" hidden="1">'Monte Carlo Simulation'!$U$7:$U$1005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1" l="1"/>
  <c r="E23" i="11"/>
  <c r="C23" i="11"/>
  <c r="D22" i="11"/>
  <c r="E22" i="11"/>
  <c r="C22" i="11"/>
  <c r="D21" i="11"/>
  <c r="E21" i="11"/>
  <c r="C21" i="11"/>
  <c r="D20" i="11"/>
  <c r="E20" i="11"/>
  <c r="C20" i="11"/>
  <c r="D19" i="11"/>
  <c r="E19" i="11"/>
  <c r="C19" i="11"/>
  <c r="D18" i="11"/>
  <c r="E18" i="11"/>
  <c r="C18" i="11"/>
  <c r="C14" i="11"/>
  <c r="C13" i="11"/>
  <c r="C12" i="11"/>
  <c r="L11" i="13"/>
  <c r="L11" i="12"/>
  <c r="Z7" i="9" l="1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Z105" i="9"/>
  <c r="Z106" i="9"/>
  <c r="Z107" i="9"/>
  <c r="Z108" i="9"/>
  <c r="Z109" i="9"/>
  <c r="Z110" i="9"/>
  <c r="Z111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Z133" i="9"/>
  <c r="Z134" i="9"/>
  <c r="Z135" i="9"/>
  <c r="Z136" i="9"/>
  <c r="Z137" i="9"/>
  <c r="Z138" i="9"/>
  <c r="Z139" i="9"/>
  <c r="Z140" i="9"/>
  <c r="Z141" i="9"/>
  <c r="Z142" i="9"/>
  <c r="Z143" i="9"/>
  <c r="Z144" i="9"/>
  <c r="Z145" i="9"/>
  <c r="Z146" i="9"/>
  <c r="Z147" i="9"/>
  <c r="Z148" i="9"/>
  <c r="Z149" i="9"/>
  <c r="Z150" i="9"/>
  <c r="Z151" i="9"/>
  <c r="Z152" i="9"/>
  <c r="Z153" i="9"/>
  <c r="Z154" i="9"/>
  <c r="Z155" i="9"/>
  <c r="Z156" i="9"/>
  <c r="Z157" i="9"/>
  <c r="Z158" i="9"/>
  <c r="Z159" i="9"/>
  <c r="Z160" i="9"/>
  <c r="Z161" i="9"/>
  <c r="Z162" i="9"/>
  <c r="Z163" i="9"/>
  <c r="Z164" i="9"/>
  <c r="Z165" i="9"/>
  <c r="Z166" i="9"/>
  <c r="Z167" i="9"/>
  <c r="Z168" i="9"/>
  <c r="Z169" i="9"/>
  <c r="Z170" i="9"/>
  <c r="Z171" i="9"/>
  <c r="Z172" i="9"/>
  <c r="Z173" i="9"/>
  <c r="Z174" i="9"/>
  <c r="Z175" i="9"/>
  <c r="Z176" i="9"/>
  <c r="Z177" i="9"/>
  <c r="Z178" i="9"/>
  <c r="Z179" i="9"/>
  <c r="Z180" i="9"/>
  <c r="Z181" i="9"/>
  <c r="Z182" i="9"/>
  <c r="Z183" i="9"/>
  <c r="Z184" i="9"/>
  <c r="Z185" i="9"/>
  <c r="Z186" i="9"/>
  <c r="Z187" i="9"/>
  <c r="Z188" i="9"/>
  <c r="Z189" i="9"/>
  <c r="Z190" i="9"/>
  <c r="Z191" i="9"/>
  <c r="Z192" i="9"/>
  <c r="Z193" i="9"/>
  <c r="Z194" i="9"/>
  <c r="Z195" i="9"/>
  <c r="Z196" i="9"/>
  <c r="Z197" i="9"/>
  <c r="Z198" i="9"/>
  <c r="Z199" i="9"/>
  <c r="Z200" i="9"/>
  <c r="Z201" i="9"/>
  <c r="Z202" i="9"/>
  <c r="Z203" i="9"/>
  <c r="Z204" i="9"/>
  <c r="Z205" i="9"/>
  <c r="Z206" i="9"/>
  <c r="Z207" i="9"/>
  <c r="Z208" i="9"/>
  <c r="Z209" i="9"/>
  <c r="Z210" i="9"/>
  <c r="Z211" i="9"/>
  <c r="Z212" i="9"/>
  <c r="Z213" i="9"/>
  <c r="Z214" i="9"/>
  <c r="Z215" i="9"/>
  <c r="Z216" i="9"/>
  <c r="Z217" i="9"/>
  <c r="Z218" i="9"/>
  <c r="Z219" i="9"/>
  <c r="Z220" i="9"/>
  <c r="Z221" i="9"/>
  <c r="Z222" i="9"/>
  <c r="Z223" i="9"/>
  <c r="Z224" i="9"/>
  <c r="Z225" i="9"/>
  <c r="Z226" i="9"/>
  <c r="Z227" i="9"/>
  <c r="Z228" i="9"/>
  <c r="Z229" i="9"/>
  <c r="Z230" i="9"/>
  <c r="Z231" i="9"/>
  <c r="Z232" i="9"/>
  <c r="Z233" i="9"/>
  <c r="Z234" i="9"/>
  <c r="Z235" i="9"/>
  <c r="Z236" i="9"/>
  <c r="Z237" i="9"/>
  <c r="Z238" i="9"/>
  <c r="Z239" i="9"/>
  <c r="Z240" i="9"/>
  <c r="Z241" i="9"/>
  <c r="Z242" i="9"/>
  <c r="Z243" i="9"/>
  <c r="Z244" i="9"/>
  <c r="Z245" i="9"/>
  <c r="Z246" i="9"/>
  <c r="Z247" i="9"/>
  <c r="Z248" i="9"/>
  <c r="Z249" i="9"/>
  <c r="Z250" i="9"/>
  <c r="Z251" i="9"/>
  <c r="Z252" i="9"/>
  <c r="Z253" i="9"/>
  <c r="Z254" i="9"/>
  <c r="Z255" i="9"/>
  <c r="Z256" i="9"/>
  <c r="Z257" i="9"/>
  <c r="Z258" i="9"/>
  <c r="Z259" i="9"/>
  <c r="Z260" i="9"/>
  <c r="Z261" i="9"/>
  <c r="Z262" i="9"/>
  <c r="Z263" i="9"/>
  <c r="Z264" i="9"/>
  <c r="Z265" i="9"/>
  <c r="Z266" i="9"/>
  <c r="Z267" i="9"/>
  <c r="Z268" i="9"/>
  <c r="Z269" i="9"/>
  <c r="Z270" i="9"/>
  <c r="Z271" i="9"/>
  <c r="Z272" i="9"/>
  <c r="Z273" i="9"/>
  <c r="Z274" i="9"/>
  <c r="Z275" i="9"/>
  <c r="Z276" i="9"/>
  <c r="Z277" i="9"/>
  <c r="Z278" i="9"/>
  <c r="Z279" i="9"/>
  <c r="Z280" i="9"/>
  <c r="Z281" i="9"/>
  <c r="Z282" i="9"/>
  <c r="Z283" i="9"/>
  <c r="Z284" i="9"/>
  <c r="Z285" i="9"/>
  <c r="Z286" i="9"/>
  <c r="Z287" i="9"/>
  <c r="Z288" i="9"/>
  <c r="Z289" i="9"/>
  <c r="Z290" i="9"/>
  <c r="Z291" i="9"/>
  <c r="Z292" i="9"/>
  <c r="Z293" i="9"/>
  <c r="Z294" i="9"/>
  <c r="Z295" i="9"/>
  <c r="Z296" i="9"/>
  <c r="Z297" i="9"/>
  <c r="Z298" i="9"/>
  <c r="Z299" i="9"/>
  <c r="Z300" i="9"/>
  <c r="Z301" i="9"/>
  <c r="Z302" i="9"/>
  <c r="Z303" i="9"/>
  <c r="Z304" i="9"/>
  <c r="Z305" i="9"/>
  <c r="Z306" i="9"/>
  <c r="Z307" i="9"/>
  <c r="Z308" i="9"/>
  <c r="Z309" i="9"/>
  <c r="Z310" i="9"/>
  <c r="Z311" i="9"/>
  <c r="Z312" i="9"/>
  <c r="Z313" i="9"/>
  <c r="Z314" i="9"/>
  <c r="Z315" i="9"/>
  <c r="Z316" i="9"/>
  <c r="Z317" i="9"/>
  <c r="Z318" i="9"/>
  <c r="Z319" i="9"/>
  <c r="Z320" i="9"/>
  <c r="Z321" i="9"/>
  <c r="Z322" i="9"/>
  <c r="Z323" i="9"/>
  <c r="Z324" i="9"/>
  <c r="Z325" i="9"/>
  <c r="Z326" i="9"/>
  <c r="Z327" i="9"/>
  <c r="Z328" i="9"/>
  <c r="Z329" i="9"/>
  <c r="Z330" i="9"/>
  <c r="Z331" i="9"/>
  <c r="Z332" i="9"/>
  <c r="Z333" i="9"/>
  <c r="Z334" i="9"/>
  <c r="Z335" i="9"/>
  <c r="Z336" i="9"/>
  <c r="Z337" i="9"/>
  <c r="Z338" i="9"/>
  <c r="Z339" i="9"/>
  <c r="Z340" i="9"/>
  <c r="Z341" i="9"/>
  <c r="Z342" i="9"/>
  <c r="Z343" i="9"/>
  <c r="Z344" i="9"/>
  <c r="Z345" i="9"/>
  <c r="Z346" i="9"/>
  <c r="Z347" i="9"/>
  <c r="Z348" i="9"/>
  <c r="Z349" i="9"/>
  <c r="Z350" i="9"/>
  <c r="Z351" i="9"/>
  <c r="Z352" i="9"/>
  <c r="Z353" i="9"/>
  <c r="Z354" i="9"/>
  <c r="Z355" i="9"/>
  <c r="Z356" i="9"/>
  <c r="Z357" i="9"/>
  <c r="Z358" i="9"/>
  <c r="Z359" i="9"/>
  <c r="Z360" i="9"/>
  <c r="Z361" i="9"/>
  <c r="Z362" i="9"/>
  <c r="Z363" i="9"/>
  <c r="Z364" i="9"/>
  <c r="Z365" i="9"/>
  <c r="Z366" i="9"/>
  <c r="Z367" i="9"/>
  <c r="Z368" i="9"/>
  <c r="Z369" i="9"/>
  <c r="Z370" i="9"/>
  <c r="Z371" i="9"/>
  <c r="Z372" i="9"/>
  <c r="Z373" i="9"/>
  <c r="Z374" i="9"/>
  <c r="Z375" i="9"/>
  <c r="Z376" i="9"/>
  <c r="Z377" i="9"/>
  <c r="Z378" i="9"/>
  <c r="Z379" i="9"/>
  <c r="Z380" i="9"/>
  <c r="Z381" i="9"/>
  <c r="Z382" i="9"/>
  <c r="Z383" i="9"/>
  <c r="Z384" i="9"/>
  <c r="Z385" i="9"/>
  <c r="Z386" i="9"/>
  <c r="Z387" i="9"/>
  <c r="Z388" i="9"/>
  <c r="Z389" i="9"/>
  <c r="Z390" i="9"/>
  <c r="Z391" i="9"/>
  <c r="Z392" i="9"/>
  <c r="Z393" i="9"/>
  <c r="Z394" i="9"/>
  <c r="Z395" i="9"/>
  <c r="Z396" i="9"/>
  <c r="Z397" i="9"/>
  <c r="Z398" i="9"/>
  <c r="Z399" i="9"/>
  <c r="Z400" i="9"/>
  <c r="Z401" i="9"/>
  <c r="Z402" i="9"/>
  <c r="Z403" i="9"/>
  <c r="Z404" i="9"/>
  <c r="Z405" i="9"/>
  <c r="Z406" i="9"/>
  <c r="Z407" i="9"/>
  <c r="Z408" i="9"/>
  <c r="Z409" i="9"/>
  <c r="Z410" i="9"/>
  <c r="Z411" i="9"/>
  <c r="Z412" i="9"/>
  <c r="Z413" i="9"/>
  <c r="Z414" i="9"/>
  <c r="Z415" i="9"/>
  <c r="Z416" i="9"/>
  <c r="Z417" i="9"/>
  <c r="Z418" i="9"/>
  <c r="Z419" i="9"/>
  <c r="Z420" i="9"/>
  <c r="Z421" i="9"/>
  <c r="Z422" i="9"/>
  <c r="Z423" i="9"/>
  <c r="Z424" i="9"/>
  <c r="Z425" i="9"/>
  <c r="Z426" i="9"/>
  <c r="Z427" i="9"/>
  <c r="Z428" i="9"/>
  <c r="Z429" i="9"/>
  <c r="Z430" i="9"/>
  <c r="Z431" i="9"/>
  <c r="Z432" i="9"/>
  <c r="Z433" i="9"/>
  <c r="Z434" i="9"/>
  <c r="Z435" i="9"/>
  <c r="Z436" i="9"/>
  <c r="Z437" i="9"/>
  <c r="Z438" i="9"/>
  <c r="Z439" i="9"/>
  <c r="Z440" i="9"/>
  <c r="Z441" i="9"/>
  <c r="Z442" i="9"/>
  <c r="Z443" i="9"/>
  <c r="Z444" i="9"/>
  <c r="Z445" i="9"/>
  <c r="Z446" i="9"/>
  <c r="Z447" i="9"/>
  <c r="Z448" i="9"/>
  <c r="Z449" i="9"/>
  <c r="Z450" i="9"/>
  <c r="Z451" i="9"/>
  <c r="Z452" i="9"/>
  <c r="Z453" i="9"/>
  <c r="Z454" i="9"/>
  <c r="Z455" i="9"/>
  <c r="Z456" i="9"/>
  <c r="Z457" i="9"/>
  <c r="Z458" i="9"/>
  <c r="Z459" i="9"/>
  <c r="Z460" i="9"/>
  <c r="Z461" i="9"/>
  <c r="Z462" i="9"/>
  <c r="Z463" i="9"/>
  <c r="Z464" i="9"/>
  <c r="Z465" i="9"/>
  <c r="Z466" i="9"/>
  <c r="Z467" i="9"/>
  <c r="Z468" i="9"/>
  <c r="Z469" i="9"/>
  <c r="Z470" i="9"/>
  <c r="Z471" i="9"/>
  <c r="Z472" i="9"/>
  <c r="Z473" i="9"/>
  <c r="Z474" i="9"/>
  <c r="Z475" i="9"/>
  <c r="Z476" i="9"/>
  <c r="Z477" i="9"/>
  <c r="Z478" i="9"/>
  <c r="Z479" i="9"/>
  <c r="Z480" i="9"/>
  <c r="Z481" i="9"/>
  <c r="Z482" i="9"/>
  <c r="Z483" i="9"/>
  <c r="Z484" i="9"/>
  <c r="Z485" i="9"/>
  <c r="Z486" i="9"/>
  <c r="Z487" i="9"/>
  <c r="Z488" i="9"/>
  <c r="Z489" i="9"/>
  <c r="Z490" i="9"/>
  <c r="Z491" i="9"/>
  <c r="Z492" i="9"/>
  <c r="Z493" i="9"/>
  <c r="Z494" i="9"/>
  <c r="Z495" i="9"/>
  <c r="Z496" i="9"/>
  <c r="Z497" i="9"/>
  <c r="Z498" i="9"/>
  <c r="Z499" i="9"/>
  <c r="Z500" i="9"/>
  <c r="Z501" i="9"/>
  <c r="Z502" i="9"/>
  <c r="Z503" i="9"/>
  <c r="Z504" i="9"/>
  <c r="Z505" i="9"/>
  <c r="Z506" i="9"/>
  <c r="Z507" i="9"/>
  <c r="Z508" i="9"/>
  <c r="Z509" i="9"/>
  <c r="Z510" i="9"/>
  <c r="Z511" i="9"/>
  <c r="Z512" i="9"/>
  <c r="Z513" i="9"/>
  <c r="Z514" i="9"/>
  <c r="Z515" i="9"/>
  <c r="Z516" i="9"/>
  <c r="Z517" i="9"/>
  <c r="Z518" i="9"/>
  <c r="Z519" i="9"/>
  <c r="Z520" i="9"/>
  <c r="Z521" i="9"/>
  <c r="Z522" i="9"/>
  <c r="Z523" i="9"/>
  <c r="Z524" i="9"/>
  <c r="Z525" i="9"/>
  <c r="Z526" i="9"/>
  <c r="Z527" i="9"/>
  <c r="Z528" i="9"/>
  <c r="Z529" i="9"/>
  <c r="Z530" i="9"/>
  <c r="Z531" i="9"/>
  <c r="Z532" i="9"/>
  <c r="Z533" i="9"/>
  <c r="Z534" i="9"/>
  <c r="Z535" i="9"/>
  <c r="Z536" i="9"/>
  <c r="Z537" i="9"/>
  <c r="Z538" i="9"/>
  <c r="Z539" i="9"/>
  <c r="Z540" i="9"/>
  <c r="Z541" i="9"/>
  <c r="Z542" i="9"/>
  <c r="Z543" i="9"/>
  <c r="Z544" i="9"/>
  <c r="Z545" i="9"/>
  <c r="Z546" i="9"/>
  <c r="Z547" i="9"/>
  <c r="Z548" i="9"/>
  <c r="Z549" i="9"/>
  <c r="Z550" i="9"/>
  <c r="Z551" i="9"/>
  <c r="Z552" i="9"/>
  <c r="Z553" i="9"/>
  <c r="Z554" i="9"/>
  <c r="Z555" i="9"/>
  <c r="Z556" i="9"/>
  <c r="Z557" i="9"/>
  <c r="Z558" i="9"/>
  <c r="Z559" i="9"/>
  <c r="Z560" i="9"/>
  <c r="Z561" i="9"/>
  <c r="Z562" i="9"/>
  <c r="Z563" i="9"/>
  <c r="Z564" i="9"/>
  <c r="Z565" i="9"/>
  <c r="Z566" i="9"/>
  <c r="Z567" i="9"/>
  <c r="Z568" i="9"/>
  <c r="Z569" i="9"/>
  <c r="Z570" i="9"/>
  <c r="Z571" i="9"/>
  <c r="Z572" i="9"/>
  <c r="Z573" i="9"/>
  <c r="Z574" i="9"/>
  <c r="Z575" i="9"/>
  <c r="Z576" i="9"/>
  <c r="Z577" i="9"/>
  <c r="Z578" i="9"/>
  <c r="Z579" i="9"/>
  <c r="Z580" i="9"/>
  <c r="Z581" i="9"/>
  <c r="Z582" i="9"/>
  <c r="Z583" i="9"/>
  <c r="Z584" i="9"/>
  <c r="Z585" i="9"/>
  <c r="Z586" i="9"/>
  <c r="Z587" i="9"/>
  <c r="Z588" i="9"/>
  <c r="Z589" i="9"/>
  <c r="Z590" i="9"/>
  <c r="Z591" i="9"/>
  <c r="Z592" i="9"/>
  <c r="Z593" i="9"/>
  <c r="Z594" i="9"/>
  <c r="Z595" i="9"/>
  <c r="Z596" i="9"/>
  <c r="Z597" i="9"/>
  <c r="Z598" i="9"/>
  <c r="Z599" i="9"/>
  <c r="Z600" i="9"/>
  <c r="Z601" i="9"/>
  <c r="Z602" i="9"/>
  <c r="Z603" i="9"/>
  <c r="Z604" i="9"/>
  <c r="Z605" i="9"/>
  <c r="Z606" i="9"/>
  <c r="Z607" i="9"/>
  <c r="Z608" i="9"/>
  <c r="Z609" i="9"/>
  <c r="Z610" i="9"/>
  <c r="Z611" i="9"/>
  <c r="Z612" i="9"/>
  <c r="Z613" i="9"/>
  <c r="Z614" i="9"/>
  <c r="Z615" i="9"/>
  <c r="Z616" i="9"/>
  <c r="Z617" i="9"/>
  <c r="Z618" i="9"/>
  <c r="Z619" i="9"/>
  <c r="Z620" i="9"/>
  <c r="Z621" i="9"/>
  <c r="Z622" i="9"/>
  <c r="Z623" i="9"/>
  <c r="Z624" i="9"/>
  <c r="Z625" i="9"/>
  <c r="Z626" i="9"/>
  <c r="Z627" i="9"/>
  <c r="Z628" i="9"/>
  <c r="Z629" i="9"/>
  <c r="Z630" i="9"/>
  <c r="Z631" i="9"/>
  <c r="Z632" i="9"/>
  <c r="Z633" i="9"/>
  <c r="Z634" i="9"/>
  <c r="Z635" i="9"/>
  <c r="Z636" i="9"/>
  <c r="Z637" i="9"/>
  <c r="Z638" i="9"/>
  <c r="Z639" i="9"/>
  <c r="Z640" i="9"/>
  <c r="Z641" i="9"/>
  <c r="Z642" i="9"/>
  <c r="Z643" i="9"/>
  <c r="Z644" i="9"/>
  <c r="Z645" i="9"/>
  <c r="Z646" i="9"/>
  <c r="Z647" i="9"/>
  <c r="Z648" i="9"/>
  <c r="Z649" i="9"/>
  <c r="Z650" i="9"/>
  <c r="Z651" i="9"/>
  <c r="Z652" i="9"/>
  <c r="Z653" i="9"/>
  <c r="Z654" i="9"/>
  <c r="Z655" i="9"/>
  <c r="Z656" i="9"/>
  <c r="Z657" i="9"/>
  <c r="Z658" i="9"/>
  <c r="Z659" i="9"/>
  <c r="Z660" i="9"/>
  <c r="Z661" i="9"/>
  <c r="Z662" i="9"/>
  <c r="Z663" i="9"/>
  <c r="Z664" i="9"/>
  <c r="Z665" i="9"/>
  <c r="Z666" i="9"/>
  <c r="Z667" i="9"/>
  <c r="Z668" i="9"/>
  <c r="Z669" i="9"/>
  <c r="Z670" i="9"/>
  <c r="Z671" i="9"/>
  <c r="Z672" i="9"/>
  <c r="Z673" i="9"/>
  <c r="Z674" i="9"/>
  <c r="Z675" i="9"/>
  <c r="Z676" i="9"/>
  <c r="Z677" i="9"/>
  <c r="Z678" i="9"/>
  <c r="Z679" i="9"/>
  <c r="Z680" i="9"/>
  <c r="Z681" i="9"/>
  <c r="Z682" i="9"/>
  <c r="Z683" i="9"/>
  <c r="Z684" i="9"/>
  <c r="Z685" i="9"/>
  <c r="Z686" i="9"/>
  <c r="Z687" i="9"/>
  <c r="Z688" i="9"/>
  <c r="Z689" i="9"/>
  <c r="Z690" i="9"/>
  <c r="Z691" i="9"/>
  <c r="Z692" i="9"/>
  <c r="Z693" i="9"/>
  <c r="Z694" i="9"/>
  <c r="Z695" i="9"/>
  <c r="Z696" i="9"/>
  <c r="Z697" i="9"/>
  <c r="Z698" i="9"/>
  <c r="Z699" i="9"/>
  <c r="Z700" i="9"/>
  <c r="Z701" i="9"/>
  <c r="Z702" i="9"/>
  <c r="Z703" i="9"/>
  <c r="Z704" i="9"/>
  <c r="Z705" i="9"/>
  <c r="Z706" i="9"/>
  <c r="Z707" i="9"/>
  <c r="Z708" i="9"/>
  <c r="Z709" i="9"/>
  <c r="Z710" i="9"/>
  <c r="Z711" i="9"/>
  <c r="Z712" i="9"/>
  <c r="Z713" i="9"/>
  <c r="Z714" i="9"/>
  <c r="Z715" i="9"/>
  <c r="Z716" i="9"/>
  <c r="Z717" i="9"/>
  <c r="Z718" i="9"/>
  <c r="Z719" i="9"/>
  <c r="Z720" i="9"/>
  <c r="Z721" i="9"/>
  <c r="Z722" i="9"/>
  <c r="Z723" i="9"/>
  <c r="Z724" i="9"/>
  <c r="Z725" i="9"/>
  <c r="Z726" i="9"/>
  <c r="Z727" i="9"/>
  <c r="Z728" i="9"/>
  <c r="Z729" i="9"/>
  <c r="Z730" i="9"/>
  <c r="Z731" i="9"/>
  <c r="Z732" i="9"/>
  <c r="Z733" i="9"/>
  <c r="Z734" i="9"/>
  <c r="Z735" i="9"/>
  <c r="Z736" i="9"/>
  <c r="Z737" i="9"/>
  <c r="Z738" i="9"/>
  <c r="Z739" i="9"/>
  <c r="Z740" i="9"/>
  <c r="Z741" i="9"/>
  <c r="Z742" i="9"/>
  <c r="Z743" i="9"/>
  <c r="Z744" i="9"/>
  <c r="Z745" i="9"/>
  <c r="Z746" i="9"/>
  <c r="Z747" i="9"/>
  <c r="Z748" i="9"/>
  <c r="Z749" i="9"/>
  <c r="Z750" i="9"/>
  <c r="Z751" i="9"/>
  <c r="Z752" i="9"/>
  <c r="Z753" i="9"/>
  <c r="Z754" i="9"/>
  <c r="Z755" i="9"/>
  <c r="Z756" i="9"/>
  <c r="Z757" i="9"/>
  <c r="Z758" i="9"/>
  <c r="Z759" i="9"/>
  <c r="Z760" i="9"/>
  <c r="Z761" i="9"/>
  <c r="Z762" i="9"/>
  <c r="Z763" i="9"/>
  <c r="Z764" i="9"/>
  <c r="Z765" i="9"/>
  <c r="Z766" i="9"/>
  <c r="Z767" i="9"/>
  <c r="Z768" i="9"/>
  <c r="Z769" i="9"/>
  <c r="Z770" i="9"/>
  <c r="Z771" i="9"/>
  <c r="Z772" i="9"/>
  <c r="Z773" i="9"/>
  <c r="Z774" i="9"/>
  <c r="Z775" i="9"/>
  <c r="Z776" i="9"/>
  <c r="Z777" i="9"/>
  <c r="Z778" i="9"/>
  <c r="Z779" i="9"/>
  <c r="Z780" i="9"/>
  <c r="Z781" i="9"/>
  <c r="Z782" i="9"/>
  <c r="Z783" i="9"/>
  <c r="Z784" i="9"/>
  <c r="Z785" i="9"/>
  <c r="Z786" i="9"/>
  <c r="Z787" i="9"/>
  <c r="Z788" i="9"/>
  <c r="Z789" i="9"/>
  <c r="Z790" i="9"/>
  <c r="Z791" i="9"/>
  <c r="Z792" i="9"/>
  <c r="Z793" i="9"/>
  <c r="Z794" i="9"/>
  <c r="Z795" i="9"/>
  <c r="Z796" i="9"/>
  <c r="Z797" i="9"/>
  <c r="Z798" i="9"/>
  <c r="Z799" i="9"/>
  <c r="Z800" i="9"/>
  <c r="Z801" i="9"/>
  <c r="Z802" i="9"/>
  <c r="Z803" i="9"/>
  <c r="Z804" i="9"/>
  <c r="Z805" i="9"/>
  <c r="Z806" i="9"/>
  <c r="Z807" i="9"/>
  <c r="Z808" i="9"/>
  <c r="Z809" i="9"/>
  <c r="Z810" i="9"/>
  <c r="Z811" i="9"/>
  <c r="Z812" i="9"/>
  <c r="Z813" i="9"/>
  <c r="Z814" i="9"/>
  <c r="Z815" i="9"/>
  <c r="Z816" i="9"/>
  <c r="Z817" i="9"/>
  <c r="Z818" i="9"/>
  <c r="Z819" i="9"/>
  <c r="Z820" i="9"/>
  <c r="Z821" i="9"/>
  <c r="Z822" i="9"/>
  <c r="Z823" i="9"/>
  <c r="Z824" i="9"/>
  <c r="Z825" i="9"/>
  <c r="Z826" i="9"/>
  <c r="Z827" i="9"/>
  <c r="Z828" i="9"/>
  <c r="Z829" i="9"/>
  <c r="Z830" i="9"/>
  <c r="Z831" i="9"/>
  <c r="Z832" i="9"/>
  <c r="Z833" i="9"/>
  <c r="Z834" i="9"/>
  <c r="Z835" i="9"/>
  <c r="Z836" i="9"/>
  <c r="Z837" i="9"/>
  <c r="Z838" i="9"/>
  <c r="Z839" i="9"/>
  <c r="Z840" i="9"/>
  <c r="Z841" i="9"/>
  <c r="Z842" i="9"/>
  <c r="Z843" i="9"/>
  <c r="Z844" i="9"/>
  <c r="Z845" i="9"/>
  <c r="Z846" i="9"/>
  <c r="Z847" i="9"/>
  <c r="Z848" i="9"/>
  <c r="Z849" i="9"/>
  <c r="Z850" i="9"/>
  <c r="Z851" i="9"/>
  <c r="Z852" i="9"/>
  <c r="Z853" i="9"/>
  <c r="Z854" i="9"/>
  <c r="Z855" i="9"/>
  <c r="Z856" i="9"/>
  <c r="Z857" i="9"/>
  <c r="Z858" i="9"/>
  <c r="Z859" i="9"/>
  <c r="Z860" i="9"/>
  <c r="Z861" i="9"/>
  <c r="Z862" i="9"/>
  <c r="Z863" i="9"/>
  <c r="Z864" i="9"/>
  <c r="Z865" i="9"/>
  <c r="Z866" i="9"/>
  <c r="Z867" i="9"/>
  <c r="Z868" i="9"/>
  <c r="Z869" i="9"/>
  <c r="Z870" i="9"/>
  <c r="Z871" i="9"/>
  <c r="Z872" i="9"/>
  <c r="Z873" i="9"/>
  <c r="Z874" i="9"/>
  <c r="Z875" i="9"/>
  <c r="Z876" i="9"/>
  <c r="Z877" i="9"/>
  <c r="Z878" i="9"/>
  <c r="Z879" i="9"/>
  <c r="Z880" i="9"/>
  <c r="Z881" i="9"/>
  <c r="Z882" i="9"/>
  <c r="Z883" i="9"/>
  <c r="Z884" i="9"/>
  <c r="Z885" i="9"/>
  <c r="Z886" i="9"/>
  <c r="Z887" i="9"/>
  <c r="Z888" i="9"/>
  <c r="Z889" i="9"/>
  <c r="Z890" i="9"/>
  <c r="Z891" i="9"/>
  <c r="Z892" i="9"/>
  <c r="Z893" i="9"/>
  <c r="Z894" i="9"/>
  <c r="Z895" i="9"/>
  <c r="Z896" i="9"/>
  <c r="Z897" i="9"/>
  <c r="Z898" i="9"/>
  <c r="Z899" i="9"/>
  <c r="Z900" i="9"/>
  <c r="Z901" i="9"/>
  <c r="Z902" i="9"/>
  <c r="Z903" i="9"/>
  <c r="Z904" i="9"/>
  <c r="Z905" i="9"/>
  <c r="Z906" i="9"/>
  <c r="Z907" i="9"/>
  <c r="Z908" i="9"/>
  <c r="Z909" i="9"/>
  <c r="Z910" i="9"/>
  <c r="Z911" i="9"/>
  <c r="Z912" i="9"/>
  <c r="Z913" i="9"/>
  <c r="Z914" i="9"/>
  <c r="Z915" i="9"/>
  <c r="Z916" i="9"/>
  <c r="Z917" i="9"/>
  <c r="Z918" i="9"/>
  <c r="Z919" i="9"/>
  <c r="Z920" i="9"/>
  <c r="Z921" i="9"/>
  <c r="Z922" i="9"/>
  <c r="Z923" i="9"/>
  <c r="Z924" i="9"/>
  <c r="Z925" i="9"/>
  <c r="Z926" i="9"/>
  <c r="Z927" i="9"/>
  <c r="Z928" i="9"/>
  <c r="Z929" i="9"/>
  <c r="Z930" i="9"/>
  <c r="Z931" i="9"/>
  <c r="Z932" i="9"/>
  <c r="Z933" i="9"/>
  <c r="Z934" i="9"/>
  <c r="Z935" i="9"/>
  <c r="Z936" i="9"/>
  <c r="Z937" i="9"/>
  <c r="Z938" i="9"/>
  <c r="Z939" i="9"/>
  <c r="Z940" i="9"/>
  <c r="Z941" i="9"/>
  <c r="Z942" i="9"/>
  <c r="Z943" i="9"/>
  <c r="Z944" i="9"/>
  <c r="Z945" i="9"/>
  <c r="Z946" i="9"/>
  <c r="Z947" i="9"/>
  <c r="Z948" i="9"/>
  <c r="Z949" i="9"/>
  <c r="Z950" i="9"/>
  <c r="Z951" i="9"/>
  <c r="Z952" i="9"/>
  <c r="Z953" i="9"/>
  <c r="Z954" i="9"/>
  <c r="Z955" i="9"/>
  <c r="Z956" i="9"/>
  <c r="Z957" i="9"/>
  <c r="Z958" i="9"/>
  <c r="Z959" i="9"/>
  <c r="Z960" i="9"/>
  <c r="Z961" i="9"/>
  <c r="Z962" i="9"/>
  <c r="Z963" i="9"/>
  <c r="Z964" i="9"/>
  <c r="Z965" i="9"/>
  <c r="Z966" i="9"/>
  <c r="Z967" i="9"/>
  <c r="Z968" i="9"/>
  <c r="Z969" i="9"/>
  <c r="Z970" i="9"/>
  <c r="Z971" i="9"/>
  <c r="Z972" i="9"/>
  <c r="Z973" i="9"/>
  <c r="Z974" i="9"/>
  <c r="Z975" i="9"/>
  <c r="Z976" i="9"/>
  <c r="Z977" i="9"/>
  <c r="Z978" i="9"/>
  <c r="Z979" i="9"/>
  <c r="Z980" i="9"/>
  <c r="Z981" i="9"/>
  <c r="Z982" i="9"/>
  <c r="Z983" i="9"/>
  <c r="Z984" i="9"/>
  <c r="Z985" i="9"/>
  <c r="Z986" i="9"/>
  <c r="Z987" i="9"/>
  <c r="Z988" i="9"/>
  <c r="Z989" i="9"/>
  <c r="Z990" i="9"/>
  <c r="Z991" i="9"/>
  <c r="Z992" i="9"/>
  <c r="Z993" i="9"/>
  <c r="Z994" i="9"/>
  <c r="Z995" i="9"/>
  <c r="Z996" i="9"/>
  <c r="Z997" i="9"/>
  <c r="Z998" i="9"/>
  <c r="Z999" i="9"/>
  <c r="Z1000" i="9"/>
  <c r="Z1001" i="9"/>
  <c r="Z1002" i="9"/>
  <c r="Z1003" i="9"/>
  <c r="Z1004" i="9"/>
  <c r="Z1005" i="9"/>
  <c r="Z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Y206" i="9"/>
  <c r="Y207" i="9"/>
  <c r="Y208" i="9"/>
  <c r="Y209" i="9"/>
  <c r="Y210" i="9"/>
  <c r="Y211" i="9"/>
  <c r="Y212" i="9"/>
  <c r="Y213" i="9"/>
  <c r="Y214" i="9"/>
  <c r="Y215" i="9"/>
  <c r="Y216" i="9"/>
  <c r="Y217" i="9"/>
  <c r="Y218" i="9"/>
  <c r="Y219" i="9"/>
  <c r="Y220" i="9"/>
  <c r="Y221" i="9"/>
  <c r="Y222" i="9"/>
  <c r="Y223" i="9"/>
  <c r="Y224" i="9"/>
  <c r="Y225" i="9"/>
  <c r="Y226" i="9"/>
  <c r="Y227" i="9"/>
  <c r="Y228" i="9"/>
  <c r="Y229" i="9"/>
  <c r="Y230" i="9"/>
  <c r="Y231" i="9"/>
  <c r="Y232" i="9"/>
  <c r="Y233" i="9"/>
  <c r="Y234" i="9"/>
  <c r="Y235" i="9"/>
  <c r="Y236" i="9"/>
  <c r="Y237" i="9"/>
  <c r="Y238" i="9"/>
  <c r="Y239" i="9"/>
  <c r="Y240" i="9"/>
  <c r="Y241" i="9"/>
  <c r="Y242" i="9"/>
  <c r="Y243" i="9"/>
  <c r="Y244" i="9"/>
  <c r="Y245" i="9"/>
  <c r="Y246" i="9"/>
  <c r="Y247" i="9"/>
  <c r="Y248" i="9"/>
  <c r="Y249" i="9"/>
  <c r="Y250" i="9"/>
  <c r="Y251" i="9"/>
  <c r="Y252" i="9"/>
  <c r="Y253" i="9"/>
  <c r="Y254" i="9"/>
  <c r="Y255" i="9"/>
  <c r="Y256" i="9"/>
  <c r="Y257" i="9"/>
  <c r="Y258" i="9"/>
  <c r="Y259" i="9"/>
  <c r="Y260" i="9"/>
  <c r="Y261" i="9"/>
  <c r="Y262" i="9"/>
  <c r="Y263" i="9"/>
  <c r="Y264" i="9"/>
  <c r="Y265" i="9"/>
  <c r="Y266" i="9"/>
  <c r="Y267" i="9"/>
  <c r="Y268" i="9"/>
  <c r="Y269" i="9"/>
  <c r="Y270" i="9"/>
  <c r="Y271" i="9"/>
  <c r="Y272" i="9"/>
  <c r="Y273" i="9"/>
  <c r="Y274" i="9"/>
  <c r="Y275" i="9"/>
  <c r="Y276" i="9"/>
  <c r="Y277" i="9"/>
  <c r="Y278" i="9"/>
  <c r="Y279" i="9"/>
  <c r="Y280" i="9"/>
  <c r="Y281" i="9"/>
  <c r="Y282" i="9"/>
  <c r="Y283" i="9"/>
  <c r="Y284" i="9"/>
  <c r="Y285" i="9"/>
  <c r="Y286" i="9"/>
  <c r="Y287" i="9"/>
  <c r="Y288" i="9"/>
  <c r="Y289" i="9"/>
  <c r="Y290" i="9"/>
  <c r="Y291" i="9"/>
  <c r="Y292" i="9"/>
  <c r="Y293" i="9"/>
  <c r="Y294" i="9"/>
  <c r="Y295" i="9"/>
  <c r="Y296" i="9"/>
  <c r="Y297" i="9"/>
  <c r="Y298" i="9"/>
  <c r="Y299" i="9"/>
  <c r="Y300" i="9"/>
  <c r="Y301" i="9"/>
  <c r="Y302" i="9"/>
  <c r="Y303" i="9"/>
  <c r="Y304" i="9"/>
  <c r="Y305" i="9"/>
  <c r="Y306" i="9"/>
  <c r="Y307" i="9"/>
  <c r="Y308" i="9"/>
  <c r="Y309" i="9"/>
  <c r="Y310" i="9"/>
  <c r="Y311" i="9"/>
  <c r="Y312" i="9"/>
  <c r="Y313" i="9"/>
  <c r="Y314" i="9"/>
  <c r="Y315" i="9"/>
  <c r="Y316" i="9"/>
  <c r="Y317" i="9"/>
  <c r="Y318" i="9"/>
  <c r="Y319" i="9"/>
  <c r="Y320" i="9"/>
  <c r="Y321" i="9"/>
  <c r="Y322" i="9"/>
  <c r="Y323" i="9"/>
  <c r="Y324" i="9"/>
  <c r="Y325" i="9"/>
  <c r="Y326" i="9"/>
  <c r="Y327" i="9"/>
  <c r="Y328" i="9"/>
  <c r="Y329" i="9"/>
  <c r="Y330" i="9"/>
  <c r="Y331" i="9"/>
  <c r="Y332" i="9"/>
  <c r="Y333" i="9"/>
  <c r="Y334" i="9"/>
  <c r="Y335" i="9"/>
  <c r="Y336" i="9"/>
  <c r="Y337" i="9"/>
  <c r="Y338" i="9"/>
  <c r="Y339" i="9"/>
  <c r="Y340" i="9"/>
  <c r="Y341" i="9"/>
  <c r="Y342" i="9"/>
  <c r="Y343" i="9"/>
  <c r="Y344" i="9"/>
  <c r="Y345" i="9"/>
  <c r="Y346" i="9"/>
  <c r="Y347" i="9"/>
  <c r="Y348" i="9"/>
  <c r="Y349" i="9"/>
  <c r="Y350" i="9"/>
  <c r="Y351" i="9"/>
  <c r="Y352" i="9"/>
  <c r="Y353" i="9"/>
  <c r="Y354" i="9"/>
  <c r="Y355" i="9"/>
  <c r="Y356" i="9"/>
  <c r="Y357" i="9"/>
  <c r="Y358" i="9"/>
  <c r="Y359" i="9"/>
  <c r="Y360" i="9"/>
  <c r="Y361" i="9"/>
  <c r="Y362" i="9"/>
  <c r="Y363" i="9"/>
  <c r="Y364" i="9"/>
  <c r="Y365" i="9"/>
  <c r="Y366" i="9"/>
  <c r="Y367" i="9"/>
  <c r="Y368" i="9"/>
  <c r="Y369" i="9"/>
  <c r="Y370" i="9"/>
  <c r="Y371" i="9"/>
  <c r="Y372" i="9"/>
  <c r="Y373" i="9"/>
  <c r="Y374" i="9"/>
  <c r="Y375" i="9"/>
  <c r="Y376" i="9"/>
  <c r="Y377" i="9"/>
  <c r="Y378" i="9"/>
  <c r="Y379" i="9"/>
  <c r="Y380" i="9"/>
  <c r="Y381" i="9"/>
  <c r="Y382" i="9"/>
  <c r="Y383" i="9"/>
  <c r="Y384" i="9"/>
  <c r="Y385" i="9"/>
  <c r="Y386" i="9"/>
  <c r="Y387" i="9"/>
  <c r="Y388" i="9"/>
  <c r="Y389" i="9"/>
  <c r="Y390" i="9"/>
  <c r="Y391" i="9"/>
  <c r="Y392" i="9"/>
  <c r="Y393" i="9"/>
  <c r="Y394" i="9"/>
  <c r="Y395" i="9"/>
  <c r="Y396" i="9"/>
  <c r="Y397" i="9"/>
  <c r="Y398" i="9"/>
  <c r="Y399" i="9"/>
  <c r="Y400" i="9"/>
  <c r="Y401" i="9"/>
  <c r="Y402" i="9"/>
  <c r="Y403" i="9"/>
  <c r="Y404" i="9"/>
  <c r="Y405" i="9"/>
  <c r="Y406" i="9"/>
  <c r="Y407" i="9"/>
  <c r="Y408" i="9"/>
  <c r="Y409" i="9"/>
  <c r="Y410" i="9"/>
  <c r="Y411" i="9"/>
  <c r="Y412" i="9"/>
  <c r="Y413" i="9"/>
  <c r="Y414" i="9"/>
  <c r="Y415" i="9"/>
  <c r="Y416" i="9"/>
  <c r="Y417" i="9"/>
  <c r="Y418" i="9"/>
  <c r="Y419" i="9"/>
  <c r="Y420" i="9"/>
  <c r="Y421" i="9"/>
  <c r="Y422" i="9"/>
  <c r="Y423" i="9"/>
  <c r="Y424" i="9"/>
  <c r="Y425" i="9"/>
  <c r="Y426" i="9"/>
  <c r="Y427" i="9"/>
  <c r="Y428" i="9"/>
  <c r="Y429" i="9"/>
  <c r="Y430" i="9"/>
  <c r="Y431" i="9"/>
  <c r="Y432" i="9"/>
  <c r="Y433" i="9"/>
  <c r="Y434" i="9"/>
  <c r="Y435" i="9"/>
  <c r="Y436" i="9"/>
  <c r="Y437" i="9"/>
  <c r="Y438" i="9"/>
  <c r="Y439" i="9"/>
  <c r="Y440" i="9"/>
  <c r="Y441" i="9"/>
  <c r="Y442" i="9"/>
  <c r="Y443" i="9"/>
  <c r="Y444" i="9"/>
  <c r="Y445" i="9"/>
  <c r="Y446" i="9"/>
  <c r="Y447" i="9"/>
  <c r="Y448" i="9"/>
  <c r="Y449" i="9"/>
  <c r="Y450" i="9"/>
  <c r="Y451" i="9"/>
  <c r="Y452" i="9"/>
  <c r="Y453" i="9"/>
  <c r="Y454" i="9"/>
  <c r="Y455" i="9"/>
  <c r="Y456" i="9"/>
  <c r="Y457" i="9"/>
  <c r="Y458" i="9"/>
  <c r="Y459" i="9"/>
  <c r="Y460" i="9"/>
  <c r="Y461" i="9"/>
  <c r="Y462" i="9"/>
  <c r="Y463" i="9"/>
  <c r="Y464" i="9"/>
  <c r="Y465" i="9"/>
  <c r="Y466" i="9"/>
  <c r="Y467" i="9"/>
  <c r="Y468" i="9"/>
  <c r="Y469" i="9"/>
  <c r="Y470" i="9"/>
  <c r="Y471" i="9"/>
  <c r="Y472" i="9"/>
  <c r="Y473" i="9"/>
  <c r="Y474" i="9"/>
  <c r="Y475" i="9"/>
  <c r="Y476" i="9"/>
  <c r="Y477" i="9"/>
  <c r="Y478" i="9"/>
  <c r="Y479" i="9"/>
  <c r="Y480" i="9"/>
  <c r="Y481" i="9"/>
  <c r="Y482" i="9"/>
  <c r="Y483" i="9"/>
  <c r="Y484" i="9"/>
  <c r="Y485" i="9"/>
  <c r="Y486" i="9"/>
  <c r="Y487" i="9"/>
  <c r="Y488" i="9"/>
  <c r="Y489" i="9"/>
  <c r="Y490" i="9"/>
  <c r="Y491" i="9"/>
  <c r="Y492" i="9"/>
  <c r="Y493" i="9"/>
  <c r="Y494" i="9"/>
  <c r="Y495" i="9"/>
  <c r="Y496" i="9"/>
  <c r="Y497" i="9"/>
  <c r="Y498" i="9"/>
  <c r="Y499" i="9"/>
  <c r="Y500" i="9"/>
  <c r="Y501" i="9"/>
  <c r="Y502" i="9"/>
  <c r="Y503" i="9"/>
  <c r="Y504" i="9"/>
  <c r="Y505" i="9"/>
  <c r="Y506" i="9"/>
  <c r="Y507" i="9"/>
  <c r="Y508" i="9"/>
  <c r="Y509" i="9"/>
  <c r="Y510" i="9"/>
  <c r="Y511" i="9"/>
  <c r="Y512" i="9"/>
  <c r="Y513" i="9"/>
  <c r="Y514" i="9"/>
  <c r="Y515" i="9"/>
  <c r="Y516" i="9"/>
  <c r="Y517" i="9"/>
  <c r="Y518" i="9"/>
  <c r="Y519" i="9"/>
  <c r="Y520" i="9"/>
  <c r="Y521" i="9"/>
  <c r="Y522" i="9"/>
  <c r="Y523" i="9"/>
  <c r="Y524" i="9"/>
  <c r="Y525" i="9"/>
  <c r="Y526" i="9"/>
  <c r="Y527" i="9"/>
  <c r="Y528" i="9"/>
  <c r="Y529" i="9"/>
  <c r="Y530" i="9"/>
  <c r="Y531" i="9"/>
  <c r="Y532" i="9"/>
  <c r="Y533" i="9"/>
  <c r="Y534" i="9"/>
  <c r="Y535" i="9"/>
  <c r="Y536" i="9"/>
  <c r="Y537" i="9"/>
  <c r="Y538" i="9"/>
  <c r="Y539" i="9"/>
  <c r="Y540" i="9"/>
  <c r="Y541" i="9"/>
  <c r="Y542" i="9"/>
  <c r="Y543" i="9"/>
  <c r="Y544" i="9"/>
  <c r="Y545" i="9"/>
  <c r="Y546" i="9"/>
  <c r="Y547" i="9"/>
  <c r="Y548" i="9"/>
  <c r="Y549" i="9"/>
  <c r="Y550" i="9"/>
  <c r="Y551" i="9"/>
  <c r="Y552" i="9"/>
  <c r="Y553" i="9"/>
  <c r="Y554" i="9"/>
  <c r="Y555" i="9"/>
  <c r="Y556" i="9"/>
  <c r="Y557" i="9"/>
  <c r="Y558" i="9"/>
  <c r="Y559" i="9"/>
  <c r="Y560" i="9"/>
  <c r="Y561" i="9"/>
  <c r="Y562" i="9"/>
  <c r="Y563" i="9"/>
  <c r="Y564" i="9"/>
  <c r="Y565" i="9"/>
  <c r="Y566" i="9"/>
  <c r="Y567" i="9"/>
  <c r="Y568" i="9"/>
  <c r="Y569" i="9"/>
  <c r="Y570" i="9"/>
  <c r="Y571" i="9"/>
  <c r="Y572" i="9"/>
  <c r="Y573" i="9"/>
  <c r="Y574" i="9"/>
  <c r="Y575" i="9"/>
  <c r="Y576" i="9"/>
  <c r="Y577" i="9"/>
  <c r="Y578" i="9"/>
  <c r="Y579" i="9"/>
  <c r="Y580" i="9"/>
  <c r="Y581" i="9"/>
  <c r="Y582" i="9"/>
  <c r="Y583" i="9"/>
  <c r="Y584" i="9"/>
  <c r="Y585" i="9"/>
  <c r="Y586" i="9"/>
  <c r="Y587" i="9"/>
  <c r="Y588" i="9"/>
  <c r="Y589" i="9"/>
  <c r="Y590" i="9"/>
  <c r="Y591" i="9"/>
  <c r="Y592" i="9"/>
  <c r="Y593" i="9"/>
  <c r="Y594" i="9"/>
  <c r="Y595" i="9"/>
  <c r="Y596" i="9"/>
  <c r="Y597" i="9"/>
  <c r="Y598" i="9"/>
  <c r="Y599" i="9"/>
  <c r="Y600" i="9"/>
  <c r="Y601" i="9"/>
  <c r="Y602" i="9"/>
  <c r="Y603" i="9"/>
  <c r="Y604" i="9"/>
  <c r="Y605" i="9"/>
  <c r="Y606" i="9"/>
  <c r="Y607" i="9"/>
  <c r="Y608" i="9"/>
  <c r="Y609" i="9"/>
  <c r="Y610" i="9"/>
  <c r="Y611" i="9"/>
  <c r="Y612" i="9"/>
  <c r="Y613" i="9"/>
  <c r="Y614" i="9"/>
  <c r="Y615" i="9"/>
  <c r="Y616" i="9"/>
  <c r="Y617" i="9"/>
  <c r="Y618" i="9"/>
  <c r="Y619" i="9"/>
  <c r="Y620" i="9"/>
  <c r="Y621" i="9"/>
  <c r="Y622" i="9"/>
  <c r="Y623" i="9"/>
  <c r="Y624" i="9"/>
  <c r="Y625" i="9"/>
  <c r="Y626" i="9"/>
  <c r="Y627" i="9"/>
  <c r="Y628" i="9"/>
  <c r="Y629" i="9"/>
  <c r="Y630" i="9"/>
  <c r="Y631" i="9"/>
  <c r="Y632" i="9"/>
  <c r="Y633" i="9"/>
  <c r="Y634" i="9"/>
  <c r="Y635" i="9"/>
  <c r="Y636" i="9"/>
  <c r="Y637" i="9"/>
  <c r="Y638" i="9"/>
  <c r="Y639" i="9"/>
  <c r="Y640" i="9"/>
  <c r="Y641" i="9"/>
  <c r="Y642" i="9"/>
  <c r="Y643" i="9"/>
  <c r="Y644" i="9"/>
  <c r="Y645" i="9"/>
  <c r="Y646" i="9"/>
  <c r="Y647" i="9"/>
  <c r="Y648" i="9"/>
  <c r="Y649" i="9"/>
  <c r="Y650" i="9"/>
  <c r="Y651" i="9"/>
  <c r="Y652" i="9"/>
  <c r="Y653" i="9"/>
  <c r="Y654" i="9"/>
  <c r="Y655" i="9"/>
  <c r="Y656" i="9"/>
  <c r="Y657" i="9"/>
  <c r="Y658" i="9"/>
  <c r="Y659" i="9"/>
  <c r="Y660" i="9"/>
  <c r="Y661" i="9"/>
  <c r="Y662" i="9"/>
  <c r="Y663" i="9"/>
  <c r="Y664" i="9"/>
  <c r="Y665" i="9"/>
  <c r="Y666" i="9"/>
  <c r="Y667" i="9"/>
  <c r="Y668" i="9"/>
  <c r="Y669" i="9"/>
  <c r="Y670" i="9"/>
  <c r="Y671" i="9"/>
  <c r="Y672" i="9"/>
  <c r="Y673" i="9"/>
  <c r="Y674" i="9"/>
  <c r="Y675" i="9"/>
  <c r="Y676" i="9"/>
  <c r="Y677" i="9"/>
  <c r="Y678" i="9"/>
  <c r="Y679" i="9"/>
  <c r="Y680" i="9"/>
  <c r="Y681" i="9"/>
  <c r="Y682" i="9"/>
  <c r="Y683" i="9"/>
  <c r="Y684" i="9"/>
  <c r="Y685" i="9"/>
  <c r="Y686" i="9"/>
  <c r="Y687" i="9"/>
  <c r="Y688" i="9"/>
  <c r="Y689" i="9"/>
  <c r="Y690" i="9"/>
  <c r="Y691" i="9"/>
  <c r="Y692" i="9"/>
  <c r="Y693" i="9"/>
  <c r="Y694" i="9"/>
  <c r="Y695" i="9"/>
  <c r="Y696" i="9"/>
  <c r="Y697" i="9"/>
  <c r="Y698" i="9"/>
  <c r="Y699" i="9"/>
  <c r="Y700" i="9"/>
  <c r="Y701" i="9"/>
  <c r="Y702" i="9"/>
  <c r="Y703" i="9"/>
  <c r="Y704" i="9"/>
  <c r="Y705" i="9"/>
  <c r="Y706" i="9"/>
  <c r="Y707" i="9"/>
  <c r="Y708" i="9"/>
  <c r="Y709" i="9"/>
  <c r="Y710" i="9"/>
  <c r="Y711" i="9"/>
  <c r="Y712" i="9"/>
  <c r="Y713" i="9"/>
  <c r="Y714" i="9"/>
  <c r="Y715" i="9"/>
  <c r="Y716" i="9"/>
  <c r="Y717" i="9"/>
  <c r="Y718" i="9"/>
  <c r="Y719" i="9"/>
  <c r="Y720" i="9"/>
  <c r="Y721" i="9"/>
  <c r="Y722" i="9"/>
  <c r="Y723" i="9"/>
  <c r="Y724" i="9"/>
  <c r="Y725" i="9"/>
  <c r="Y726" i="9"/>
  <c r="Y727" i="9"/>
  <c r="Y728" i="9"/>
  <c r="Y729" i="9"/>
  <c r="Y730" i="9"/>
  <c r="Y731" i="9"/>
  <c r="Y732" i="9"/>
  <c r="Y733" i="9"/>
  <c r="Y734" i="9"/>
  <c r="Y735" i="9"/>
  <c r="Y736" i="9"/>
  <c r="Y737" i="9"/>
  <c r="Y738" i="9"/>
  <c r="Y739" i="9"/>
  <c r="Y740" i="9"/>
  <c r="Y741" i="9"/>
  <c r="Y742" i="9"/>
  <c r="Y743" i="9"/>
  <c r="Y744" i="9"/>
  <c r="Y745" i="9"/>
  <c r="Y746" i="9"/>
  <c r="Y747" i="9"/>
  <c r="Y748" i="9"/>
  <c r="Y749" i="9"/>
  <c r="Y750" i="9"/>
  <c r="Y751" i="9"/>
  <c r="Y752" i="9"/>
  <c r="Y753" i="9"/>
  <c r="Y754" i="9"/>
  <c r="Y755" i="9"/>
  <c r="Y756" i="9"/>
  <c r="Y757" i="9"/>
  <c r="Y758" i="9"/>
  <c r="Y759" i="9"/>
  <c r="Y760" i="9"/>
  <c r="Y761" i="9"/>
  <c r="Y762" i="9"/>
  <c r="Y763" i="9"/>
  <c r="Y764" i="9"/>
  <c r="Y765" i="9"/>
  <c r="Y766" i="9"/>
  <c r="Y767" i="9"/>
  <c r="Y768" i="9"/>
  <c r="Y769" i="9"/>
  <c r="Y770" i="9"/>
  <c r="Y771" i="9"/>
  <c r="Y772" i="9"/>
  <c r="Y773" i="9"/>
  <c r="Y774" i="9"/>
  <c r="Y775" i="9"/>
  <c r="Y776" i="9"/>
  <c r="Y777" i="9"/>
  <c r="Y778" i="9"/>
  <c r="Y779" i="9"/>
  <c r="Y780" i="9"/>
  <c r="Y781" i="9"/>
  <c r="Y782" i="9"/>
  <c r="Y783" i="9"/>
  <c r="Y784" i="9"/>
  <c r="Y785" i="9"/>
  <c r="Y786" i="9"/>
  <c r="Y787" i="9"/>
  <c r="Y788" i="9"/>
  <c r="Y789" i="9"/>
  <c r="Y790" i="9"/>
  <c r="Y791" i="9"/>
  <c r="Y792" i="9"/>
  <c r="Y793" i="9"/>
  <c r="Y794" i="9"/>
  <c r="Y795" i="9"/>
  <c r="Y796" i="9"/>
  <c r="Y797" i="9"/>
  <c r="Y798" i="9"/>
  <c r="Y799" i="9"/>
  <c r="Y800" i="9"/>
  <c r="Y801" i="9"/>
  <c r="Y802" i="9"/>
  <c r="Y803" i="9"/>
  <c r="Y804" i="9"/>
  <c r="Y805" i="9"/>
  <c r="Y806" i="9"/>
  <c r="Y807" i="9"/>
  <c r="Y808" i="9"/>
  <c r="Y809" i="9"/>
  <c r="Y810" i="9"/>
  <c r="Y811" i="9"/>
  <c r="Y812" i="9"/>
  <c r="Y813" i="9"/>
  <c r="Y814" i="9"/>
  <c r="Y815" i="9"/>
  <c r="Y816" i="9"/>
  <c r="Y817" i="9"/>
  <c r="Y818" i="9"/>
  <c r="Y819" i="9"/>
  <c r="Y820" i="9"/>
  <c r="Y821" i="9"/>
  <c r="Y822" i="9"/>
  <c r="Y823" i="9"/>
  <c r="Y824" i="9"/>
  <c r="Y825" i="9"/>
  <c r="Y826" i="9"/>
  <c r="Y827" i="9"/>
  <c r="Y828" i="9"/>
  <c r="Y829" i="9"/>
  <c r="Y830" i="9"/>
  <c r="Y831" i="9"/>
  <c r="Y832" i="9"/>
  <c r="Y833" i="9"/>
  <c r="Y834" i="9"/>
  <c r="Y835" i="9"/>
  <c r="Y836" i="9"/>
  <c r="Y837" i="9"/>
  <c r="Y838" i="9"/>
  <c r="Y839" i="9"/>
  <c r="Y840" i="9"/>
  <c r="Y841" i="9"/>
  <c r="Y842" i="9"/>
  <c r="Y843" i="9"/>
  <c r="Y844" i="9"/>
  <c r="Y845" i="9"/>
  <c r="Y846" i="9"/>
  <c r="Y847" i="9"/>
  <c r="Y848" i="9"/>
  <c r="Y849" i="9"/>
  <c r="Y850" i="9"/>
  <c r="Y851" i="9"/>
  <c r="Y852" i="9"/>
  <c r="Y853" i="9"/>
  <c r="Y854" i="9"/>
  <c r="Y855" i="9"/>
  <c r="Y856" i="9"/>
  <c r="Y857" i="9"/>
  <c r="Y858" i="9"/>
  <c r="Y859" i="9"/>
  <c r="Y860" i="9"/>
  <c r="Y861" i="9"/>
  <c r="Y862" i="9"/>
  <c r="Y863" i="9"/>
  <c r="Y864" i="9"/>
  <c r="Y865" i="9"/>
  <c r="Y866" i="9"/>
  <c r="Y867" i="9"/>
  <c r="Y868" i="9"/>
  <c r="Y869" i="9"/>
  <c r="Y870" i="9"/>
  <c r="Y871" i="9"/>
  <c r="Y872" i="9"/>
  <c r="Y873" i="9"/>
  <c r="Y874" i="9"/>
  <c r="Y875" i="9"/>
  <c r="Y876" i="9"/>
  <c r="Y877" i="9"/>
  <c r="Y878" i="9"/>
  <c r="Y879" i="9"/>
  <c r="Y880" i="9"/>
  <c r="Y881" i="9"/>
  <c r="Y882" i="9"/>
  <c r="Y883" i="9"/>
  <c r="Y884" i="9"/>
  <c r="Y885" i="9"/>
  <c r="Y886" i="9"/>
  <c r="Y887" i="9"/>
  <c r="Y888" i="9"/>
  <c r="Y889" i="9"/>
  <c r="Y890" i="9"/>
  <c r="Y891" i="9"/>
  <c r="Y892" i="9"/>
  <c r="Y893" i="9"/>
  <c r="Y894" i="9"/>
  <c r="Y895" i="9"/>
  <c r="Y896" i="9"/>
  <c r="Y897" i="9"/>
  <c r="Y898" i="9"/>
  <c r="Y899" i="9"/>
  <c r="Y900" i="9"/>
  <c r="Y901" i="9"/>
  <c r="Y902" i="9"/>
  <c r="Y903" i="9"/>
  <c r="Y904" i="9"/>
  <c r="Y905" i="9"/>
  <c r="Y906" i="9"/>
  <c r="Y907" i="9"/>
  <c r="Y908" i="9"/>
  <c r="Y909" i="9"/>
  <c r="Y910" i="9"/>
  <c r="Y911" i="9"/>
  <c r="Y912" i="9"/>
  <c r="Y913" i="9"/>
  <c r="Y914" i="9"/>
  <c r="Y915" i="9"/>
  <c r="Y916" i="9"/>
  <c r="Y917" i="9"/>
  <c r="Y918" i="9"/>
  <c r="Y919" i="9"/>
  <c r="Y920" i="9"/>
  <c r="Y921" i="9"/>
  <c r="Y922" i="9"/>
  <c r="Y923" i="9"/>
  <c r="Y924" i="9"/>
  <c r="Y925" i="9"/>
  <c r="Y926" i="9"/>
  <c r="Y927" i="9"/>
  <c r="Y928" i="9"/>
  <c r="Y929" i="9"/>
  <c r="Y930" i="9"/>
  <c r="Y931" i="9"/>
  <c r="Y932" i="9"/>
  <c r="Y933" i="9"/>
  <c r="Y934" i="9"/>
  <c r="Y935" i="9"/>
  <c r="Y936" i="9"/>
  <c r="Y937" i="9"/>
  <c r="Y938" i="9"/>
  <c r="Y939" i="9"/>
  <c r="Y940" i="9"/>
  <c r="Y941" i="9"/>
  <c r="Y942" i="9"/>
  <c r="Y943" i="9"/>
  <c r="Y944" i="9"/>
  <c r="Y945" i="9"/>
  <c r="Y946" i="9"/>
  <c r="Y947" i="9"/>
  <c r="Y948" i="9"/>
  <c r="Y949" i="9"/>
  <c r="Y950" i="9"/>
  <c r="Y951" i="9"/>
  <c r="Y952" i="9"/>
  <c r="Y953" i="9"/>
  <c r="Y954" i="9"/>
  <c r="Y955" i="9"/>
  <c r="Y956" i="9"/>
  <c r="Y957" i="9"/>
  <c r="Y958" i="9"/>
  <c r="Y959" i="9"/>
  <c r="Y960" i="9"/>
  <c r="Y961" i="9"/>
  <c r="Y962" i="9"/>
  <c r="Y963" i="9"/>
  <c r="Y964" i="9"/>
  <c r="Y965" i="9"/>
  <c r="Y966" i="9"/>
  <c r="Y967" i="9"/>
  <c r="Y968" i="9"/>
  <c r="Y969" i="9"/>
  <c r="Y970" i="9"/>
  <c r="Y971" i="9"/>
  <c r="Y972" i="9"/>
  <c r="Y973" i="9"/>
  <c r="Y974" i="9"/>
  <c r="Y975" i="9"/>
  <c r="Y976" i="9"/>
  <c r="Y977" i="9"/>
  <c r="Y978" i="9"/>
  <c r="Y979" i="9"/>
  <c r="Y980" i="9"/>
  <c r="Y981" i="9"/>
  <c r="Y982" i="9"/>
  <c r="Y983" i="9"/>
  <c r="Y984" i="9"/>
  <c r="Y985" i="9"/>
  <c r="Y986" i="9"/>
  <c r="Y987" i="9"/>
  <c r="Y988" i="9"/>
  <c r="Y989" i="9"/>
  <c r="Y990" i="9"/>
  <c r="Y991" i="9"/>
  <c r="Y992" i="9"/>
  <c r="Y993" i="9"/>
  <c r="Y994" i="9"/>
  <c r="Y995" i="9"/>
  <c r="Y996" i="9"/>
  <c r="Y997" i="9"/>
  <c r="Y998" i="9"/>
  <c r="Y999" i="9"/>
  <c r="Y1000" i="9"/>
  <c r="Y1001" i="9"/>
  <c r="Y1002" i="9"/>
  <c r="Y1003" i="9"/>
  <c r="Y1004" i="9"/>
  <c r="Y1005" i="9"/>
  <c r="Y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X195" i="9"/>
  <c r="X196" i="9"/>
  <c r="X197" i="9"/>
  <c r="X198" i="9"/>
  <c r="X199" i="9"/>
  <c r="X200" i="9"/>
  <c r="X201" i="9"/>
  <c r="X202" i="9"/>
  <c r="X203" i="9"/>
  <c r="X204" i="9"/>
  <c r="X205" i="9"/>
  <c r="X206" i="9"/>
  <c r="X207" i="9"/>
  <c r="X208" i="9"/>
  <c r="X209" i="9"/>
  <c r="X210" i="9"/>
  <c r="X211" i="9"/>
  <c r="X212" i="9"/>
  <c r="X213" i="9"/>
  <c r="X214" i="9"/>
  <c r="X215" i="9"/>
  <c r="X216" i="9"/>
  <c r="X217" i="9"/>
  <c r="X218" i="9"/>
  <c r="X219" i="9"/>
  <c r="X220" i="9"/>
  <c r="X221" i="9"/>
  <c r="X222" i="9"/>
  <c r="X223" i="9"/>
  <c r="X224" i="9"/>
  <c r="X225" i="9"/>
  <c r="X226" i="9"/>
  <c r="X227" i="9"/>
  <c r="X228" i="9"/>
  <c r="X229" i="9"/>
  <c r="X230" i="9"/>
  <c r="X231" i="9"/>
  <c r="X232" i="9"/>
  <c r="X233" i="9"/>
  <c r="X234" i="9"/>
  <c r="X235" i="9"/>
  <c r="X236" i="9"/>
  <c r="X237" i="9"/>
  <c r="X238" i="9"/>
  <c r="X239" i="9"/>
  <c r="X240" i="9"/>
  <c r="X241" i="9"/>
  <c r="X242" i="9"/>
  <c r="X243" i="9"/>
  <c r="X244" i="9"/>
  <c r="X245" i="9"/>
  <c r="X246" i="9"/>
  <c r="X247" i="9"/>
  <c r="X248" i="9"/>
  <c r="X249" i="9"/>
  <c r="X250" i="9"/>
  <c r="X251" i="9"/>
  <c r="X252" i="9"/>
  <c r="X253" i="9"/>
  <c r="X254" i="9"/>
  <c r="X255" i="9"/>
  <c r="X256" i="9"/>
  <c r="X257" i="9"/>
  <c r="X258" i="9"/>
  <c r="X259" i="9"/>
  <c r="X260" i="9"/>
  <c r="X261" i="9"/>
  <c r="X262" i="9"/>
  <c r="X263" i="9"/>
  <c r="X264" i="9"/>
  <c r="X265" i="9"/>
  <c r="X266" i="9"/>
  <c r="X267" i="9"/>
  <c r="X268" i="9"/>
  <c r="X269" i="9"/>
  <c r="X270" i="9"/>
  <c r="X271" i="9"/>
  <c r="X272" i="9"/>
  <c r="X273" i="9"/>
  <c r="X274" i="9"/>
  <c r="X275" i="9"/>
  <c r="X276" i="9"/>
  <c r="X277" i="9"/>
  <c r="X278" i="9"/>
  <c r="X279" i="9"/>
  <c r="X280" i="9"/>
  <c r="X281" i="9"/>
  <c r="X282" i="9"/>
  <c r="X283" i="9"/>
  <c r="X284" i="9"/>
  <c r="X285" i="9"/>
  <c r="X286" i="9"/>
  <c r="X287" i="9"/>
  <c r="X288" i="9"/>
  <c r="X289" i="9"/>
  <c r="X290" i="9"/>
  <c r="X291" i="9"/>
  <c r="X292" i="9"/>
  <c r="X293" i="9"/>
  <c r="X294" i="9"/>
  <c r="X295" i="9"/>
  <c r="X296" i="9"/>
  <c r="X297" i="9"/>
  <c r="X298" i="9"/>
  <c r="X299" i="9"/>
  <c r="X300" i="9"/>
  <c r="X301" i="9"/>
  <c r="X302" i="9"/>
  <c r="X303" i="9"/>
  <c r="X304" i="9"/>
  <c r="X305" i="9"/>
  <c r="X306" i="9"/>
  <c r="X307" i="9"/>
  <c r="X308" i="9"/>
  <c r="X309" i="9"/>
  <c r="X310" i="9"/>
  <c r="X311" i="9"/>
  <c r="X312" i="9"/>
  <c r="X313" i="9"/>
  <c r="X314" i="9"/>
  <c r="X315" i="9"/>
  <c r="X316" i="9"/>
  <c r="X317" i="9"/>
  <c r="X318" i="9"/>
  <c r="X319" i="9"/>
  <c r="X320" i="9"/>
  <c r="X321" i="9"/>
  <c r="X322" i="9"/>
  <c r="X323" i="9"/>
  <c r="X324" i="9"/>
  <c r="X325" i="9"/>
  <c r="X326" i="9"/>
  <c r="X327" i="9"/>
  <c r="X328" i="9"/>
  <c r="X329" i="9"/>
  <c r="X330" i="9"/>
  <c r="X331" i="9"/>
  <c r="X332" i="9"/>
  <c r="X333" i="9"/>
  <c r="X334" i="9"/>
  <c r="X335" i="9"/>
  <c r="X336" i="9"/>
  <c r="X337" i="9"/>
  <c r="X338" i="9"/>
  <c r="X339" i="9"/>
  <c r="X340" i="9"/>
  <c r="X341" i="9"/>
  <c r="X342" i="9"/>
  <c r="X343" i="9"/>
  <c r="X344" i="9"/>
  <c r="X345" i="9"/>
  <c r="X346" i="9"/>
  <c r="X347" i="9"/>
  <c r="X348" i="9"/>
  <c r="X349" i="9"/>
  <c r="X350" i="9"/>
  <c r="X351" i="9"/>
  <c r="X352" i="9"/>
  <c r="X353" i="9"/>
  <c r="X354" i="9"/>
  <c r="X355" i="9"/>
  <c r="X356" i="9"/>
  <c r="X357" i="9"/>
  <c r="X358" i="9"/>
  <c r="X359" i="9"/>
  <c r="X360" i="9"/>
  <c r="X361" i="9"/>
  <c r="X362" i="9"/>
  <c r="X363" i="9"/>
  <c r="X364" i="9"/>
  <c r="X365" i="9"/>
  <c r="X366" i="9"/>
  <c r="X367" i="9"/>
  <c r="X368" i="9"/>
  <c r="X369" i="9"/>
  <c r="X370" i="9"/>
  <c r="X371" i="9"/>
  <c r="X372" i="9"/>
  <c r="X373" i="9"/>
  <c r="X374" i="9"/>
  <c r="X375" i="9"/>
  <c r="X376" i="9"/>
  <c r="X377" i="9"/>
  <c r="X378" i="9"/>
  <c r="X379" i="9"/>
  <c r="X380" i="9"/>
  <c r="X381" i="9"/>
  <c r="X382" i="9"/>
  <c r="X383" i="9"/>
  <c r="X384" i="9"/>
  <c r="X385" i="9"/>
  <c r="X386" i="9"/>
  <c r="X387" i="9"/>
  <c r="X388" i="9"/>
  <c r="X389" i="9"/>
  <c r="X390" i="9"/>
  <c r="X391" i="9"/>
  <c r="X392" i="9"/>
  <c r="X393" i="9"/>
  <c r="X394" i="9"/>
  <c r="X395" i="9"/>
  <c r="X396" i="9"/>
  <c r="X397" i="9"/>
  <c r="X398" i="9"/>
  <c r="X399" i="9"/>
  <c r="X400" i="9"/>
  <c r="X401" i="9"/>
  <c r="X402" i="9"/>
  <c r="X403" i="9"/>
  <c r="X404" i="9"/>
  <c r="X405" i="9"/>
  <c r="X406" i="9"/>
  <c r="X407" i="9"/>
  <c r="X408" i="9"/>
  <c r="X409" i="9"/>
  <c r="X410" i="9"/>
  <c r="X411" i="9"/>
  <c r="X412" i="9"/>
  <c r="X413" i="9"/>
  <c r="X414" i="9"/>
  <c r="X415" i="9"/>
  <c r="X416" i="9"/>
  <c r="X417" i="9"/>
  <c r="X418" i="9"/>
  <c r="X419" i="9"/>
  <c r="X420" i="9"/>
  <c r="X421" i="9"/>
  <c r="X422" i="9"/>
  <c r="X423" i="9"/>
  <c r="X424" i="9"/>
  <c r="X425" i="9"/>
  <c r="X426" i="9"/>
  <c r="X427" i="9"/>
  <c r="X428" i="9"/>
  <c r="X429" i="9"/>
  <c r="X430" i="9"/>
  <c r="X431" i="9"/>
  <c r="X432" i="9"/>
  <c r="X433" i="9"/>
  <c r="X434" i="9"/>
  <c r="X435" i="9"/>
  <c r="X436" i="9"/>
  <c r="X437" i="9"/>
  <c r="X438" i="9"/>
  <c r="X439" i="9"/>
  <c r="X440" i="9"/>
  <c r="X441" i="9"/>
  <c r="X442" i="9"/>
  <c r="X443" i="9"/>
  <c r="X444" i="9"/>
  <c r="X445" i="9"/>
  <c r="X446" i="9"/>
  <c r="X447" i="9"/>
  <c r="X448" i="9"/>
  <c r="X449" i="9"/>
  <c r="X450" i="9"/>
  <c r="X451" i="9"/>
  <c r="X452" i="9"/>
  <c r="X453" i="9"/>
  <c r="X454" i="9"/>
  <c r="X455" i="9"/>
  <c r="X456" i="9"/>
  <c r="X457" i="9"/>
  <c r="X458" i="9"/>
  <c r="X459" i="9"/>
  <c r="X460" i="9"/>
  <c r="X461" i="9"/>
  <c r="X462" i="9"/>
  <c r="X463" i="9"/>
  <c r="X464" i="9"/>
  <c r="X465" i="9"/>
  <c r="X466" i="9"/>
  <c r="X467" i="9"/>
  <c r="X468" i="9"/>
  <c r="X469" i="9"/>
  <c r="X470" i="9"/>
  <c r="X471" i="9"/>
  <c r="X472" i="9"/>
  <c r="X473" i="9"/>
  <c r="X474" i="9"/>
  <c r="X475" i="9"/>
  <c r="X476" i="9"/>
  <c r="X477" i="9"/>
  <c r="X478" i="9"/>
  <c r="X479" i="9"/>
  <c r="X480" i="9"/>
  <c r="X481" i="9"/>
  <c r="X482" i="9"/>
  <c r="X483" i="9"/>
  <c r="X484" i="9"/>
  <c r="X485" i="9"/>
  <c r="X486" i="9"/>
  <c r="X487" i="9"/>
  <c r="X488" i="9"/>
  <c r="X489" i="9"/>
  <c r="X490" i="9"/>
  <c r="X491" i="9"/>
  <c r="X492" i="9"/>
  <c r="X493" i="9"/>
  <c r="X494" i="9"/>
  <c r="X495" i="9"/>
  <c r="X496" i="9"/>
  <c r="X497" i="9"/>
  <c r="X498" i="9"/>
  <c r="X499" i="9"/>
  <c r="X500" i="9"/>
  <c r="X501" i="9"/>
  <c r="X502" i="9"/>
  <c r="X503" i="9"/>
  <c r="X504" i="9"/>
  <c r="X505" i="9"/>
  <c r="X506" i="9"/>
  <c r="X507" i="9"/>
  <c r="X508" i="9"/>
  <c r="X509" i="9"/>
  <c r="X510" i="9"/>
  <c r="X511" i="9"/>
  <c r="X512" i="9"/>
  <c r="X513" i="9"/>
  <c r="X514" i="9"/>
  <c r="X515" i="9"/>
  <c r="X516" i="9"/>
  <c r="X517" i="9"/>
  <c r="X518" i="9"/>
  <c r="X519" i="9"/>
  <c r="X520" i="9"/>
  <c r="X521" i="9"/>
  <c r="X522" i="9"/>
  <c r="X523" i="9"/>
  <c r="X524" i="9"/>
  <c r="X525" i="9"/>
  <c r="X526" i="9"/>
  <c r="X527" i="9"/>
  <c r="X528" i="9"/>
  <c r="X529" i="9"/>
  <c r="X530" i="9"/>
  <c r="X531" i="9"/>
  <c r="X532" i="9"/>
  <c r="X533" i="9"/>
  <c r="X534" i="9"/>
  <c r="X535" i="9"/>
  <c r="X536" i="9"/>
  <c r="X537" i="9"/>
  <c r="X538" i="9"/>
  <c r="X539" i="9"/>
  <c r="X540" i="9"/>
  <c r="X541" i="9"/>
  <c r="X542" i="9"/>
  <c r="X543" i="9"/>
  <c r="X544" i="9"/>
  <c r="X545" i="9"/>
  <c r="X546" i="9"/>
  <c r="X547" i="9"/>
  <c r="X548" i="9"/>
  <c r="X549" i="9"/>
  <c r="X550" i="9"/>
  <c r="X551" i="9"/>
  <c r="X552" i="9"/>
  <c r="X553" i="9"/>
  <c r="X554" i="9"/>
  <c r="X555" i="9"/>
  <c r="X556" i="9"/>
  <c r="X557" i="9"/>
  <c r="X558" i="9"/>
  <c r="X559" i="9"/>
  <c r="X560" i="9"/>
  <c r="X561" i="9"/>
  <c r="X562" i="9"/>
  <c r="X563" i="9"/>
  <c r="X564" i="9"/>
  <c r="X565" i="9"/>
  <c r="X566" i="9"/>
  <c r="X567" i="9"/>
  <c r="X568" i="9"/>
  <c r="X569" i="9"/>
  <c r="X570" i="9"/>
  <c r="X571" i="9"/>
  <c r="X572" i="9"/>
  <c r="X573" i="9"/>
  <c r="X574" i="9"/>
  <c r="X575" i="9"/>
  <c r="X576" i="9"/>
  <c r="X577" i="9"/>
  <c r="X578" i="9"/>
  <c r="X579" i="9"/>
  <c r="X580" i="9"/>
  <c r="X581" i="9"/>
  <c r="X582" i="9"/>
  <c r="X583" i="9"/>
  <c r="X584" i="9"/>
  <c r="X585" i="9"/>
  <c r="X586" i="9"/>
  <c r="X587" i="9"/>
  <c r="X588" i="9"/>
  <c r="X589" i="9"/>
  <c r="X590" i="9"/>
  <c r="X591" i="9"/>
  <c r="X592" i="9"/>
  <c r="X593" i="9"/>
  <c r="X594" i="9"/>
  <c r="X595" i="9"/>
  <c r="X596" i="9"/>
  <c r="X597" i="9"/>
  <c r="X598" i="9"/>
  <c r="X599" i="9"/>
  <c r="X600" i="9"/>
  <c r="X601" i="9"/>
  <c r="X602" i="9"/>
  <c r="X603" i="9"/>
  <c r="X604" i="9"/>
  <c r="X605" i="9"/>
  <c r="X606" i="9"/>
  <c r="X607" i="9"/>
  <c r="X608" i="9"/>
  <c r="X609" i="9"/>
  <c r="X610" i="9"/>
  <c r="X611" i="9"/>
  <c r="X612" i="9"/>
  <c r="X613" i="9"/>
  <c r="X614" i="9"/>
  <c r="X615" i="9"/>
  <c r="X616" i="9"/>
  <c r="X617" i="9"/>
  <c r="X618" i="9"/>
  <c r="X619" i="9"/>
  <c r="X620" i="9"/>
  <c r="X621" i="9"/>
  <c r="X622" i="9"/>
  <c r="X623" i="9"/>
  <c r="X624" i="9"/>
  <c r="X625" i="9"/>
  <c r="X626" i="9"/>
  <c r="X627" i="9"/>
  <c r="X628" i="9"/>
  <c r="X629" i="9"/>
  <c r="X630" i="9"/>
  <c r="X631" i="9"/>
  <c r="X632" i="9"/>
  <c r="X633" i="9"/>
  <c r="X634" i="9"/>
  <c r="X635" i="9"/>
  <c r="X636" i="9"/>
  <c r="X637" i="9"/>
  <c r="X638" i="9"/>
  <c r="X639" i="9"/>
  <c r="X640" i="9"/>
  <c r="X641" i="9"/>
  <c r="X642" i="9"/>
  <c r="X643" i="9"/>
  <c r="X644" i="9"/>
  <c r="X645" i="9"/>
  <c r="X646" i="9"/>
  <c r="X647" i="9"/>
  <c r="X648" i="9"/>
  <c r="X649" i="9"/>
  <c r="X650" i="9"/>
  <c r="X651" i="9"/>
  <c r="X652" i="9"/>
  <c r="X653" i="9"/>
  <c r="X654" i="9"/>
  <c r="X655" i="9"/>
  <c r="X656" i="9"/>
  <c r="X657" i="9"/>
  <c r="X658" i="9"/>
  <c r="X659" i="9"/>
  <c r="X660" i="9"/>
  <c r="X661" i="9"/>
  <c r="X662" i="9"/>
  <c r="X663" i="9"/>
  <c r="X664" i="9"/>
  <c r="X665" i="9"/>
  <c r="X666" i="9"/>
  <c r="X667" i="9"/>
  <c r="X668" i="9"/>
  <c r="X669" i="9"/>
  <c r="X670" i="9"/>
  <c r="X671" i="9"/>
  <c r="X672" i="9"/>
  <c r="X673" i="9"/>
  <c r="X674" i="9"/>
  <c r="X675" i="9"/>
  <c r="X676" i="9"/>
  <c r="X677" i="9"/>
  <c r="X678" i="9"/>
  <c r="X679" i="9"/>
  <c r="X680" i="9"/>
  <c r="X681" i="9"/>
  <c r="X682" i="9"/>
  <c r="X683" i="9"/>
  <c r="X684" i="9"/>
  <c r="X685" i="9"/>
  <c r="X686" i="9"/>
  <c r="X687" i="9"/>
  <c r="X688" i="9"/>
  <c r="X689" i="9"/>
  <c r="X690" i="9"/>
  <c r="X691" i="9"/>
  <c r="X692" i="9"/>
  <c r="X693" i="9"/>
  <c r="X694" i="9"/>
  <c r="X695" i="9"/>
  <c r="X696" i="9"/>
  <c r="X697" i="9"/>
  <c r="X698" i="9"/>
  <c r="X699" i="9"/>
  <c r="X700" i="9"/>
  <c r="X701" i="9"/>
  <c r="X702" i="9"/>
  <c r="X703" i="9"/>
  <c r="X704" i="9"/>
  <c r="X705" i="9"/>
  <c r="X706" i="9"/>
  <c r="X707" i="9"/>
  <c r="X708" i="9"/>
  <c r="X709" i="9"/>
  <c r="X710" i="9"/>
  <c r="X711" i="9"/>
  <c r="X712" i="9"/>
  <c r="X713" i="9"/>
  <c r="X714" i="9"/>
  <c r="X715" i="9"/>
  <c r="X716" i="9"/>
  <c r="X717" i="9"/>
  <c r="X718" i="9"/>
  <c r="X719" i="9"/>
  <c r="X720" i="9"/>
  <c r="X721" i="9"/>
  <c r="X722" i="9"/>
  <c r="X723" i="9"/>
  <c r="X724" i="9"/>
  <c r="X725" i="9"/>
  <c r="X726" i="9"/>
  <c r="X727" i="9"/>
  <c r="X728" i="9"/>
  <c r="X729" i="9"/>
  <c r="X730" i="9"/>
  <c r="X731" i="9"/>
  <c r="X732" i="9"/>
  <c r="X733" i="9"/>
  <c r="X734" i="9"/>
  <c r="X735" i="9"/>
  <c r="X736" i="9"/>
  <c r="X737" i="9"/>
  <c r="X738" i="9"/>
  <c r="X739" i="9"/>
  <c r="X740" i="9"/>
  <c r="X741" i="9"/>
  <c r="X742" i="9"/>
  <c r="X743" i="9"/>
  <c r="X744" i="9"/>
  <c r="X745" i="9"/>
  <c r="X746" i="9"/>
  <c r="X747" i="9"/>
  <c r="X748" i="9"/>
  <c r="X749" i="9"/>
  <c r="X750" i="9"/>
  <c r="X751" i="9"/>
  <c r="X752" i="9"/>
  <c r="X753" i="9"/>
  <c r="X754" i="9"/>
  <c r="X755" i="9"/>
  <c r="X756" i="9"/>
  <c r="X757" i="9"/>
  <c r="X758" i="9"/>
  <c r="X759" i="9"/>
  <c r="X760" i="9"/>
  <c r="X761" i="9"/>
  <c r="X762" i="9"/>
  <c r="X763" i="9"/>
  <c r="X764" i="9"/>
  <c r="X765" i="9"/>
  <c r="X766" i="9"/>
  <c r="X767" i="9"/>
  <c r="X768" i="9"/>
  <c r="X769" i="9"/>
  <c r="X770" i="9"/>
  <c r="X771" i="9"/>
  <c r="X772" i="9"/>
  <c r="X773" i="9"/>
  <c r="X774" i="9"/>
  <c r="X775" i="9"/>
  <c r="X776" i="9"/>
  <c r="X777" i="9"/>
  <c r="X778" i="9"/>
  <c r="X779" i="9"/>
  <c r="X780" i="9"/>
  <c r="X781" i="9"/>
  <c r="X782" i="9"/>
  <c r="X783" i="9"/>
  <c r="X784" i="9"/>
  <c r="X785" i="9"/>
  <c r="X786" i="9"/>
  <c r="X787" i="9"/>
  <c r="X788" i="9"/>
  <c r="X789" i="9"/>
  <c r="X790" i="9"/>
  <c r="X791" i="9"/>
  <c r="X792" i="9"/>
  <c r="X793" i="9"/>
  <c r="X794" i="9"/>
  <c r="X795" i="9"/>
  <c r="X796" i="9"/>
  <c r="X797" i="9"/>
  <c r="X798" i="9"/>
  <c r="X799" i="9"/>
  <c r="X800" i="9"/>
  <c r="X801" i="9"/>
  <c r="X802" i="9"/>
  <c r="X803" i="9"/>
  <c r="X804" i="9"/>
  <c r="X805" i="9"/>
  <c r="X806" i="9"/>
  <c r="X807" i="9"/>
  <c r="X808" i="9"/>
  <c r="X809" i="9"/>
  <c r="X810" i="9"/>
  <c r="X811" i="9"/>
  <c r="X812" i="9"/>
  <c r="X813" i="9"/>
  <c r="X814" i="9"/>
  <c r="X815" i="9"/>
  <c r="X816" i="9"/>
  <c r="X817" i="9"/>
  <c r="X818" i="9"/>
  <c r="X819" i="9"/>
  <c r="X820" i="9"/>
  <c r="X821" i="9"/>
  <c r="X822" i="9"/>
  <c r="X823" i="9"/>
  <c r="X824" i="9"/>
  <c r="X825" i="9"/>
  <c r="X826" i="9"/>
  <c r="X827" i="9"/>
  <c r="X828" i="9"/>
  <c r="X829" i="9"/>
  <c r="X830" i="9"/>
  <c r="X831" i="9"/>
  <c r="X832" i="9"/>
  <c r="X833" i="9"/>
  <c r="X834" i="9"/>
  <c r="X835" i="9"/>
  <c r="X836" i="9"/>
  <c r="X837" i="9"/>
  <c r="X838" i="9"/>
  <c r="X839" i="9"/>
  <c r="X840" i="9"/>
  <c r="X841" i="9"/>
  <c r="X842" i="9"/>
  <c r="X843" i="9"/>
  <c r="X844" i="9"/>
  <c r="X845" i="9"/>
  <c r="X846" i="9"/>
  <c r="X847" i="9"/>
  <c r="X848" i="9"/>
  <c r="X849" i="9"/>
  <c r="X850" i="9"/>
  <c r="X851" i="9"/>
  <c r="X852" i="9"/>
  <c r="X853" i="9"/>
  <c r="X854" i="9"/>
  <c r="X855" i="9"/>
  <c r="X856" i="9"/>
  <c r="X857" i="9"/>
  <c r="X858" i="9"/>
  <c r="X859" i="9"/>
  <c r="X860" i="9"/>
  <c r="X861" i="9"/>
  <c r="X862" i="9"/>
  <c r="X863" i="9"/>
  <c r="X864" i="9"/>
  <c r="X865" i="9"/>
  <c r="X866" i="9"/>
  <c r="X867" i="9"/>
  <c r="X868" i="9"/>
  <c r="X869" i="9"/>
  <c r="X870" i="9"/>
  <c r="X871" i="9"/>
  <c r="X872" i="9"/>
  <c r="X873" i="9"/>
  <c r="X874" i="9"/>
  <c r="X875" i="9"/>
  <c r="X876" i="9"/>
  <c r="X877" i="9"/>
  <c r="X878" i="9"/>
  <c r="X879" i="9"/>
  <c r="X880" i="9"/>
  <c r="X881" i="9"/>
  <c r="X882" i="9"/>
  <c r="X883" i="9"/>
  <c r="X884" i="9"/>
  <c r="X885" i="9"/>
  <c r="X886" i="9"/>
  <c r="X887" i="9"/>
  <c r="X888" i="9"/>
  <c r="X889" i="9"/>
  <c r="X890" i="9"/>
  <c r="X891" i="9"/>
  <c r="X892" i="9"/>
  <c r="X893" i="9"/>
  <c r="X894" i="9"/>
  <c r="X895" i="9"/>
  <c r="X896" i="9"/>
  <c r="X897" i="9"/>
  <c r="X898" i="9"/>
  <c r="X899" i="9"/>
  <c r="X900" i="9"/>
  <c r="X901" i="9"/>
  <c r="X902" i="9"/>
  <c r="X903" i="9"/>
  <c r="X904" i="9"/>
  <c r="X905" i="9"/>
  <c r="X906" i="9"/>
  <c r="X907" i="9"/>
  <c r="X908" i="9"/>
  <c r="X909" i="9"/>
  <c r="X910" i="9"/>
  <c r="X911" i="9"/>
  <c r="X912" i="9"/>
  <c r="X913" i="9"/>
  <c r="X914" i="9"/>
  <c r="X915" i="9"/>
  <c r="X916" i="9"/>
  <c r="X917" i="9"/>
  <c r="X918" i="9"/>
  <c r="X919" i="9"/>
  <c r="X920" i="9"/>
  <c r="X921" i="9"/>
  <c r="X922" i="9"/>
  <c r="X923" i="9"/>
  <c r="X924" i="9"/>
  <c r="X925" i="9"/>
  <c r="X926" i="9"/>
  <c r="X927" i="9"/>
  <c r="X928" i="9"/>
  <c r="X929" i="9"/>
  <c r="X930" i="9"/>
  <c r="X931" i="9"/>
  <c r="X932" i="9"/>
  <c r="X933" i="9"/>
  <c r="X934" i="9"/>
  <c r="X935" i="9"/>
  <c r="X936" i="9"/>
  <c r="X937" i="9"/>
  <c r="X938" i="9"/>
  <c r="X939" i="9"/>
  <c r="X940" i="9"/>
  <c r="X941" i="9"/>
  <c r="X942" i="9"/>
  <c r="X943" i="9"/>
  <c r="X944" i="9"/>
  <c r="X945" i="9"/>
  <c r="X946" i="9"/>
  <c r="X947" i="9"/>
  <c r="X948" i="9"/>
  <c r="X949" i="9"/>
  <c r="X950" i="9"/>
  <c r="X951" i="9"/>
  <c r="X952" i="9"/>
  <c r="X953" i="9"/>
  <c r="X954" i="9"/>
  <c r="X955" i="9"/>
  <c r="X956" i="9"/>
  <c r="X957" i="9"/>
  <c r="X958" i="9"/>
  <c r="X959" i="9"/>
  <c r="X960" i="9"/>
  <c r="X961" i="9"/>
  <c r="X962" i="9"/>
  <c r="X963" i="9"/>
  <c r="X964" i="9"/>
  <c r="X965" i="9"/>
  <c r="X966" i="9"/>
  <c r="X967" i="9"/>
  <c r="X968" i="9"/>
  <c r="X969" i="9"/>
  <c r="X970" i="9"/>
  <c r="X971" i="9"/>
  <c r="X972" i="9"/>
  <c r="X973" i="9"/>
  <c r="X974" i="9"/>
  <c r="X975" i="9"/>
  <c r="X976" i="9"/>
  <c r="X977" i="9"/>
  <c r="X978" i="9"/>
  <c r="X979" i="9"/>
  <c r="X980" i="9"/>
  <c r="X981" i="9"/>
  <c r="X982" i="9"/>
  <c r="X983" i="9"/>
  <c r="X984" i="9"/>
  <c r="X985" i="9"/>
  <c r="X986" i="9"/>
  <c r="X987" i="9"/>
  <c r="X988" i="9"/>
  <c r="X989" i="9"/>
  <c r="X990" i="9"/>
  <c r="X991" i="9"/>
  <c r="X992" i="9"/>
  <c r="X993" i="9"/>
  <c r="X994" i="9"/>
  <c r="X995" i="9"/>
  <c r="X996" i="9"/>
  <c r="X997" i="9"/>
  <c r="X998" i="9"/>
  <c r="X999" i="9"/>
  <c r="X1000" i="9"/>
  <c r="X1001" i="9"/>
  <c r="X1002" i="9"/>
  <c r="X1003" i="9"/>
  <c r="X1004" i="9"/>
  <c r="X1005" i="9"/>
  <c r="X6" i="9"/>
  <c r="AH2" i="9"/>
  <c r="AI2" i="9"/>
  <c r="AJ2" i="9"/>
  <c r="N25" i="9"/>
  <c r="N24" i="9"/>
  <c r="M24" i="9"/>
  <c r="N21" i="9"/>
  <c r="M21" i="9"/>
  <c r="L21" i="9"/>
  <c r="M20" i="9"/>
  <c r="N20" i="9"/>
  <c r="L20" i="9"/>
  <c r="M19" i="9"/>
  <c r="N19" i="9"/>
  <c r="L19" i="9"/>
  <c r="O14" i="8"/>
  <c r="C24" i="1" a="1"/>
  <c r="C24" i="1" s="1"/>
  <c r="J18" i="1"/>
  <c r="J17" i="1"/>
  <c r="I17" i="1"/>
  <c r="J19" i="1"/>
  <c r="I18" i="1"/>
  <c r="H17" i="1"/>
  <c r="N11" i="8" l="1"/>
  <c r="O11" i="8"/>
  <c r="M11" i="8"/>
  <c r="D4" i="13" l="1"/>
  <c r="D5" i="13"/>
  <c r="D6" i="13"/>
  <c r="D7" i="13"/>
  <c r="D8" i="13"/>
  <c r="D9" i="13"/>
  <c r="D10" i="13"/>
  <c r="D11" i="13"/>
  <c r="D12" i="13"/>
  <c r="I12" i="13" s="1"/>
  <c r="D13" i="13"/>
  <c r="I13" i="13" s="1"/>
  <c r="D14" i="13"/>
  <c r="I14" i="13" s="1"/>
  <c r="D15" i="13"/>
  <c r="I15" i="13" s="1"/>
  <c r="D16" i="13"/>
  <c r="I16" i="13" s="1"/>
  <c r="D17" i="13"/>
  <c r="I17" i="13" s="1"/>
  <c r="D18" i="13"/>
  <c r="I18" i="13" s="1"/>
  <c r="D19" i="13"/>
  <c r="I20" i="13" s="1"/>
  <c r="D20" i="13"/>
  <c r="D21" i="13"/>
  <c r="D22" i="13"/>
  <c r="D23" i="13"/>
  <c r="I23" i="13" s="1"/>
  <c r="D24" i="13"/>
  <c r="I24" i="13" s="1"/>
  <c r="D25" i="13"/>
  <c r="I25" i="13" s="1"/>
  <c r="D26" i="13"/>
  <c r="I26" i="13" s="1"/>
  <c r="D27" i="13"/>
  <c r="I27" i="13" s="1"/>
  <c r="D28" i="13"/>
  <c r="D29" i="13"/>
  <c r="D30" i="13"/>
  <c r="D31" i="13"/>
  <c r="D32" i="13"/>
  <c r="D33" i="13"/>
  <c r="D34" i="13"/>
  <c r="D35" i="13"/>
  <c r="I35" i="13" s="1"/>
  <c r="D36" i="13"/>
  <c r="D37" i="13"/>
  <c r="D38" i="13"/>
  <c r="D39" i="13"/>
  <c r="D40" i="13"/>
  <c r="D41" i="13"/>
  <c r="D42" i="13"/>
  <c r="D43" i="13"/>
  <c r="D44" i="13"/>
  <c r="D45" i="13"/>
  <c r="I45" i="13" s="1"/>
  <c r="D46" i="13"/>
  <c r="I46" i="13" s="1"/>
  <c r="D47" i="13"/>
  <c r="I47" i="13" s="1"/>
  <c r="D48" i="13"/>
  <c r="I48" i="13" s="1"/>
  <c r="D49" i="13"/>
  <c r="I49" i="13" s="1"/>
  <c r="D50" i="13"/>
  <c r="I50" i="13" s="1"/>
  <c r="D51" i="13"/>
  <c r="I51" i="13" s="1"/>
  <c r="D52" i="13"/>
  <c r="D53" i="13"/>
  <c r="D54" i="13"/>
  <c r="D55" i="13"/>
  <c r="D56" i="13"/>
  <c r="I56" i="13" s="1"/>
  <c r="Q56" i="13" s="1"/>
  <c r="R56" i="13" s="1"/>
  <c r="D57" i="13"/>
  <c r="I57" i="13" s="1"/>
  <c r="Q57" i="13" s="1"/>
  <c r="R57" i="13" s="1"/>
  <c r="D58" i="13"/>
  <c r="I58" i="13" s="1"/>
  <c r="D59" i="13"/>
  <c r="I59" i="13" s="1"/>
  <c r="D60" i="13"/>
  <c r="I60" i="13" s="1"/>
  <c r="D61" i="13"/>
  <c r="I61" i="13" s="1"/>
  <c r="D62" i="13"/>
  <c r="I62" i="13" s="1"/>
  <c r="D63" i="13"/>
  <c r="I63" i="13" s="1"/>
  <c r="D64" i="13"/>
  <c r="I64" i="13" s="1"/>
  <c r="Q64" i="13" s="1"/>
  <c r="R64" i="13" s="1"/>
  <c r="D65" i="13"/>
  <c r="I65" i="13" s="1"/>
  <c r="D66" i="13"/>
  <c r="I66" i="13" s="1"/>
  <c r="D67" i="13"/>
  <c r="I67" i="13" s="1"/>
  <c r="D68" i="13"/>
  <c r="D69" i="13"/>
  <c r="D70" i="13"/>
  <c r="D71" i="13"/>
  <c r="D72" i="13"/>
  <c r="D73" i="13"/>
  <c r="D74" i="13"/>
  <c r="D75" i="13"/>
  <c r="D76" i="13"/>
  <c r="D77" i="13"/>
  <c r="D78" i="13"/>
  <c r="I78" i="13" s="1"/>
  <c r="D79" i="13"/>
  <c r="I79" i="13" s="1"/>
  <c r="D80" i="13"/>
  <c r="I80" i="13" s="1"/>
  <c r="D81" i="13"/>
  <c r="I81" i="13" s="1"/>
  <c r="D82" i="13"/>
  <c r="I82" i="13" s="1"/>
  <c r="D83" i="13"/>
  <c r="I83" i="13" s="1"/>
  <c r="D84" i="13"/>
  <c r="D85" i="13"/>
  <c r="D86" i="13"/>
  <c r="D87" i="13"/>
  <c r="D88" i="13"/>
  <c r="D89" i="13"/>
  <c r="D90" i="13"/>
  <c r="I90" i="13" s="1"/>
  <c r="D91" i="13"/>
  <c r="I91" i="13" s="1"/>
  <c r="D92" i="13"/>
  <c r="I92" i="13" s="1"/>
  <c r="D93" i="13"/>
  <c r="I93" i="13" s="1"/>
  <c r="D94" i="13"/>
  <c r="I94" i="13" s="1"/>
  <c r="D95" i="13"/>
  <c r="I95" i="13" s="1"/>
  <c r="D96" i="13"/>
  <c r="I96" i="13" s="1"/>
  <c r="D97" i="13"/>
  <c r="I97" i="13" s="1"/>
  <c r="D98" i="13"/>
  <c r="I98" i="13" s="1"/>
  <c r="D99" i="13"/>
  <c r="I100" i="13" s="1"/>
  <c r="D100" i="13"/>
  <c r="D101" i="13"/>
  <c r="D102" i="13"/>
  <c r="I102" i="13" s="1"/>
  <c r="D103" i="13"/>
  <c r="D104" i="13"/>
  <c r="D105" i="13"/>
  <c r="D106" i="13"/>
  <c r="D107" i="13"/>
  <c r="D108" i="13"/>
  <c r="D109" i="13"/>
  <c r="D110" i="13"/>
  <c r="D111" i="13"/>
  <c r="I111" i="13" s="1"/>
  <c r="D112" i="13"/>
  <c r="I112" i="13" s="1"/>
  <c r="D113" i="13"/>
  <c r="I113" i="13" s="1"/>
  <c r="D114" i="13"/>
  <c r="I114" i="13" s="1"/>
  <c r="D115" i="13"/>
  <c r="I115" i="13" s="1"/>
  <c r="D116" i="13"/>
  <c r="D117" i="13"/>
  <c r="D118" i="13"/>
  <c r="D119" i="13"/>
  <c r="D120" i="13"/>
  <c r="D121" i="13"/>
  <c r="D122" i="13"/>
  <c r="D123" i="13"/>
  <c r="I123" i="13" s="1"/>
  <c r="D124" i="13"/>
  <c r="I124" i="13" s="1"/>
  <c r="D125" i="13"/>
  <c r="I125" i="13" s="1"/>
  <c r="D126" i="13"/>
  <c r="I126" i="13" s="1"/>
  <c r="D127" i="13"/>
  <c r="I127" i="13" s="1"/>
  <c r="D128" i="13"/>
  <c r="I128" i="13" s="1"/>
  <c r="D129" i="13"/>
  <c r="I129" i="13" s="1"/>
  <c r="D130" i="13"/>
  <c r="I130" i="13" s="1"/>
  <c r="D131" i="13"/>
  <c r="I131" i="13" s="1"/>
  <c r="D132" i="13"/>
  <c r="D133" i="13"/>
  <c r="D134" i="13"/>
  <c r="D135" i="13"/>
  <c r="I135" i="13" s="1"/>
  <c r="D136" i="13"/>
  <c r="I136" i="13" s="1"/>
  <c r="D137" i="13"/>
  <c r="I137" i="13" s="1"/>
  <c r="D138" i="13"/>
  <c r="I138" i="13" s="1"/>
  <c r="D139" i="13"/>
  <c r="I139" i="13" s="1"/>
  <c r="D140" i="13"/>
  <c r="D141" i="13"/>
  <c r="D142" i="13"/>
  <c r="D143" i="13"/>
  <c r="D144" i="13"/>
  <c r="D145" i="13"/>
  <c r="I145" i="13" s="1"/>
  <c r="D146" i="13"/>
  <c r="I146" i="13" s="1"/>
  <c r="D147" i="13"/>
  <c r="I147" i="13" s="1"/>
  <c r="D148" i="13"/>
  <c r="D149" i="13"/>
  <c r="D150" i="13"/>
  <c r="D151" i="13"/>
  <c r="D152" i="13"/>
  <c r="D153" i="13"/>
  <c r="D154" i="13"/>
  <c r="D155" i="13"/>
  <c r="D156" i="13"/>
  <c r="I156" i="13" s="1"/>
  <c r="D157" i="13"/>
  <c r="I157" i="13" s="1"/>
  <c r="D158" i="13"/>
  <c r="I158" i="13" s="1"/>
  <c r="D159" i="13"/>
  <c r="I159" i="13" s="1"/>
  <c r="D160" i="13"/>
  <c r="I160" i="13" s="1"/>
  <c r="D161" i="13"/>
  <c r="I161" i="13" s="1"/>
  <c r="D162" i="13"/>
  <c r="I162" i="13" s="1"/>
  <c r="D163" i="13"/>
  <c r="I163" i="13" s="1"/>
  <c r="D164" i="13"/>
  <c r="D165" i="13"/>
  <c r="D166" i="13"/>
  <c r="D167" i="13"/>
  <c r="D168" i="13"/>
  <c r="I168" i="13" s="1"/>
  <c r="D169" i="13"/>
  <c r="I169" i="13" s="1"/>
  <c r="D170" i="13"/>
  <c r="I170" i="13" s="1"/>
  <c r="D171" i="13"/>
  <c r="I171" i="13" s="1"/>
  <c r="D172" i="13"/>
  <c r="I172" i="13" s="1"/>
  <c r="D173" i="13"/>
  <c r="I173" i="13" s="1"/>
  <c r="D174" i="13"/>
  <c r="D175" i="13"/>
  <c r="D176" i="13"/>
  <c r="D177" i="13"/>
  <c r="D178" i="13"/>
  <c r="D179" i="13"/>
  <c r="I179" i="13" s="1"/>
  <c r="D180" i="13"/>
  <c r="D181" i="13"/>
  <c r="D182" i="13"/>
  <c r="D183" i="13"/>
  <c r="D184" i="13"/>
  <c r="D185" i="13"/>
  <c r="D186" i="13"/>
  <c r="D187" i="13"/>
  <c r="D188" i="13"/>
  <c r="D189" i="13"/>
  <c r="I189" i="13" s="1"/>
  <c r="D190" i="13"/>
  <c r="I190" i="13" s="1"/>
  <c r="D191" i="13"/>
  <c r="I191" i="13" s="1"/>
  <c r="D192" i="13"/>
  <c r="I192" i="13" s="1"/>
  <c r="D193" i="13"/>
  <c r="I193" i="13" s="1"/>
  <c r="D194" i="13"/>
  <c r="I194" i="13" s="1"/>
  <c r="D195" i="13"/>
  <c r="I196" i="13" s="1"/>
  <c r="D196" i="13"/>
  <c r="D197" i="13"/>
  <c r="D198" i="13"/>
  <c r="D199" i="13"/>
  <c r="D200" i="13"/>
  <c r="D201" i="13"/>
  <c r="D202" i="13"/>
  <c r="I202" i="13" s="1"/>
  <c r="D203" i="13"/>
  <c r="I203" i="13" s="1"/>
  <c r="D204" i="13"/>
  <c r="I204" i="13" s="1"/>
  <c r="D205" i="13"/>
  <c r="I205" i="13" s="1"/>
  <c r="D206" i="13"/>
  <c r="I206" i="13" s="1"/>
  <c r="D207" i="13"/>
  <c r="I207" i="13" s="1"/>
  <c r="D208" i="13"/>
  <c r="I208" i="13" s="1"/>
  <c r="D209" i="13"/>
  <c r="I209" i="13" s="1"/>
  <c r="D210" i="13"/>
  <c r="I210" i="13" s="1"/>
  <c r="D211" i="13"/>
  <c r="I211" i="13" s="1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I223" i="13" s="1"/>
  <c r="D224" i="13"/>
  <c r="I224" i="13" s="1"/>
  <c r="D225" i="13"/>
  <c r="I225" i="13" s="1"/>
  <c r="D226" i="13"/>
  <c r="I226" i="13" s="1"/>
  <c r="D227" i="13"/>
  <c r="I227" i="13" s="1"/>
  <c r="D228" i="13"/>
  <c r="D229" i="13"/>
  <c r="D230" i="13"/>
  <c r="D231" i="13"/>
  <c r="D232" i="13"/>
  <c r="D233" i="13"/>
  <c r="D234" i="13"/>
  <c r="D235" i="13"/>
  <c r="I235" i="13" s="1"/>
  <c r="D236" i="13"/>
  <c r="I236" i="13" s="1"/>
  <c r="D237" i="13"/>
  <c r="I237" i="13" s="1"/>
  <c r="D238" i="13"/>
  <c r="I238" i="13" s="1"/>
  <c r="D239" i="13"/>
  <c r="I239" i="13" s="1"/>
  <c r="D240" i="13"/>
  <c r="I240" i="13" s="1"/>
  <c r="D241" i="13"/>
  <c r="I241" i="13" s="1"/>
  <c r="D242" i="13"/>
  <c r="I242" i="13" s="1"/>
  <c r="D243" i="13"/>
  <c r="I243" i="13" s="1"/>
  <c r="D244" i="13"/>
  <c r="D245" i="13"/>
  <c r="D246" i="13"/>
  <c r="I246" i="13" s="1"/>
  <c r="D247" i="13"/>
  <c r="I247" i="13" s="1"/>
  <c r="D248" i="13"/>
  <c r="I248" i="13" s="1"/>
  <c r="D249" i="13"/>
  <c r="I249" i="13" s="1"/>
  <c r="D250" i="13"/>
  <c r="I250" i="13" s="1"/>
  <c r="D251" i="13"/>
  <c r="D3" i="13"/>
  <c r="C4" i="13"/>
  <c r="C5" i="13"/>
  <c r="C6" i="13"/>
  <c r="C7" i="13"/>
  <c r="C8" i="13"/>
  <c r="H8" i="13" s="1"/>
  <c r="C9" i="13"/>
  <c r="H9" i="13" s="1"/>
  <c r="C10" i="13"/>
  <c r="H10" i="13" s="1"/>
  <c r="C11" i="13"/>
  <c r="C12" i="13"/>
  <c r="C13" i="13"/>
  <c r="C14" i="13"/>
  <c r="C15" i="13"/>
  <c r="C16" i="13"/>
  <c r="H16" i="13" s="1"/>
  <c r="C17" i="13"/>
  <c r="H17" i="13" s="1"/>
  <c r="C18" i="13"/>
  <c r="H18" i="13" s="1"/>
  <c r="C19" i="13"/>
  <c r="C20" i="13"/>
  <c r="C21" i="13"/>
  <c r="C22" i="13"/>
  <c r="C23" i="13"/>
  <c r="C24" i="13"/>
  <c r="H24" i="13" s="1"/>
  <c r="C25" i="13"/>
  <c r="H25" i="13" s="1"/>
  <c r="C26" i="13"/>
  <c r="H26" i="13" s="1"/>
  <c r="C27" i="13"/>
  <c r="C28" i="13"/>
  <c r="C29" i="13"/>
  <c r="C30" i="13"/>
  <c r="H30" i="13" s="1"/>
  <c r="C31" i="13"/>
  <c r="H31" i="13" s="1"/>
  <c r="C32" i="13"/>
  <c r="H32" i="13" s="1"/>
  <c r="C33" i="13"/>
  <c r="H33" i="13" s="1"/>
  <c r="C34" i="13"/>
  <c r="H34" i="13" s="1"/>
  <c r="C35" i="13"/>
  <c r="C36" i="13"/>
  <c r="C37" i="13"/>
  <c r="C38" i="13"/>
  <c r="C39" i="13"/>
  <c r="C40" i="13"/>
  <c r="H40" i="13" s="1"/>
  <c r="C41" i="13"/>
  <c r="H41" i="13" s="1"/>
  <c r="C42" i="13"/>
  <c r="H42" i="13" s="1"/>
  <c r="C43" i="13"/>
  <c r="C44" i="13"/>
  <c r="C45" i="13"/>
  <c r="C46" i="13"/>
  <c r="C47" i="13"/>
  <c r="C48" i="13"/>
  <c r="H48" i="13" s="1"/>
  <c r="C49" i="13"/>
  <c r="H49" i="13" s="1"/>
  <c r="C50" i="13"/>
  <c r="H50" i="13" s="1"/>
  <c r="C51" i="13"/>
  <c r="C52" i="13"/>
  <c r="C53" i="13"/>
  <c r="C54" i="13"/>
  <c r="C55" i="13"/>
  <c r="C56" i="13"/>
  <c r="H56" i="13" s="1"/>
  <c r="C57" i="13"/>
  <c r="H57" i="13" s="1"/>
  <c r="C58" i="13"/>
  <c r="H58" i="13" s="1"/>
  <c r="C59" i="13"/>
  <c r="C60" i="13"/>
  <c r="C61" i="13"/>
  <c r="C62" i="13"/>
  <c r="H62" i="13" s="1"/>
  <c r="C63" i="13"/>
  <c r="H63" i="13" s="1"/>
  <c r="C64" i="13"/>
  <c r="H64" i="13" s="1"/>
  <c r="C65" i="13"/>
  <c r="H65" i="13" s="1"/>
  <c r="C66" i="13"/>
  <c r="H66" i="13" s="1"/>
  <c r="C67" i="13"/>
  <c r="C68" i="13"/>
  <c r="C69" i="13"/>
  <c r="C70" i="13"/>
  <c r="C71" i="13"/>
  <c r="C72" i="13"/>
  <c r="H72" i="13" s="1"/>
  <c r="C73" i="13"/>
  <c r="H73" i="13" s="1"/>
  <c r="C74" i="13"/>
  <c r="H74" i="13" s="1"/>
  <c r="C75" i="13"/>
  <c r="C76" i="13"/>
  <c r="C77" i="13"/>
  <c r="C78" i="13"/>
  <c r="C79" i="13"/>
  <c r="C80" i="13"/>
  <c r="H80" i="13" s="1"/>
  <c r="C81" i="13"/>
  <c r="H81" i="13" s="1"/>
  <c r="C82" i="13"/>
  <c r="H82" i="13" s="1"/>
  <c r="C83" i="13"/>
  <c r="C84" i="13"/>
  <c r="C85" i="13"/>
  <c r="C86" i="13"/>
  <c r="C87" i="13"/>
  <c r="C88" i="13"/>
  <c r="H88" i="13" s="1"/>
  <c r="C89" i="13"/>
  <c r="H89" i="13" s="1"/>
  <c r="C90" i="13"/>
  <c r="H90" i="13" s="1"/>
  <c r="C91" i="13"/>
  <c r="C92" i="13"/>
  <c r="C93" i="13"/>
  <c r="C94" i="13"/>
  <c r="H94" i="13" s="1"/>
  <c r="C95" i="13"/>
  <c r="H95" i="13" s="1"/>
  <c r="C96" i="13"/>
  <c r="H96" i="13" s="1"/>
  <c r="C97" i="13"/>
  <c r="H97" i="13" s="1"/>
  <c r="C98" i="13"/>
  <c r="H98" i="13" s="1"/>
  <c r="C99" i="13"/>
  <c r="C100" i="13"/>
  <c r="C101" i="13"/>
  <c r="C102" i="13"/>
  <c r="C103" i="13"/>
  <c r="C104" i="13"/>
  <c r="H104" i="13" s="1"/>
  <c r="C105" i="13"/>
  <c r="H105" i="13" s="1"/>
  <c r="C106" i="13"/>
  <c r="H106" i="13" s="1"/>
  <c r="C107" i="13"/>
  <c r="C108" i="13"/>
  <c r="C109" i="13"/>
  <c r="C110" i="13"/>
  <c r="C111" i="13"/>
  <c r="C112" i="13"/>
  <c r="H112" i="13" s="1"/>
  <c r="C113" i="13"/>
  <c r="H113" i="13" s="1"/>
  <c r="C114" i="13"/>
  <c r="H114" i="13" s="1"/>
  <c r="C115" i="13"/>
  <c r="C116" i="13"/>
  <c r="C117" i="13"/>
  <c r="C118" i="13"/>
  <c r="C119" i="13"/>
  <c r="C120" i="13"/>
  <c r="H120" i="13" s="1"/>
  <c r="C121" i="13"/>
  <c r="H121" i="13" s="1"/>
  <c r="C122" i="13"/>
  <c r="H122" i="13" s="1"/>
  <c r="C123" i="13"/>
  <c r="C124" i="13"/>
  <c r="C125" i="13"/>
  <c r="C126" i="13"/>
  <c r="H126" i="13" s="1"/>
  <c r="C127" i="13"/>
  <c r="H127" i="13" s="1"/>
  <c r="C128" i="13"/>
  <c r="H128" i="13" s="1"/>
  <c r="C129" i="13"/>
  <c r="H129" i="13" s="1"/>
  <c r="C130" i="13"/>
  <c r="H130" i="13" s="1"/>
  <c r="C131" i="13"/>
  <c r="C132" i="13"/>
  <c r="C133" i="13"/>
  <c r="C134" i="13"/>
  <c r="C135" i="13"/>
  <c r="C136" i="13"/>
  <c r="H136" i="13" s="1"/>
  <c r="C137" i="13"/>
  <c r="H137" i="13" s="1"/>
  <c r="C138" i="13"/>
  <c r="H138" i="13" s="1"/>
  <c r="C139" i="13"/>
  <c r="C140" i="13"/>
  <c r="C141" i="13"/>
  <c r="C142" i="13"/>
  <c r="C143" i="13"/>
  <c r="C144" i="13"/>
  <c r="H144" i="13" s="1"/>
  <c r="C145" i="13"/>
  <c r="H145" i="13" s="1"/>
  <c r="C146" i="13"/>
  <c r="H146" i="13" s="1"/>
  <c r="C147" i="13"/>
  <c r="C148" i="13"/>
  <c r="C149" i="13"/>
  <c r="C150" i="13"/>
  <c r="C151" i="13"/>
  <c r="C152" i="13"/>
  <c r="H152" i="13" s="1"/>
  <c r="C153" i="13"/>
  <c r="H153" i="13" s="1"/>
  <c r="C154" i="13"/>
  <c r="H154" i="13" s="1"/>
  <c r="C155" i="13"/>
  <c r="C156" i="13"/>
  <c r="C157" i="13"/>
  <c r="C158" i="13"/>
  <c r="H158" i="13" s="1"/>
  <c r="C159" i="13"/>
  <c r="H159" i="13" s="1"/>
  <c r="C160" i="13"/>
  <c r="H160" i="13" s="1"/>
  <c r="C161" i="13"/>
  <c r="H161" i="13" s="1"/>
  <c r="C162" i="13"/>
  <c r="H162" i="13" s="1"/>
  <c r="C163" i="13"/>
  <c r="C164" i="13"/>
  <c r="C165" i="13"/>
  <c r="C166" i="13"/>
  <c r="C167" i="13"/>
  <c r="C168" i="13"/>
  <c r="H168" i="13" s="1"/>
  <c r="C169" i="13"/>
  <c r="H169" i="13" s="1"/>
  <c r="C170" i="13"/>
  <c r="H170" i="13" s="1"/>
  <c r="C171" i="13"/>
  <c r="C172" i="13"/>
  <c r="C173" i="13"/>
  <c r="C174" i="13"/>
  <c r="C175" i="13"/>
  <c r="C176" i="13"/>
  <c r="H176" i="13" s="1"/>
  <c r="C177" i="13"/>
  <c r="H177" i="13" s="1"/>
  <c r="C178" i="13"/>
  <c r="H178" i="13" s="1"/>
  <c r="C179" i="13"/>
  <c r="H179" i="13" s="1"/>
  <c r="C180" i="13"/>
  <c r="C181" i="13"/>
  <c r="C182" i="13"/>
  <c r="C183" i="13"/>
  <c r="C184" i="13"/>
  <c r="H184" i="13" s="1"/>
  <c r="C185" i="13"/>
  <c r="H185" i="13" s="1"/>
  <c r="C186" i="13"/>
  <c r="H186" i="13" s="1"/>
  <c r="C187" i="13"/>
  <c r="C188" i="13"/>
  <c r="C189" i="13"/>
  <c r="C190" i="13"/>
  <c r="H190" i="13" s="1"/>
  <c r="C191" i="13"/>
  <c r="H191" i="13" s="1"/>
  <c r="C192" i="13"/>
  <c r="H192" i="13" s="1"/>
  <c r="C193" i="13"/>
  <c r="H193" i="13" s="1"/>
  <c r="C194" i="13"/>
  <c r="H194" i="13" s="1"/>
  <c r="C195" i="13"/>
  <c r="H195" i="13" s="1"/>
  <c r="C196" i="13"/>
  <c r="C197" i="13"/>
  <c r="C198" i="13"/>
  <c r="C199" i="13"/>
  <c r="C200" i="13"/>
  <c r="H200" i="13" s="1"/>
  <c r="C201" i="13"/>
  <c r="H201" i="13" s="1"/>
  <c r="C202" i="13"/>
  <c r="H202" i="13" s="1"/>
  <c r="C203" i="13"/>
  <c r="C204" i="13"/>
  <c r="C205" i="13"/>
  <c r="C206" i="13"/>
  <c r="C207" i="13"/>
  <c r="C208" i="13"/>
  <c r="H208" i="13" s="1"/>
  <c r="C209" i="13"/>
  <c r="H209" i="13" s="1"/>
  <c r="C210" i="13"/>
  <c r="H210" i="13" s="1"/>
  <c r="C211" i="13"/>
  <c r="H211" i="13" s="1"/>
  <c r="C212" i="13"/>
  <c r="C213" i="13"/>
  <c r="C214" i="13"/>
  <c r="C215" i="13"/>
  <c r="C216" i="13"/>
  <c r="H216" i="13" s="1"/>
  <c r="Q216" i="13" s="1"/>
  <c r="R216" i="13" s="1"/>
  <c r="C217" i="13"/>
  <c r="H217" i="13" s="1"/>
  <c r="C218" i="13"/>
  <c r="H218" i="13" s="1"/>
  <c r="C219" i="13"/>
  <c r="C220" i="13"/>
  <c r="C221" i="13"/>
  <c r="C222" i="13"/>
  <c r="H222" i="13" s="1"/>
  <c r="C223" i="13"/>
  <c r="H223" i="13" s="1"/>
  <c r="C224" i="13"/>
  <c r="H224" i="13" s="1"/>
  <c r="C225" i="13"/>
  <c r="H225" i="13" s="1"/>
  <c r="C226" i="13"/>
  <c r="H226" i="13" s="1"/>
  <c r="C227" i="13"/>
  <c r="H227" i="13" s="1"/>
  <c r="C228" i="13"/>
  <c r="C229" i="13"/>
  <c r="C230" i="13"/>
  <c r="C231" i="13"/>
  <c r="C232" i="13"/>
  <c r="H232" i="13" s="1"/>
  <c r="Q232" i="13" s="1"/>
  <c r="R232" i="13" s="1"/>
  <c r="C233" i="13"/>
  <c r="H233" i="13" s="1"/>
  <c r="C234" i="13"/>
  <c r="H234" i="13" s="1"/>
  <c r="C235" i="13"/>
  <c r="C236" i="13"/>
  <c r="C237" i="13"/>
  <c r="C238" i="13"/>
  <c r="C239" i="13"/>
  <c r="H239" i="13" s="1"/>
  <c r="C240" i="13"/>
  <c r="H240" i="13" s="1"/>
  <c r="C241" i="13"/>
  <c r="H241" i="13" s="1"/>
  <c r="C242" i="13"/>
  <c r="H242" i="13" s="1"/>
  <c r="C243" i="13"/>
  <c r="H243" i="13" s="1"/>
  <c r="C244" i="13"/>
  <c r="C245" i="13"/>
  <c r="C246" i="13"/>
  <c r="C247" i="13"/>
  <c r="C248" i="13"/>
  <c r="H248" i="13" s="1"/>
  <c r="C249" i="13"/>
  <c r="H249" i="13" s="1"/>
  <c r="C250" i="13"/>
  <c r="H250" i="13" s="1"/>
  <c r="C251" i="13"/>
  <c r="C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G19" i="13" s="1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G35" i="13" s="1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G51" i="13" s="1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G67" i="13" s="1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G83" i="13" s="1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G99" i="13" s="1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G115" i="13" s="1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G131" i="13" s="1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G147" i="13" s="1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G163" i="13" s="1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G179" i="13" s="1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G195" i="13" s="1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G211" i="13" s="1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G227" i="13" s="1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G243" i="13" s="1"/>
  <c r="B244" i="13"/>
  <c r="B245" i="13"/>
  <c r="B246" i="13"/>
  <c r="B247" i="13"/>
  <c r="B248" i="13"/>
  <c r="B249" i="13"/>
  <c r="B250" i="13"/>
  <c r="B251" i="13"/>
  <c r="B3" i="13"/>
  <c r="D4" i="12"/>
  <c r="D5" i="12"/>
  <c r="D6" i="12"/>
  <c r="D7" i="12"/>
  <c r="D8" i="12"/>
  <c r="D9" i="12"/>
  <c r="D10" i="12"/>
  <c r="I10" i="12" s="1"/>
  <c r="D11" i="12"/>
  <c r="I11" i="12" s="1"/>
  <c r="D12" i="12"/>
  <c r="I12" i="12" s="1"/>
  <c r="D13" i="12"/>
  <c r="I13" i="12" s="1"/>
  <c r="D14" i="12"/>
  <c r="I14" i="12" s="1"/>
  <c r="D15" i="12"/>
  <c r="I15" i="12" s="1"/>
  <c r="D16" i="12"/>
  <c r="I16" i="12" s="1"/>
  <c r="D17" i="12"/>
  <c r="I17" i="12" s="1"/>
  <c r="D18" i="12"/>
  <c r="I18" i="12" s="1"/>
  <c r="D19" i="12"/>
  <c r="I19" i="12" s="1"/>
  <c r="D20" i="12"/>
  <c r="D21" i="12"/>
  <c r="I21" i="12" s="1"/>
  <c r="D22" i="12"/>
  <c r="I22" i="12" s="1"/>
  <c r="D23" i="12"/>
  <c r="I23" i="12" s="1"/>
  <c r="D24" i="12"/>
  <c r="D25" i="12"/>
  <c r="D26" i="12"/>
  <c r="D27" i="12"/>
  <c r="D28" i="12"/>
  <c r="D29" i="12"/>
  <c r="D30" i="12"/>
  <c r="D31" i="12"/>
  <c r="D32" i="12"/>
  <c r="D33" i="12"/>
  <c r="I33" i="12" s="1"/>
  <c r="D34" i="12"/>
  <c r="I34" i="12" s="1"/>
  <c r="D35" i="12"/>
  <c r="I35" i="12" s="1"/>
  <c r="D36" i="12"/>
  <c r="D37" i="12"/>
  <c r="D38" i="12"/>
  <c r="D39" i="12"/>
  <c r="D40" i="12"/>
  <c r="D41" i="12"/>
  <c r="D42" i="12"/>
  <c r="D43" i="12"/>
  <c r="I43" i="12" s="1"/>
  <c r="D44" i="12"/>
  <c r="I44" i="12" s="1"/>
  <c r="D45" i="12"/>
  <c r="I45" i="12" s="1"/>
  <c r="D46" i="12"/>
  <c r="I46" i="12" s="1"/>
  <c r="D47" i="12"/>
  <c r="I47" i="12" s="1"/>
  <c r="D48" i="12"/>
  <c r="I48" i="12" s="1"/>
  <c r="D49" i="12"/>
  <c r="I49" i="12" s="1"/>
  <c r="D50" i="12"/>
  <c r="I50" i="12" s="1"/>
  <c r="D51" i="12"/>
  <c r="I51" i="12" s="1"/>
  <c r="D52" i="12"/>
  <c r="D53" i="12"/>
  <c r="D54" i="12"/>
  <c r="D55" i="12"/>
  <c r="I55" i="12" s="1"/>
  <c r="D56" i="12"/>
  <c r="I56" i="12" s="1"/>
  <c r="D57" i="12"/>
  <c r="I57" i="12" s="1"/>
  <c r="D58" i="12"/>
  <c r="D59" i="12"/>
  <c r="D60" i="12"/>
  <c r="D61" i="12"/>
  <c r="D62" i="12"/>
  <c r="D63" i="12"/>
  <c r="D64" i="12"/>
  <c r="D65" i="12"/>
  <c r="D66" i="12"/>
  <c r="I66" i="12" s="1"/>
  <c r="D67" i="12"/>
  <c r="I67" i="12" s="1"/>
  <c r="D68" i="12"/>
  <c r="D69" i="12"/>
  <c r="D70" i="12"/>
  <c r="D71" i="12"/>
  <c r="D72" i="12"/>
  <c r="D73" i="12"/>
  <c r="D74" i="12"/>
  <c r="D75" i="12"/>
  <c r="D76" i="12"/>
  <c r="I76" i="12" s="1"/>
  <c r="D77" i="12"/>
  <c r="I77" i="12" s="1"/>
  <c r="D78" i="12"/>
  <c r="I78" i="12" s="1"/>
  <c r="D79" i="12"/>
  <c r="I79" i="12" s="1"/>
  <c r="D80" i="12"/>
  <c r="I80" i="12" s="1"/>
  <c r="D81" i="12"/>
  <c r="I81" i="12" s="1"/>
  <c r="D82" i="12"/>
  <c r="I82" i="12" s="1"/>
  <c r="D83" i="12"/>
  <c r="I83" i="12" s="1"/>
  <c r="D84" i="12"/>
  <c r="D85" i="12"/>
  <c r="D86" i="12"/>
  <c r="D87" i="12"/>
  <c r="I87" i="12" s="1"/>
  <c r="D88" i="12"/>
  <c r="I88" i="12" s="1"/>
  <c r="D89" i="12"/>
  <c r="I89" i="12" s="1"/>
  <c r="D90" i="12"/>
  <c r="D91" i="12"/>
  <c r="D92" i="12"/>
  <c r="D93" i="12"/>
  <c r="D94" i="12"/>
  <c r="D95" i="12"/>
  <c r="D96" i="12"/>
  <c r="D97" i="12"/>
  <c r="D98" i="12"/>
  <c r="I98" i="12" s="1"/>
  <c r="D99" i="12"/>
  <c r="I99" i="12" s="1"/>
  <c r="D100" i="12"/>
  <c r="D101" i="12"/>
  <c r="D102" i="12"/>
  <c r="D103" i="12"/>
  <c r="D104" i="12"/>
  <c r="D105" i="12"/>
  <c r="D106" i="12"/>
  <c r="D107" i="12"/>
  <c r="D108" i="12"/>
  <c r="I108" i="12" s="1"/>
  <c r="D109" i="12"/>
  <c r="I109" i="12" s="1"/>
  <c r="D110" i="12"/>
  <c r="I110" i="12" s="1"/>
  <c r="D111" i="12"/>
  <c r="I111" i="12" s="1"/>
  <c r="D112" i="12"/>
  <c r="I112" i="12" s="1"/>
  <c r="D113" i="12"/>
  <c r="I113" i="12" s="1"/>
  <c r="D114" i="12"/>
  <c r="I114" i="12" s="1"/>
  <c r="D115" i="12"/>
  <c r="I116" i="12" s="1"/>
  <c r="D116" i="12"/>
  <c r="D117" i="12"/>
  <c r="D118" i="12"/>
  <c r="D119" i="12"/>
  <c r="I119" i="12" s="1"/>
  <c r="D120" i="12"/>
  <c r="I120" i="12" s="1"/>
  <c r="D121" i="12"/>
  <c r="I121" i="12" s="1"/>
  <c r="D122" i="12"/>
  <c r="D123" i="12"/>
  <c r="D124" i="12"/>
  <c r="D125" i="12"/>
  <c r="D126" i="12"/>
  <c r="D127" i="12"/>
  <c r="D128" i="12"/>
  <c r="D129" i="12"/>
  <c r="D130" i="12"/>
  <c r="I130" i="12" s="1"/>
  <c r="D131" i="12"/>
  <c r="I131" i="12" s="1"/>
  <c r="D132" i="12"/>
  <c r="D133" i="12"/>
  <c r="D134" i="12"/>
  <c r="D135" i="12"/>
  <c r="D136" i="12"/>
  <c r="D137" i="12"/>
  <c r="D138" i="12"/>
  <c r="D139" i="12"/>
  <c r="D140" i="12"/>
  <c r="I140" i="12" s="1"/>
  <c r="D141" i="12"/>
  <c r="I141" i="12" s="1"/>
  <c r="D142" i="12"/>
  <c r="I142" i="12" s="1"/>
  <c r="D143" i="12"/>
  <c r="I143" i="12" s="1"/>
  <c r="D144" i="12"/>
  <c r="I144" i="12" s="1"/>
  <c r="D145" i="12"/>
  <c r="I145" i="12" s="1"/>
  <c r="D146" i="12"/>
  <c r="I146" i="12" s="1"/>
  <c r="D147" i="12"/>
  <c r="I147" i="12" s="1"/>
  <c r="D148" i="12"/>
  <c r="D149" i="12"/>
  <c r="D150" i="12"/>
  <c r="D151" i="12"/>
  <c r="I151" i="12" s="1"/>
  <c r="D152" i="12"/>
  <c r="I152" i="12" s="1"/>
  <c r="D153" i="12"/>
  <c r="I153" i="12" s="1"/>
  <c r="D154" i="12"/>
  <c r="D155" i="12"/>
  <c r="D156" i="12"/>
  <c r="D157" i="12"/>
  <c r="D158" i="12"/>
  <c r="D159" i="12"/>
  <c r="D160" i="12"/>
  <c r="D161" i="12"/>
  <c r="D162" i="12"/>
  <c r="I162" i="12" s="1"/>
  <c r="D163" i="12"/>
  <c r="I163" i="12" s="1"/>
  <c r="D164" i="12"/>
  <c r="D165" i="12"/>
  <c r="D166" i="12"/>
  <c r="D167" i="12"/>
  <c r="D168" i="12"/>
  <c r="D169" i="12"/>
  <c r="D170" i="12"/>
  <c r="D171" i="12"/>
  <c r="D172" i="12"/>
  <c r="I172" i="12" s="1"/>
  <c r="D173" i="12"/>
  <c r="I173" i="12" s="1"/>
  <c r="D174" i="12"/>
  <c r="I174" i="12" s="1"/>
  <c r="D175" i="12"/>
  <c r="I175" i="12" s="1"/>
  <c r="D176" i="12"/>
  <c r="I176" i="12" s="1"/>
  <c r="D177" i="12"/>
  <c r="I177" i="12" s="1"/>
  <c r="D178" i="12"/>
  <c r="I178" i="12" s="1"/>
  <c r="D179" i="12"/>
  <c r="I180" i="12" s="1"/>
  <c r="D180" i="12"/>
  <c r="D181" i="12"/>
  <c r="D182" i="12"/>
  <c r="D183" i="12"/>
  <c r="I183" i="12" s="1"/>
  <c r="D184" i="12"/>
  <c r="I184" i="12" s="1"/>
  <c r="D185" i="12"/>
  <c r="I185" i="12" s="1"/>
  <c r="D186" i="12"/>
  <c r="D187" i="12"/>
  <c r="D188" i="12"/>
  <c r="D189" i="12"/>
  <c r="D190" i="12"/>
  <c r="D191" i="12"/>
  <c r="D192" i="12"/>
  <c r="D193" i="12"/>
  <c r="D194" i="12"/>
  <c r="I194" i="12" s="1"/>
  <c r="D195" i="12"/>
  <c r="I195" i="12" s="1"/>
  <c r="D196" i="12"/>
  <c r="D197" i="12"/>
  <c r="D198" i="12"/>
  <c r="D199" i="12"/>
  <c r="D200" i="12"/>
  <c r="D201" i="12"/>
  <c r="D202" i="12"/>
  <c r="D203" i="12"/>
  <c r="D204" i="12"/>
  <c r="I204" i="12" s="1"/>
  <c r="D205" i="12"/>
  <c r="I205" i="12" s="1"/>
  <c r="D206" i="12"/>
  <c r="I206" i="12" s="1"/>
  <c r="D207" i="12"/>
  <c r="I207" i="12" s="1"/>
  <c r="D208" i="12"/>
  <c r="I208" i="12" s="1"/>
  <c r="D209" i="12"/>
  <c r="I209" i="12" s="1"/>
  <c r="D210" i="12"/>
  <c r="I210" i="12" s="1"/>
  <c r="D211" i="12"/>
  <c r="I211" i="12" s="1"/>
  <c r="D212" i="12"/>
  <c r="D213" i="12"/>
  <c r="D214" i="12"/>
  <c r="D215" i="12"/>
  <c r="I215" i="12" s="1"/>
  <c r="D216" i="12"/>
  <c r="I216" i="12" s="1"/>
  <c r="D217" i="12"/>
  <c r="I217" i="12" s="1"/>
  <c r="D218" i="12"/>
  <c r="D219" i="12"/>
  <c r="D220" i="12"/>
  <c r="D221" i="12"/>
  <c r="D222" i="12"/>
  <c r="D223" i="12"/>
  <c r="D224" i="12"/>
  <c r="D225" i="12"/>
  <c r="D226" i="12"/>
  <c r="I226" i="12" s="1"/>
  <c r="D227" i="12"/>
  <c r="I227" i="12" s="1"/>
  <c r="D228" i="12"/>
  <c r="D229" i="12"/>
  <c r="D230" i="12"/>
  <c r="D231" i="12"/>
  <c r="D232" i="12"/>
  <c r="D233" i="12"/>
  <c r="D234" i="12"/>
  <c r="D235" i="12"/>
  <c r="D236" i="12"/>
  <c r="I236" i="12" s="1"/>
  <c r="D237" i="12"/>
  <c r="I237" i="12" s="1"/>
  <c r="D238" i="12"/>
  <c r="I238" i="12" s="1"/>
  <c r="D239" i="12"/>
  <c r="I239" i="12" s="1"/>
  <c r="D240" i="12"/>
  <c r="I240" i="12" s="1"/>
  <c r="D241" i="12"/>
  <c r="I241" i="12" s="1"/>
  <c r="D242" i="12"/>
  <c r="I242" i="12" s="1"/>
  <c r="D243" i="12"/>
  <c r="I244" i="12" s="1"/>
  <c r="D244" i="12"/>
  <c r="D245" i="12"/>
  <c r="D246" i="12"/>
  <c r="D247" i="12"/>
  <c r="I247" i="12" s="1"/>
  <c r="D248" i="12"/>
  <c r="I248" i="12" s="1"/>
  <c r="D249" i="12"/>
  <c r="I249" i="12" s="1"/>
  <c r="D250" i="12"/>
  <c r="D251" i="12"/>
  <c r="D3" i="12"/>
  <c r="C4" i="12"/>
  <c r="C5" i="12"/>
  <c r="C6" i="12"/>
  <c r="H6" i="12" s="1"/>
  <c r="C7" i="12"/>
  <c r="H7" i="12" s="1"/>
  <c r="C8" i="12"/>
  <c r="C9" i="12"/>
  <c r="C10" i="12"/>
  <c r="C11" i="12"/>
  <c r="H11" i="12" s="1"/>
  <c r="C12" i="12"/>
  <c r="H12" i="12" s="1"/>
  <c r="C13" i="12"/>
  <c r="H13" i="12" s="1"/>
  <c r="C14" i="12"/>
  <c r="H14" i="12" s="1"/>
  <c r="C15" i="12"/>
  <c r="C16" i="12"/>
  <c r="C17" i="12"/>
  <c r="C18" i="12"/>
  <c r="C19" i="12"/>
  <c r="H19" i="12" s="1"/>
  <c r="C20" i="12"/>
  <c r="C21" i="12"/>
  <c r="C22" i="12"/>
  <c r="H22" i="12" s="1"/>
  <c r="C23" i="12"/>
  <c r="H23" i="12" s="1"/>
  <c r="C24" i="12"/>
  <c r="C25" i="12"/>
  <c r="C26" i="12"/>
  <c r="C27" i="12"/>
  <c r="H27" i="12" s="1"/>
  <c r="C28" i="12"/>
  <c r="H28" i="12" s="1"/>
  <c r="C29" i="12"/>
  <c r="H29" i="12" s="1"/>
  <c r="C30" i="12"/>
  <c r="H30" i="12" s="1"/>
  <c r="C31" i="12"/>
  <c r="H31" i="12" s="1"/>
  <c r="C32" i="12"/>
  <c r="C33" i="12"/>
  <c r="C34" i="12"/>
  <c r="C35" i="12"/>
  <c r="H35" i="12" s="1"/>
  <c r="C36" i="12"/>
  <c r="C37" i="12"/>
  <c r="C38" i="12"/>
  <c r="H38" i="12" s="1"/>
  <c r="C39" i="12"/>
  <c r="H39" i="12" s="1"/>
  <c r="C40" i="12"/>
  <c r="C41" i="12"/>
  <c r="C42" i="12"/>
  <c r="C43" i="12"/>
  <c r="H43" i="12" s="1"/>
  <c r="C44" i="12"/>
  <c r="H44" i="12" s="1"/>
  <c r="C45" i="12"/>
  <c r="H45" i="12" s="1"/>
  <c r="C46" i="12"/>
  <c r="H46" i="12" s="1"/>
  <c r="C47" i="12"/>
  <c r="H47" i="12" s="1"/>
  <c r="C48" i="12"/>
  <c r="C49" i="12"/>
  <c r="C50" i="12"/>
  <c r="C51" i="12"/>
  <c r="H51" i="12" s="1"/>
  <c r="C52" i="12"/>
  <c r="C53" i="12"/>
  <c r="C54" i="12"/>
  <c r="H54" i="12" s="1"/>
  <c r="C55" i="12"/>
  <c r="H55" i="12" s="1"/>
  <c r="C56" i="12"/>
  <c r="C57" i="12"/>
  <c r="C58" i="12"/>
  <c r="C59" i="12"/>
  <c r="H59" i="12" s="1"/>
  <c r="C60" i="12"/>
  <c r="H60" i="12" s="1"/>
  <c r="C61" i="12"/>
  <c r="H61" i="12" s="1"/>
  <c r="C62" i="12"/>
  <c r="H62" i="12" s="1"/>
  <c r="C63" i="12"/>
  <c r="H63" i="12" s="1"/>
  <c r="C64" i="12"/>
  <c r="C65" i="12"/>
  <c r="C66" i="12"/>
  <c r="C67" i="12"/>
  <c r="H67" i="12" s="1"/>
  <c r="C68" i="12"/>
  <c r="C69" i="12"/>
  <c r="C70" i="12"/>
  <c r="H70" i="12" s="1"/>
  <c r="C71" i="12"/>
  <c r="H71" i="12" s="1"/>
  <c r="C72" i="12"/>
  <c r="C73" i="12"/>
  <c r="C74" i="12"/>
  <c r="C75" i="12"/>
  <c r="H75" i="12" s="1"/>
  <c r="C76" i="12"/>
  <c r="H76" i="12" s="1"/>
  <c r="C77" i="12"/>
  <c r="H77" i="12" s="1"/>
  <c r="C78" i="12"/>
  <c r="H78" i="12" s="1"/>
  <c r="C79" i="12"/>
  <c r="H79" i="12" s="1"/>
  <c r="C80" i="12"/>
  <c r="C81" i="12"/>
  <c r="C82" i="12"/>
  <c r="C83" i="12"/>
  <c r="H83" i="12" s="1"/>
  <c r="C84" i="12"/>
  <c r="C85" i="12"/>
  <c r="C86" i="12"/>
  <c r="H86" i="12" s="1"/>
  <c r="C87" i="12"/>
  <c r="H87" i="12" s="1"/>
  <c r="C88" i="12"/>
  <c r="C89" i="12"/>
  <c r="C90" i="12"/>
  <c r="C91" i="12"/>
  <c r="H91" i="12" s="1"/>
  <c r="C92" i="12"/>
  <c r="H92" i="12" s="1"/>
  <c r="C93" i="12"/>
  <c r="H93" i="12" s="1"/>
  <c r="C94" i="12"/>
  <c r="H94" i="12" s="1"/>
  <c r="C95" i="12"/>
  <c r="H95" i="12" s="1"/>
  <c r="C96" i="12"/>
  <c r="C97" i="12"/>
  <c r="C98" i="12"/>
  <c r="C99" i="12"/>
  <c r="H99" i="12" s="1"/>
  <c r="C100" i="12"/>
  <c r="C101" i="12"/>
  <c r="C102" i="12"/>
  <c r="H102" i="12" s="1"/>
  <c r="C103" i="12"/>
  <c r="H103" i="12" s="1"/>
  <c r="C104" i="12"/>
  <c r="C105" i="12"/>
  <c r="C106" i="12"/>
  <c r="C107" i="12"/>
  <c r="H107" i="12" s="1"/>
  <c r="C108" i="12"/>
  <c r="H108" i="12" s="1"/>
  <c r="C109" i="12"/>
  <c r="H109" i="12" s="1"/>
  <c r="C110" i="12"/>
  <c r="H110" i="12" s="1"/>
  <c r="C111" i="12"/>
  <c r="H111" i="12" s="1"/>
  <c r="C112" i="12"/>
  <c r="C113" i="12"/>
  <c r="C114" i="12"/>
  <c r="C115" i="12"/>
  <c r="H115" i="12" s="1"/>
  <c r="C116" i="12"/>
  <c r="C117" i="12"/>
  <c r="C118" i="12"/>
  <c r="H118" i="12" s="1"/>
  <c r="C119" i="12"/>
  <c r="H119" i="12" s="1"/>
  <c r="C120" i="12"/>
  <c r="C121" i="12"/>
  <c r="C122" i="12"/>
  <c r="C123" i="12"/>
  <c r="H123" i="12" s="1"/>
  <c r="C124" i="12"/>
  <c r="H124" i="12" s="1"/>
  <c r="C125" i="12"/>
  <c r="H125" i="12" s="1"/>
  <c r="C126" i="12"/>
  <c r="H126" i="12" s="1"/>
  <c r="C127" i="12"/>
  <c r="H127" i="12" s="1"/>
  <c r="C128" i="12"/>
  <c r="C129" i="12"/>
  <c r="C130" i="12"/>
  <c r="C131" i="12"/>
  <c r="H131" i="12" s="1"/>
  <c r="C132" i="12"/>
  <c r="C133" i="12"/>
  <c r="C134" i="12"/>
  <c r="H134" i="12" s="1"/>
  <c r="C135" i="12"/>
  <c r="H135" i="12" s="1"/>
  <c r="C136" i="12"/>
  <c r="C137" i="12"/>
  <c r="C138" i="12"/>
  <c r="C139" i="12"/>
  <c r="H139" i="12" s="1"/>
  <c r="C140" i="12"/>
  <c r="H140" i="12" s="1"/>
  <c r="C141" i="12"/>
  <c r="H141" i="12" s="1"/>
  <c r="C142" i="12"/>
  <c r="H142" i="12" s="1"/>
  <c r="C143" i="12"/>
  <c r="H143" i="12" s="1"/>
  <c r="C144" i="12"/>
  <c r="C145" i="12"/>
  <c r="C146" i="12"/>
  <c r="C147" i="12"/>
  <c r="H147" i="12" s="1"/>
  <c r="C148" i="12"/>
  <c r="C149" i="12"/>
  <c r="C150" i="12"/>
  <c r="H150" i="12" s="1"/>
  <c r="C151" i="12"/>
  <c r="H151" i="12" s="1"/>
  <c r="C152" i="12"/>
  <c r="C153" i="12"/>
  <c r="C154" i="12"/>
  <c r="C155" i="12"/>
  <c r="H155" i="12" s="1"/>
  <c r="C156" i="12"/>
  <c r="H156" i="12" s="1"/>
  <c r="C157" i="12"/>
  <c r="H157" i="12" s="1"/>
  <c r="C158" i="12"/>
  <c r="H158" i="12" s="1"/>
  <c r="C159" i="12"/>
  <c r="H159" i="12" s="1"/>
  <c r="C160" i="12"/>
  <c r="C161" i="12"/>
  <c r="C162" i="12"/>
  <c r="C163" i="12"/>
  <c r="H163" i="12" s="1"/>
  <c r="C164" i="12"/>
  <c r="C165" i="12"/>
  <c r="C166" i="12"/>
  <c r="H166" i="12" s="1"/>
  <c r="C167" i="12"/>
  <c r="H167" i="12" s="1"/>
  <c r="C168" i="12"/>
  <c r="C169" i="12"/>
  <c r="C170" i="12"/>
  <c r="C171" i="12"/>
  <c r="H171" i="12" s="1"/>
  <c r="C172" i="12"/>
  <c r="H172" i="12" s="1"/>
  <c r="C173" i="12"/>
  <c r="H173" i="12" s="1"/>
  <c r="C174" i="12"/>
  <c r="H174" i="12" s="1"/>
  <c r="C175" i="12"/>
  <c r="H175" i="12" s="1"/>
  <c r="C176" i="12"/>
  <c r="C177" i="12"/>
  <c r="C178" i="12"/>
  <c r="C179" i="12"/>
  <c r="H179" i="12" s="1"/>
  <c r="C180" i="12"/>
  <c r="C181" i="12"/>
  <c r="C182" i="12"/>
  <c r="H182" i="12" s="1"/>
  <c r="C183" i="12"/>
  <c r="H183" i="12" s="1"/>
  <c r="C184" i="12"/>
  <c r="C185" i="12"/>
  <c r="C186" i="12"/>
  <c r="C187" i="12"/>
  <c r="H187" i="12" s="1"/>
  <c r="C188" i="12"/>
  <c r="H188" i="12" s="1"/>
  <c r="C189" i="12"/>
  <c r="H189" i="12" s="1"/>
  <c r="C190" i="12"/>
  <c r="H190" i="12" s="1"/>
  <c r="C191" i="12"/>
  <c r="H191" i="12" s="1"/>
  <c r="C192" i="12"/>
  <c r="C193" i="12"/>
  <c r="C194" i="12"/>
  <c r="C195" i="12"/>
  <c r="H195" i="12" s="1"/>
  <c r="C196" i="12"/>
  <c r="C197" i="12"/>
  <c r="C198" i="12"/>
  <c r="H198" i="12" s="1"/>
  <c r="C199" i="12"/>
  <c r="H199" i="12" s="1"/>
  <c r="C200" i="12"/>
  <c r="C201" i="12"/>
  <c r="C202" i="12"/>
  <c r="C203" i="12"/>
  <c r="H203" i="12" s="1"/>
  <c r="C204" i="12"/>
  <c r="H204" i="12" s="1"/>
  <c r="C205" i="12"/>
  <c r="H205" i="12" s="1"/>
  <c r="C206" i="12"/>
  <c r="H206" i="12" s="1"/>
  <c r="C207" i="12"/>
  <c r="H207" i="12" s="1"/>
  <c r="C208" i="12"/>
  <c r="C209" i="12"/>
  <c r="C210" i="12"/>
  <c r="C211" i="12"/>
  <c r="H211" i="12" s="1"/>
  <c r="C212" i="12"/>
  <c r="C213" i="12"/>
  <c r="C214" i="12"/>
  <c r="H214" i="12" s="1"/>
  <c r="C215" i="12"/>
  <c r="H215" i="12" s="1"/>
  <c r="C216" i="12"/>
  <c r="C217" i="12"/>
  <c r="C218" i="12"/>
  <c r="C219" i="12"/>
  <c r="H219" i="12" s="1"/>
  <c r="C220" i="12"/>
  <c r="H220" i="12" s="1"/>
  <c r="C221" i="12"/>
  <c r="H221" i="12" s="1"/>
  <c r="C222" i="12"/>
  <c r="H222" i="12" s="1"/>
  <c r="C223" i="12"/>
  <c r="H223" i="12" s="1"/>
  <c r="C224" i="12"/>
  <c r="C225" i="12"/>
  <c r="C226" i="12"/>
  <c r="C227" i="12"/>
  <c r="H227" i="12" s="1"/>
  <c r="C228" i="12"/>
  <c r="C229" i="12"/>
  <c r="C230" i="12"/>
  <c r="H230" i="12" s="1"/>
  <c r="C231" i="12"/>
  <c r="H231" i="12" s="1"/>
  <c r="C232" i="12"/>
  <c r="C233" i="12"/>
  <c r="C234" i="12"/>
  <c r="C235" i="12"/>
  <c r="H235" i="12" s="1"/>
  <c r="C236" i="12"/>
  <c r="H236" i="12" s="1"/>
  <c r="C237" i="12"/>
  <c r="H237" i="12" s="1"/>
  <c r="C238" i="12"/>
  <c r="H238" i="12" s="1"/>
  <c r="C239" i="12"/>
  <c r="H239" i="12" s="1"/>
  <c r="C240" i="12"/>
  <c r="C241" i="12"/>
  <c r="C242" i="12"/>
  <c r="C243" i="12"/>
  <c r="H243" i="12" s="1"/>
  <c r="C244" i="12"/>
  <c r="C245" i="12"/>
  <c r="C246" i="12"/>
  <c r="H246" i="12" s="1"/>
  <c r="C247" i="12"/>
  <c r="H247" i="12" s="1"/>
  <c r="C248" i="12"/>
  <c r="C249" i="12"/>
  <c r="C250" i="12"/>
  <c r="C251" i="12"/>
  <c r="H251" i="12" s="1"/>
  <c r="C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G17" i="12" s="1"/>
  <c r="B18" i="12"/>
  <c r="G18" i="12" s="1"/>
  <c r="B19" i="12"/>
  <c r="G19" i="12" s="1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G33" i="12" s="1"/>
  <c r="B34" i="12"/>
  <c r="G34" i="12" s="1"/>
  <c r="B35" i="12"/>
  <c r="G35" i="12" s="1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G49" i="12" s="1"/>
  <c r="B50" i="12"/>
  <c r="G50" i="12" s="1"/>
  <c r="B51" i="12"/>
  <c r="G51" i="12" s="1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G65" i="12" s="1"/>
  <c r="B66" i="12"/>
  <c r="G66" i="12" s="1"/>
  <c r="B67" i="12"/>
  <c r="G67" i="12" s="1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G81" i="12" s="1"/>
  <c r="B82" i="12"/>
  <c r="G82" i="12" s="1"/>
  <c r="B83" i="12"/>
  <c r="G83" i="12" s="1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G97" i="12" s="1"/>
  <c r="B98" i="12"/>
  <c r="G98" i="12" s="1"/>
  <c r="B99" i="12"/>
  <c r="G99" i="12" s="1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G113" i="12" s="1"/>
  <c r="B114" i="12"/>
  <c r="G114" i="12" s="1"/>
  <c r="B115" i="12"/>
  <c r="G115" i="12" s="1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G129" i="12" s="1"/>
  <c r="B130" i="12"/>
  <c r="G130" i="12" s="1"/>
  <c r="B131" i="12"/>
  <c r="G131" i="12" s="1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G145" i="12" s="1"/>
  <c r="B146" i="12"/>
  <c r="G146" i="12" s="1"/>
  <c r="B147" i="12"/>
  <c r="G147" i="12" s="1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G161" i="12" s="1"/>
  <c r="B162" i="12"/>
  <c r="G162" i="12" s="1"/>
  <c r="B163" i="12"/>
  <c r="G163" i="12" s="1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G177" i="12" s="1"/>
  <c r="B178" i="12"/>
  <c r="G178" i="12" s="1"/>
  <c r="B179" i="12"/>
  <c r="G179" i="12" s="1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G193" i="12" s="1"/>
  <c r="B194" i="12"/>
  <c r="G194" i="12" s="1"/>
  <c r="B195" i="12"/>
  <c r="G195" i="12" s="1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G209" i="12" s="1"/>
  <c r="B210" i="12"/>
  <c r="G210" i="12" s="1"/>
  <c r="B211" i="12"/>
  <c r="G211" i="12" s="1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G225" i="12" s="1"/>
  <c r="B226" i="12"/>
  <c r="G226" i="12" s="1"/>
  <c r="B227" i="12"/>
  <c r="G227" i="12" s="1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G241" i="12" s="1"/>
  <c r="B242" i="12"/>
  <c r="G242" i="12" s="1"/>
  <c r="B243" i="12"/>
  <c r="G243" i="12" s="1"/>
  <c r="B244" i="12"/>
  <c r="B245" i="12"/>
  <c r="B246" i="12"/>
  <c r="B247" i="12"/>
  <c r="B248" i="12"/>
  <c r="B249" i="12"/>
  <c r="B250" i="12"/>
  <c r="B251" i="12"/>
  <c r="B3" i="12"/>
  <c r="D7" i="9"/>
  <c r="D8" i="9"/>
  <c r="I8" i="9" s="1"/>
  <c r="D9" i="9"/>
  <c r="I9" i="9" s="1"/>
  <c r="D10" i="9"/>
  <c r="I10" i="9" s="1"/>
  <c r="D11" i="9"/>
  <c r="I11" i="9" s="1"/>
  <c r="D12" i="9"/>
  <c r="I12" i="9" s="1"/>
  <c r="D13" i="9"/>
  <c r="I13" i="9" s="1"/>
  <c r="D14" i="9"/>
  <c r="I14" i="9" s="1"/>
  <c r="D15" i="9"/>
  <c r="I15" i="9" s="1"/>
  <c r="D16" i="9"/>
  <c r="I16" i="9" s="1"/>
  <c r="D17" i="9"/>
  <c r="D18" i="9"/>
  <c r="D19" i="9"/>
  <c r="D20" i="9"/>
  <c r="I20" i="9" s="1"/>
  <c r="D21" i="9"/>
  <c r="D22" i="9"/>
  <c r="D23" i="9"/>
  <c r="I23" i="9" s="1"/>
  <c r="D24" i="9"/>
  <c r="I24" i="9" s="1"/>
  <c r="D25" i="9"/>
  <c r="I25" i="9" s="1"/>
  <c r="D26" i="9"/>
  <c r="I26" i="9" s="1"/>
  <c r="D27" i="9"/>
  <c r="I27" i="9" s="1"/>
  <c r="D28" i="9"/>
  <c r="I28" i="9" s="1"/>
  <c r="D29" i="9"/>
  <c r="I29" i="9" s="1"/>
  <c r="D30" i="9"/>
  <c r="I30" i="9" s="1"/>
  <c r="D31" i="9"/>
  <c r="I31" i="9" s="1"/>
  <c r="D32" i="9"/>
  <c r="I32" i="9" s="1"/>
  <c r="D33" i="9"/>
  <c r="D34" i="9"/>
  <c r="D35" i="9"/>
  <c r="D36" i="9"/>
  <c r="I36" i="9" s="1"/>
  <c r="D37" i="9"/>
  <c r="D38" i="9"/>
  <c r="D39" i="9"/>
  <c r="D40" i="9"/>
  <c r="I40" i="9" s="1"/>
  <c r="D41" i="9"/>
  <c r="I41" i="9" s="1"/>
  <c r="D42" i="9"/>
  <c r="I42" i="9" s="1"/>
  <c r="D43" i="9"/>
  <c r="I43" i="9" s="1"/>
  <c r="D44" i="9"/>
  <c r="I44" i="9" s="1"/>
  <c r="D45" i="9"/>
  <c r="I45" i="9" s="1"/>
  <c r="D46" i="9"/>
  <c r="I46" i="9" s="1"/>
  <c r="D47" i="9"/>
  <c r="I47" i="9" s="1"/>
  <c r="D48" i="9"/>
  <c r="I48" i="9" s="1"/>
  <c r="D49" i="9"/>
  <c r="D50" i="9"/>
  <c r="D51" i="9"/>
  <c r="D52" i="9"/>
  <c r="D53" i="9"/>
  <c r="D54" i="9"/>
  <c r="D55" i="9"/>
  <c r="D56" i="9"/>
  <c r="I56" i="9" s="1"/>
  <c r="D57" i="9"/>
  <c r="I57" i="9" s="1"/>
  <c r="D58" i="9"/>
  <c r="I58" i="9" s="1"/>
  <c r="D59" i="9"/>
  <c r="I59" i="9" s="1"/>
  <c r="D60" i="9"/>
  <c r="I60" i="9" s="1"/>
  <c r="D61" i="9"/>
  <c r="I61" i="9" s="1"/>
  <c r="D62" i="9"/>
  <c r="I62" i="9" s="1"/>
  <c r="D63" i="9"/>
  <c r="I63" i="9" s="1"/>
  <c r="D64" i="9"/>
  <c r="I64" i="9" s="1"/>
  <c r="D65" i="9"/>
  <c r="D66" i="9"/>
  <c r="D67" i="9"/>
  <c r="D68" i="9"/>
  <c r="I68" i="9" s="1"/>
  <c r="D69" i="9"/>
  <c r="D70" i="9"/>
  <c r="I70" i="9" s="1"/>
  <c r="D71" i="9"/>
  <c r="D72" i="9"/>
  <c r="I72" i="9" s="1"/>
  <c r="D73" i="9"/>
  <c r="I73" i="9" s="1"/>
  <c r="D74" i="9"/>
  <c r="I74" i="9" s="1"/>
  <c r="D75" i="9"/>
  <c r="I75" i="9" s="1"/>
  <c r="D76" i="9"/>
  <c r="I76" i="9" s="1"/>
  <c r="D77" i="9"/>
  <c r="I77" i="9" s="1"/>
  <c r="D78" i="9"/>
  <c r="I78" i="9" s="1"/>
  <c r="D79" i="9"/>
  <c r="I79" i="9" s="1"/>
  <c r="D80" i="9"/>
  <c r="I80" i="9" s="1"/>
  <c r="D81" i="9"/>
  <c r="D82" i="9"/>
  <c r="D83" i="9"/>
  <c r="D84" i="9"/>
  <c r="I84" i="9" s="1"/>
  <c r="D85" i="9"/>
  <c r="I85" i="9" s="1"/>
  <c r="D86" i="9"/>
  <c r="I86" i="9" s="1"/>
  <c r="D87" i="9"/>
  <c r="I87" i="9" s="1"/>
  <c r="D88" i="9"/>
  <c r="I88" i="9" s="1"/>
  <c r="D89" i="9"/>
  <c r="I89" i="9" s="1"/>
  <c r="D90" i="9"/>
  <c r="I90" i="9" s="1"/>
  <c r="D91" i="9"/>
  <c r="I91" i="9" s="1"/>
  <c r="D92" i="9"/>
  <c r="I92" i="9" s="1"/>
  <c r="D93" i="9"/>
  <c r="I93" i="9" s="1"/>
  <c r="D94" i="9"/>
  <c r="I94" i="9" s="1"/>
  <c r="D95" i="9"/>
  <c r="I95" i="9" s="1"/>
  <c r="D96" i="9"/>
  <c r="I96" i="9" s="1"/>
  <c r="D97" i="9"/>
  <c r="D98" i="9"/>
  <c r="D99" i="9"/>
  <c r="D100" i="9"/>
  <c r="I100" i="9" s="1"/>
  <c r="D101" i="9"/>
  <c r="D102" i="9"/>
  <c r="D103" i="9"/>
  <c r="I103" i="9" s="1"/>
  <c r="D104" i="9"/>
  <c r="I104" i="9" s="1"/>
  <c r="D105" i="9"/>
  <c r="I105" i="9" s="1"/>
  <c r="D106" i="9"/>
  <c r="I106" i="9" s="1"/>
  <c r="D107" i="9"/>
  <c r="I107" i="9" s="1"/>
  <c r="D108" i="9"/>
  <c r="I108" i="9" s="1"/>
  <c r="D109" i="9"/>
  <c r="I109" i="9" s="1"/>
  <c r="D110" i="9"/>
  <c r="I110" i="9" s="1"/>
  <c r="D111" i="9"/>
  <c r="I111" i="9" s="1"/>
  <c r="D112" i="9"/>
  <c r="I112" i="9" s="1"/>
  <c r="D113" i="9"/>
  <c r="D114" i="9"/>
  <c r="D115" i="9"/>
  <c r="D116" i="9"/>
  <c r="I116" i="9" s="1"/>
  <c r="D117" i="9"/>
  <c r="D118" i="9"/>
  <c r="D119" i="9"/>
  <c r="I119" i="9" s="1"/>
  <c r="D120" i="9"/>
  <c r="I120" i="9" s="1"/>
  <c r="D121" i="9"/>
  <c r="I121" i="9" s="1"/>
  <c r="D122" i="9"/>
  <c r="I122" i="9" s="1"/>
  <c r="D123" i="9"/>
  <c r="I123" i="9" s="1"/>
  <c r="D124" i="9"/>
  <c r="I124" i="9" s="1"/>
  <c r="D125" i="9"/>
  <c r="I125" i="9" s="1"/>
  <c r="D126" i="9"/>
  <c r="I126" i="9" s="1"/>
  <c r="D127" i="9"/>
  <c r="I127" i="9" s="1"/>
  <c r="D128" i="9"/>
  <c r="I128" i="9" s="1"/>
  <c r="D129" i="9"/>
  <c r="D130" i="9"/>
  <c r="D131" i="9"/>
  <c r="D132" i="9"/>
  <c r="I132" i="9" s="1"/>
  <c r="D133" i="9"/>
  <c r="D134" i="9"/>
  <c r="I134" i="9" s="1"/>
  <c r="D135" i="9"/>
  <c r="I135" i="9" s="1"/>
  <c r="D136" i="9"/>
  <c r="I136" i="9" s="1"/>
  <c r="D137" i="9"/>
  <c r="I137" i="9" s="1"/>
  <c r="D138" i="9"/>
  <c r="I138" i="9" s="1"/>
  <c r="D139" i="9"/>
  <c r="I139" i="9" s="1"/>
  <c r="D140" i="9"/>
  <c r="I140" i="9" s="1"/>
  <c r="D141" i="9"/>
  <c r="I141" i="9" s="1"/>
  <c r="D142" i="9"/>
  <c r="I142" i="9" s="1"/>
  <c r="D143" i="9"/>
  <c r="I143" i="9" s="1"/>
  <c r="D144" i="9"/>
  <c r="I144" i="9" s="1"/>
  <c r="D145" i="9"/>
  <c r="D146" i="9"/>
  <c r="D147" i="9"/>
  <c r="D148" i="9"/>
  <c r="D149" i="9"/>
  <c r="D150" i="9"/>
  <c r="I150" i="9" s="1"/>
  <c r="D151" i="9"/>
  <c r="I151" i="9" s="1"/>
  <c r="D152" i="9"/>
  <c r="I152" i="9" s="1"/>
  <c r="D153" i="9"/>
  <c r="I153" i="9" s="1"/>
  <c r="D154" i="9"/>
  <c r="I154" i="9" s="1"/>
  <c r="D155" i="9"/>
  <c r="I155" i="9" s="1"/>
  <c r="D156" i="9"/>
  <c r="I156" i="9" s="1"/>
  <c r="D157" i="9"/>
  <c r="I157" i="9" s="1"/>
  <c r="D158" i="9"/>
  <c r="I158" i="9" s="1"/>
  <c r="D159" i="9"/>
  <c r="I159" i="9" s="1"/>
  <c r="D160" i="9"/>
  <c r="I160" i="9" s="1"/>
  <c r="D161" i="9"/>
  <c r="D162" i="9"/>
  <c r="D163" i="9"/>
  <c r="D164" i="9"/>
  <c r="D165" i="9"/>
  <c r="D166" i="9"/>
  <c r="D167" i="9"/>
  <c r="D168" i="9"/>
  <c r="I168" i="9" s="1"/>
  <c r="D169" i="9"/>
  <c r="I169" i="9" s="1"/>
  <c r="D170" i="9"/>
  <c r="I170" i="9" s="1"/>
  <c r="D171" i="9"/>
  <c r="I171" i="9" s="1"/>
  <c r="D172" i="9"/>
  <c r="I172" i="9" s="1"/>
  <c r="D173" i="9"/>
  <c r="I173" i="9" s="1"/>
  <c r="D174" i="9"/>
  <c r="I174" i="9" s="1"/>
  <c r="D175" i="9"/>
  <c r="I175" i="9" s="1"/>
  <c r="D176" i="9"/>
  <c r="I176" i="9" s="1"/>
  <c r="D177" i="9"/>
  <c r="D178" i="9"/>
  <c r="D179" i="9"/>
  <c r="D180" i="9"/>
  <c r="I180" i="9" s="1"/>
  <c r="D181" i="9"/>
  <c r="D182" i="9"/>
  <c r="D183" i="9"/>
  <c r="I183" i="9" s="1"/>
  <c r="D184" i="9"/>
  <c r="I184" i="9" s="1"/>
  <c r="D185" i="9"/>
  <c r="I185" i="9" s="1"/>
  <c r="D186" i="9"/>
  <c r="I186" i="9" s="1"/>
  <c r="D187" i="9"/>
  <c r="I187" i="9" s="1"/>
  <c r="D188" i="9"/>
  <c r="I188" i="9" s="1"/>
  <c r="D189" i="9"/>
  <c r="I189" i="9" s="1"/>
  <c r="D190" i="9"/>
  <c r="I190" i="9" s="1"/>
  <c r="D191" i="9"/>
  <c r="I191" i="9" s="1"/>
  <c r="D192" i="9"/>
  <c r="I192" i="9" s="1"/>
  <c r="D193" i="9"/>
  <c r="D194" i="9"/>
  <c r="D195" i="9"/>
  <c r="D196" i="9"/>
  <c r="D197" i="9"/>
  <c r="D198" i="9"/>
  <c r="I198" i="9" s="1"/>
  <c r="D199" i="9"/>
  <c r="I199" i="9" s="1"/>
  <c r="D200" i="9"/>
  <c r="I200" i="9" s="1"/>
  <c r="D201" i="9"/>
  <c r="I201" i="9" s="1"/>
  <c r="D202" i="9"/>
  <c r="I202" i="9" s="1"/>
  <c r="D203" i="9"/>
  <c r="I203" i="9" s="1"/>
  <c r="D204" i="9"/>
  <c r="I204" i="9" s="1"/>
  <c r="D205" i="9"/>
  <c r="I205" i="9" s="1"/>
  <c r="D206" i="9"/>
  <c r="I206" i="9" s="1"/>
  <c r="D207" i="9"/>
  <c r="I207" i="9" s="1"/>
  <c r="D208" i="9"/>
  <c r="I208" i="9" s="1"/>
  <c r="D209" i="9"/>
  <c r="D210" i="9"/>
  <c r="D211" i="9"/>
  <c r="D212" i="9"/>
  <c r="D213" i="9"/>
  <c r="D214" i="9"/>
  <c r="I214" i="9" s="1"/>
  <c r="D215" i="9"/>
  <c r="I215" i="9" s="1"/>
  <c r="D216" i="9"/>
  <c r="I216" i="9" s="1"/>
  <c r="D217" i="9"/>
  <c r="I217" i="9" s="1"/>
  <c r="D218" i="9"/>
  <c r="I218" i="9" s="1"/>
  <c r="D219" i="9"/>
  <c r="I219" i="9" s="1"/>
  <c r="D220" i="9"/>
  <c r="I220" i="9" s="1"/>
  <c r="D221" i="9"/>
  <c r="I221" i="9" s="1"/>
  <c r="D222" i="9"/>
  <c r="I222" i="9" s="1"/>
  <c r="D223" i="9"/>
  <c r="I223" i="9" s="1"/>
  <c r="D224" i="9"/>
  <c r="I224" i="9" s="1"/>
  <c r="D225" i="9"/>
  <c r="D226" i="9"/>
  <c r="D227" i="9"/>
  <c r="D228" i="9"/>
  <c r="I228" i="9" s="1"/>
  <c r="D229" i="9"/>
  <c r="D230" i="9"/>
  <c r="I230" i="9" s="1"/>
  <c r="D231" i="9"/>
  <c r="I231" i="9" s="1"/>
  <c r="D232" i="9"/>
  <c r="I232" i="9" s="1"/>
  <c r="D233" i="9"/>
  <c r="I233" i="9" s="1"/>
  <c r="D234" i="9"/>
  <c r="I234" i="9" s="1"/>
  <c r="D235" i="9"/>
  <c r="I235" i="9" s="1"/>
  <c r="D236" i="9"/>
  <c r="I236" i="9" s="1"/>
  <c r="D237" i="9"/>
  <c r="I237" i="9" s="1"/>
  <c r="D238" i="9"/>
  <c r="I238" i="9" s="1"/>
  <c r="D239" i="9"/>
  <c r="I239" i="9" s="1"/>
  <c r="D240" i="9"/>
  <c r="I241" i="9" s="1"/>
  <c r="D241" i="9"/>
  <c r="D242" i="9"/>
  <c r="D243" i="9"/>
  <c r="D244" i="9"/>
  <c r="I244" i="9" s="1"/>
  <c r="D245" i="9"/>
  <c r="D246" i="9"/>
  <c r="I246" i="9" s="1"/>
  <c r="D247" i="9"/>
  <c r="D248" i="9"/>
  <c r="I248" i="9" s="1"/>
  <c r="D249" i="9"/>
  <c r="I249" i="9" s="1"/>
  <c r="D250" i="9"/>
  <c r="I250" i="9" s="1"/>
  <c r="D251" i="9"/>
  <c r="I251" i="9" s="1"/>
  <c r="D252" i="9"/>
  <c r="I252" i="9" s="1"/>
  <c r="D253" i="9"/>
  <c r="I253" i="9" s="1"/>
  <c r="D254" i="9"/>
  <c r="I254" i="9" s="1"/>
  <c r="D6" i="9"/>
  <c r="I7" i="9" s="1"/>
  <c r="C7" i="9"/>
  <c r="H7" i="9" s="1"/>
  <c r="C8" i="9"/>
  <c r="C9" i="9"/>
  <c r="C10" i="9"/>
  <c r="C11" i="9"/>
  <c r="H11" i="9" s="1"/>
  <c r="C12" i="9"/>
  <c r="C13" i="9"/>
  <c r="H13" i="9" s="1"/>
  <c r="C14" i="9"/>
  <c r="C15" i="9"/>
  <c r="H15" i="9" s="1"/>
  <c r="C16" i="9"/>
  <c r="H16" i="9" s="1"/>
  <c r="C17" i="9"/>
  <c r="H17" i="9" s="1"/>
  <c r="C18" i="9"/>
  <c r="H18" i="9" s="1"/>
  <c r="C19" i="9"/>
  <c r="H19" i="9" s="1"/>
  <c r="C20" i="9"/>
  <c r="H20" i="9" s="1"/>
  <c r="C21" i="9"/>
  <c r="H21" i="9" s="1"/>
  <c r="C22" i="9"/>
  <c r="C23" i="9"/>
  <c r="H24" i="9" s="1"/>
  <c r="C24" i="9"/>
  <c r="C25" i="9"/>
  <c r="C26" i="9"/>
  <c r="C27" i="9"/>
  <c r="H27" i="9" s="1"/>
  <c r="C28" i="9"/>
  <c r="C29" i="9"/>
  <c r="H29" i="9" s="1"/>
  <c r="C30" i="9"/>
  <c r="C31" i="9"/>
  <c r="H31" i="9" s="1"/>
  <c r="C32" i="9"/>
  <c r="H32" i="9" s="1"/>
  <c r="C33" i="9"/>
  <c r="H33" i="9" s="1"/>
  <c r="C34" i="9"/>
  <c r="H34" i="9" s="1"/>
  <c r="C35" i="9"/>
  <c r="H35" i="9" s="1"/>
  <c r="C36" i="9"/>
  <c r="H36" i="9" s="1"/>
  <c r="C37" i="9"/>
  <c r="H37" i="9" s="1"/>
  <c r="C38" i="9"/>
  <c r="C39" i="9"/>
  <c r="H40" i="9" s="1"/>
  <c r="C40" i="9"/>
  <c r="C41" i="9"/>
  <c r="C42" i="9"/>
  <c r="C43" i="9"/>
  <c r="C44" i="9"/>
  <c r="C45" i="9"/>
  <c r="H45" i="9" s="1"/>
  <c r="C46" i="9"/>
  <c r="H46" i="9" s="1"/>
  <c r="C47" i="9"/>
  <c r="H47" i="9" s="1"/>
  <c r="C48" i="9"/>
  <c r="H48" i="9" s="1"/>
  <c r="C49" i="9"/>
  <c r="H49" i="9" s="1"/>
  <c r="C50" i="9"/>
  <c r="H50" i="9" s="1"/>
  <c r="C51" i="9"/>
  <c r="H51" i="9" s="1"/>
  <c r="C52" i="9"/>
  <c r="H52" i="9" s="1"/>
  <c r="C53" i="9"/>
  <c r="H53" i="9" s="1"/>
  <c r="C54" i="9"/>
  <c r="C55" i="9"/>
  <c r="H56" i="9" s="1"/>
  <c r="C56" i="9"/>
  <c r="C57" i="9"/>
  <c r="C58" i="9"/>
  <c r="H58" i="9" s="1"/>
  <c r="C59" i="9"/>
  <c r="H59" i="9" s="1"/>
  <c r="C60" i="9"/>
  <c r="C61" i="9"/>
  <c r="H61" i="9" s="1"/>
  <c r="C62" i="9"/>
  <c r="H62" i="9" s="1"/>
  <c r="C63" i="9"/>
  <c r="H63" i="9" s="1"/>
  <c r="C64" i="9"/>
  <c r="H64" i="9" s="1"/>
  <c r="C65" i="9"/>
  <c r="H65" i="9" s="1"/>
  <c r="C66" i="9"/>
  <c r="H66" i="9" s="1"/>
  <c r="C67" i="9"/>
  <c r="H67" i="9" s="1"/>
  <c r="C68" i="9"/>
  <c r="H68" i="9" s="1"/>
  <c r="C69" i="9"/>
  <c r="H69" i="9" s="1"/>
  <c r="C70" i="9"/>
  <c r="C71" i="9"/>
  <c r="H72" i="9" s="1"/>
  <c r="C72" i="9"/>
  <c r="C73" i="9"/>
  <c r="C74" i="9"/>
  <c r="C75" i="9"/>
  <c r="H75" i="9" s="1"/>
  <c r="C76" i="9"/>
  <c r="C77" i="9"/>
  <c r="H77" i="9" s="1"/>
  <c r="C78" i="9"/>
  <c r="C79" i="9"/>
  <c r="H79" i="9" s="1"/>
  <c r="C80" i="9"/>
  <c r="H80" i="9" s="1"/>
  <c r="C81" i="9"/>
  <c r="H81" i="9" s="1"/>
  <c r="C82" i="9"/>
  <c r="H82" i="9" s="1"/>
  <c r="C83" i="9"/>
  <c r="H83" i="9" s="1"/>
  <c r="C84" i="9"/>
  <c r="H84" i="9" s="1"/>
  <c r="C85" i="9"/>
  <c r="H85" i="9" s="1"/>
  <c r="C86" i="9"/>
  <c r="C87" i="9"/>
  <c r="H88" i="9" s="1"/>
  <c r="C88" i="9"/>
  <c r="C89" i="9"/>
  <c r="C90" i="9"/>
  <c r="C91" i="9"/>
  <c r="C92" i="9"/>
  <c r="C93" i="9"/>
  <c r="H93" i="9" s="1"/>
  <c r="C94" i="9"/>
  <c r="C95" i="9"/>
  <c r="H95" i="9" s="1"/>
  <c r="C96" i="9"/>
  <c r="H96" i="9" s="1"/>
  <c r="C97" i="9"/>
  <c r="H97" i="9" s="1"/>
  <c r="C98" i="9"/>
  <c r="H98" i="9" s="1"/>
  <c r="C99" i="9"/>
  <c r="H99" i="9" s="1"/>
  <c r="C100" i="9"/>
  <c r="H100" i="9" s="1"/>
  <c r="C101" i="9"/>
  <c r="H101" i="9" s="1"/>
  <c r="C102" i="9"/>
  <c r="C103" i="9"/>
  <c r="H104" i="9" s="1"/>
  <c r="C104" i="9"/>
  <c r="C105" i="9"/>
  <c r="C106" i="9"/>
  <c r="C107" i="9"/>
  <c r="C108" i="9"/>
  <c r="C109" i="9"/>
  <c r="H109" i="9" s="1"/>
  <c r="C110" i="9"/>
  <c r="C111" i="9"/>
  <c r="H111" i="9" s="1"/>
  <c r="C112" i="9"/>
  <c r="H112" i="9" s="1"/>
  <c r="C113" i="9"/>
  <c r="H113" i="9" s="1"/>
  <c r="C114" i="9"/>
  <c r="H114" i="9" s="1"/>
  <c r="C115" i="9"/>
  <c r="H115" i="9" s="1"/>
  <c r="C116" i="9"/>
  <c r="H116" i="9" s="1"/>
  <c r="C117" i="9"/>
  <c r="H117" i="9" s="1"/>
  <c r="C118" i="9"/>
  <c r="C119" i="9"/>
  <c r="H120" i="9" s="1"/>
  <c r="C120" i="9"/>
  <c r="C121" i="9"/>
  <c r="C122" i="9"/>
  <c r="C123" i="9"/>
  <c r="H123" i="9" s="1"/>
  <c r="C124" i="9"/>
  <c r="C125" i="9"/>
  <c r="H125" i="9" s="1"/>
  <c r="C126" i="9"/>
  <c r="C127" i="9"/>
  <c r="H127" i="9" s="1"/>
  <c r="C128" i="9"/>
  <c r="H128" i="9" s="1"/>
  <c r="C129" i="9"/>
  <c r="H129" i="9" s="1"/>
  <c r="C130" i="9"/>
  <c r="H130" i="9" s="1"/>
  <c r="C131" i="9"/>
  <c r="H131" i="9" s="1"/>
  <c r="C132" i="9"/>
  <c r="H132" i="9" s="1"/>
  <c r="C133" i="9"/>
  <c r="H133" i="9" s="1"/>
  <c r="C134" i="9"/>
  <c r="C135" i="9"/>
  <c r="H136" i="9" s="1"/>
  <c r="C136" i="9"/>
  <c r="C137" i="9"/>
  <c r="C138" i="9"/>
  <c r="H138" i="9" s="1"/>
  <c r="C139" i="9"/>
  <c r="H139" i="9" s="1"/>
  <c r="C140" i="9"/>
  <c r="C141" i="9"/>
  <c r="H141" i="9" s="1"/>
  <c r="C142" i="9"/>
  <c r="C143" i="9"/>
  <c r="H143" i="9" s="1"/>
  <c r="C144" i="9"/>
  <c r="H144" i="9" s="1"/>
  <c r="C145" i="9"/>
  <c r="H145" i="9" s="1"/>
  <c r="C146" i="9"/>
  <c r="H146" i="9" s="1"/>
  <c r="C147" i="9"/>
  <c r="H147" i="9" s="1"/>
  <c r="C148" i="9"/>
  <c r="H148" i="9" s="1"/>
  <c r="C149" i="9"/>
  <c r="H149" i="9" s="1"/>
  <c r="C150" i="9"/>
  <c r="C151" i="9"/>
  <c r="H152" i="9" s="1"/>
  <c r="C152" i="9"/>
  <c r="C153" i="9"/>
  <c r="C154" i="9"/>
  <c r="C155" i="9"/>
  <c r="H155" i="9" s="1"/>
  <c r="C156" i="9"/>
  <c r="C157" i="9"/>
  <c r="H157" i="9" s="1"/>
  <c r="C158" i="9"/>
  <c r="C159" i="9"/>
  <c r="H159" i="9" s="1"/>
  <c r="C160" i="9"/>
  <c r="H160" i="9" s="1"/>
  <c r="C161" i="9"/>
  <c r="H161" i="9" s="1"/>
  <c r="C162" i="9"/>
  <c r="H162" i="9" s="1"/>
  <c r="C163" i="9"/>
  <c r="H163" i="9" s="1"/>
  <c r="C164" i="9"/>
  <c r="H164" i="9" s="1"/>
  <c r="C165" i="9"/>
  <c r="H165" i="9" s="1"/>
  <c r="C166" i="9"/>
  <c r="C167" i="9"/>
  <c r="H168" i="9" s="1"/>
  <c r="C168" i="9"/>
  <c r="C169" i="9"/>
  <c r="C170" i="9"/>
  <c r="C171" i="9"/>
  <c r="H171" i="9" s="1"/>
  <c r="C172" i="9"/>
  <c r="C173" i="9"/>
  <c r="H173" i="9" s="1"/>
  <c r="C174" i="9"/>
  <c r="C175" i="9"/>
  <c r="H175" i="9" s="1"/>
  <c r="C176" i="9"/>
  <c r="H176" i="9" s="1"/>
  <c r="C177" i="9"/>
  <c r="H177" i="9" s="1"/>
  <c r="C178" i="9"/>
  <c r="H178" i="9" s="1"/>
  <c r="C179" i="9"/>
  <c r="H179" i="9" s="1"/>
  <c r="C180" i="9"/>
  <c r="H180" i="9" s="1"/>
  <c r="C181" i="9"/>
  <c r="H181" i="9" s="1"/>
  <c r="C182" i="9"/>
  <c r="C183" i="9"/>
  <c r="H184" i="9" s="1"/>
  <c r="C184" i="9"/>
  <c r="C185" i="9"/>
  <c r="C186" i="9"/>
  <c r="C187" i="9"/>
  <c r="H187" i="9" s="1"/>
  <c r="C188" i="9"/>
  <c r="C189" i="9"/>
  <c r="H189" i="9" s="1"/>
  <c r="C190" i="9"/>
  <c r="C191" i="9"/>
  <c r="H191" i="9" s="1"/>
  <c r="C192" i="9"/>
  <c r="H192" i="9" s="1"/>
  <c r="C193" i="9"/>
  <c r="H193" i="9" s="1"/>
  <c r="C194" i="9"/>
  <c r="H194" i="9" s="1"/>
  <c r="C195" i="9"/>
  <c r="H195" i="9" s="1"/>
  <c r="C196" i="9"/>
  <c r="H196" i="9" s="1"/>
  <c r="C197" i="9"/>
  <c r="H197" i="9" s="1"/>
  <c r="C198" i="9"/>
  <c r="C199" i="9"/>
  <c r="H200" i="9" s="1"/>
  <c r="C200" i="9"/>
  <c r="C201" i="9"/>
  <c r="C202" i="9"/>
  <c r="C203" i="9"/>
  <c r="H203" i="9" s="1"/>
  <c r="C204" i="9"/>
  <c r="C205" i="9"/>
  <c r="H205" i="9" s="1"/>
  <c r="C206" i="9"/>
  <c r="C207" i="9"/>
  <c r="H207" i="9" s="1"/>
  <c r="C208" i="9"/>
  <c r="H208" i="9" s="1"/>
  <c r="C209" i="9"/>
  <c r="H209" i="9" s="1"/>
  <c r="C210" i="9"/>
  <c r="H210" i="9" s="1"/>
  <c r="C211" i="9"/>
  <c r="H211" i="9" s="1"/>
  <c r="C212" i="9"/>
  <c r="H212" i="9" s="1"/>
  <c r="C213" i="9"/>
  <c r="H213" i="9" s="1"/>
  <c r="C214" i="9"/>
  <c r="C215" i="9"/>
  <c r="H216" i="9" s="1"/>
  <c r="C216" i="9"/>
  <c r="C217" i="9"/>
  <c r="C218" i="9"/>
  <c r="H218" i="9" s="1"/>
  <c r="C219" i="9"/>
  <c r="H219" i="9" s="1"/>
  <c r="C220" i="9"/>
  <c r="C221" i="9"/>
  <c r="H221" i="9" s="1"/>
  <c r="C222" i="9"/>
  <c r="C223" i="9"/>
  <c r="H223" i="9" s="1"/>
  <c r="C224" i="9"/>
  <c r="H224" i="9" s="1"/>
  <c r="C225" i="9"/>
  <c r="H225" i="9" s="1"/>
  <c r="C226" i="9"/>
  <c r="H226" i="9" s="1"/>
  <c r="C227" i="9"/>
  <c r="H227" i="9" s="1"/>
  <c r="C228" i="9"/>
  <c r="H228" i="9" s="1"/>
  <c r="C229" i="9"/>
  <c r="H229" i="9" s="1"/>
  <c r="C230" i="9"/>
  <c r="C231" i="9"/>
  <c r="H232" i="9" s="1"/>
  <c r="C232" i="9"/>
  <c r="C233" i="9"/>
  <c r="C234" i="9"/>
  <c r="C235" i="9"/>
  <c r="C236" i="9"/>
  <c r="H236" i="9" s="1"/>
  <c r="C237" i="9"/>
  <c r="H237" i="9" s="1"/>
  <c r="C238" i="9"/>
  <c r="C239" i="9"/>
  <c r="H239" i="9" s="1"/>
  <c r="C240" i="9"/>
  <c r="H240" i="9" s="1"/>
  <c r="C241" i="9"/>
  <c r="H241" i="9" s="1"/>
  <c r="C242" i="9"/>
  <c r="H242" i="9" s="1"/>
  <c r="C243" i="9"/>
  <c r="H243" i="9" s="1"/>
  <c r="C244" i="9"/>
  <c r="H244" i="9" s="1"/>
  <c r="C245" i="9"/>
  <c r="H245" i="9" s="1"/>
  <c r="C246" i="9"/>
  <c r="C247" i="9"/>
  <c r="H248" i="9" s="1"/>
  <c r="C248" i="9"/>
  <c r="C249" i="9"/>
  <c r="C250" i="9"/>
  <c r="C251" i="9"/>
  <c r="C252" i="9"/>
  <c r="C253" i="9"/>
  <c r="H253" i="9" s="1"/>
  <c r="C254" i="9"/>
  <c r="C6" i="9"/>
  <c r="B7" i="9"/>
  <c r="G7" i="9" s="1"/>
  <c r="B8" i="9"/>
  <c r="G8" i="9" s="1"/>
  <c r="B9" i="9"/>
  <c r="G9" i="9" s="1"/>
  <c r="B10" i="9"/>
  <c r="G10" i="9" s="1"/>
  <c r="B11" i="9"/>
  <c r="G11" i="9" s="1"/>
  <c r="B12" i="9"/>
  <c r="G12" i="9" s="1"/>
  <c r="B13" i="9"/>
  <c r="G13" i="9" s="1"/>
  <c r="B14" i="9"/>
  <c r="G14" i="9" s="1"/>
  <c r="B15" i="9"/>
  <c r="B16" i="9"/>
  <c r="B17" i="9"/>
  <c r="B18" i="9"/>
  <c r="B19" i="9"/>
  <c r="B20" i="9"/>
  <c r="G20" i="9" s="1"/>
  <c r="B21" i="9"/>
  <c r="B22" i="9"/>
  <c r="G22" i="9" s="1"/>
  <c r="B23" i="9"/>
  <c r="B24" i="9"/>
  <c r="G24" i="9" s="1"/>
  <c r="B25" i="9"/>
  <c r="G25" i="9" s="1"/>
  <c r="B26" i="9"/>
  <c r="G26" i="9" s="1"/>
  <c r="B27" i="9"/>
  <c r="G27" i="9" s="1"/>
  <c r="B28" i="9"/>
  <c r="G28" i="9" s="1"/>
  <c r="B29" i="9"/>
  <c r="G29" i="9" s="1"/>
  <c r="B30" i="9"/>
  <c r="G31" i="9" s="1"/>
  <c r="B31" i="9"/>
  <c r="B32" i="9"/>
  <c r="B33" i="9"/>
  <c r="G33" i="9" s="1"/>
  <c r="B34" i="9"/>
  <c r="G34" i="9" s="1"/>
  <c r="B35" i="9"/>
  <c r="B36" i="9"/>
  <c r="G36" i="9" s="1"/>
  <c r="B37" i="9"/>
  <c r="B38" i="9"/>
  <c r="G38" i="9" s="1"/>
  <c r="B39" i="9"/>
  <c r="B40" i="9"/>
  <c r="G40" i="9" s="1"/>
  <c r="B41" i="9"/>
  <c r="G41" i="9" s="1"/>
  <c r="B42" i="9"/>
  <c r="G42" i="9" s="1"/>
  <c r="B43" i="9"/>
  <c r="G43" i="9" s="1"/>
  <c r="B44" i="9"/>
  <c r="G44" i="9" s="1"/>
  <c r="B45" i="9"/>
  <c r="G45" i="9" s="1"/>
  <c r="B46" i="9"/>
  <c r="G46" i="9" s="1"/>
  <c r="B47" i="9"/>
  <c r="B48" i="9"/>
  <c r="B49" i="9"/>
  <c r="B50" i="9"/>
  <c r="B51" i="9"/>
  <c r="B52" i="9"/>
  <c r="G52" i="9" s="1"/>
  <c r="B53" i="9"/>
  <c r="B54" i="9"/>
  <c r="B55" i="9"/>
  <c r="B56" i="9"/>
  <c r="G56" i="9" s="1"/>
  <c r="B57" i="9"/>
  <c r="G57" i="9" s="1"/>
  <c r="B58" i="9"/>
  <c r="G58" i="9" s="1"/>
  <c r="B59" i="9"/>
  <c r="G59" i="9" s="1"/>
  <c r="B60" i="9"/>
  <c r="G60" i="9" s="1"/>
  <c r="B61" i="9"/>
  <c r="G61" i="9" s="1"/>
  <c r="B62" i="9"/>
  <c r="G63" i="9" s="1"/>
  <c r="B63" i="9"/>
  <c r="B64" i="9"/>
  <c r="B65" i="9"/>
  <c r="B66" i="9"/>
  <c r="B67" i="9"/>
  <c r="B68" i="9"/>
  <c r="G68" i="9" s="1"/>
  <c r="B69" i="9"/>
  <c r="B70" i="9"/>
  <c r="G70" i="9" s="1"/>
  <c r="B71" i="9"/>
  <c r="B72" i="9"/>
  <c r="G72" i="9" s="1"/>
  <c r="B73" i="9"/>
  <c r="G73" i="9" s="1"/>
  <c r="B74" i="9"/>
  <c r="G74" i="9" s="1"/>
  <c r="B75" i="9"/>
  <c r="G75" i="9" s="1"/>
  <c r="B76" i="9"/>
  <c r="G76" i="9" s="1"/>
  <c r="B77" i="9"/>
  <c r="G77" i="9" s="1"/>
  <c r="B78" i="9"/>
  <c r="G79" i="9" s="1"/>
  <c r="B79" i="9"/>
  <c r="B80" i="9"/>
  <c r="B81" i="9"/>
  <c r="B82" i="9"/>
  <c r="G82" i="9" s="1"/>
  <c r="B83" i="9"/>
  <c r="B84" i="9"/>
  <c r="G84" i="9" s="1"/>
  <c r="B85" i="9"/>
  <c r="B86" i="9"/>
  <c r="B87" i="9"/>
  <c r="B88" i="9"/>
  <c r="G88" i="9" s="1"/>
  <c r="B89" i="9"/>
  <c r="G89" i="9" s="1"/>
  <c r="B90" i="9"/>
  <c r="G90" i="9" s="1"/>
  <c r="B91" i="9"/>
  <c r="G91" i="9" s="1"/>
  <c r="B92" i="9"/>
  <c r="G92" i="9" s="1"/>
  <c r="B93" i="9"/>
  <c r="G93" i="9" s="1"/>
  <c r="B94" i="9"/>
  <c r="G94" i="9" s="1"/>
  <c r="B95" i="9"/>
  <c r="B96" i="9"/>
  <c r="B97" i="9"/>
  <c r="B98" i="9"/>
  <c r="B99" i="9"/>
  <c r="B100" i="9"/>
  <c r="G100" i="9" s="1"/>
  <c r="B101" i="9"/>
  <c r="B102" i="9"/>
  <c r="G102" i="9" s="1"/>
  <c r="B103" i="9"/>
  <c r="B104" i="9"/>
  <c r="G104" i="9" s="1"/>
  <c r="B105" i="9"/>
  <c r="G105" i="9" s="1"/>
  <c r="B106" i="9"/>
  <c r="G106" i="9" s="1"/>
  <c r="B107" i="9"/>
  <c r="G107" i="9" s="1"/>
  <c r="B108" i="9"/>
  <c r="G108" i="9" s="1"/>
  <c r="B109" i="9"/>
  <c r="G109" i="9" s="1"/>
  <c r="B110" i="9"/>
  <c r="G111" i="9" s="1"/>
  <c r="B111" i="9"/>
  <c r="B112" i="9"/>
  <c r="B113" i="9"/>
  <c r="B114" i="9"/>
  <c r="B115" i="9"/>
  <c r="B116" i="9"/>
  <c r="G116" i="9" s="1"/>
  <c r="B117" i="9"/>
  <c r="B118" i="9"/>
  <c r="G118" i="9" s="1"/>
  <c r="B119" i="9"/>
  <c r="B120" i="9"/>
  <c r="G120" i="9" s="1"/>
  <c r="B121" i="9"/>
  <c r="G121" i="9" s="1"/>
  <c r="B122" i="9"/>
  <c r="G122" i="9" s="1"/>
  <c r="B123" i="9"/>
  <c r="G123" i="9" s="1"/>
  <c r="B124" i="9"/>
  <c r="G124" i="9" s="1"/>
  <c r="B125" i="9"/>
  <c r="G125" i="9" s="1"/>
  <c r="B126" i="9"/>
  <c r="B127" i="9"/>
  <c r="B128" i="9"/>
  <c r="B129" i="9"/>
  <c r="G129" i="9" s="1"/>
  <c r="B130" i="9"/>
  <c r="G130" i="9" s="1"/>
  <c r="B131" i="9"/>
  <c r="B132" i="9"/>
  <c r="G132" i="9" s="1"/>
  <c r="B133" i="9"/>
  <c r="B134" i="9"/>
  <c r="G134" i="9" s="1"/>
  <c r="B135" i="9"/>
  <c r="B136" i="9"/>
  <c r="G136" i="9" s="1"/>
  <c r="B137" i="9"/>
  <c r="G137" i="9" s="1"/>
  <c r="B138" i="9"/>
  <c r="G138" i="9" s="1"/>
  <c r="B139" i="9"/>
  <c r="G139" i="9" s="1"/>
  <c r="B140" i="9"/>
  <c r="G140" i="9" s="1"/>
  <c r="B141" i="9"/>
  <c r="G141" i="9" s="1"/>
  <c r="B142" i="9"/>
  <c r="G142" i="9" s="1"/>
  <c r="B143" i="9"/>
  <c r="B144" i="9"/>
  <c r="B145" i="9"/>
  <c r="B146" i="9"/>
  <c r="B147" i="9"/>
  <c r="B148" i="9"/>
  <c r="G148" i="9" s="1"/>
  <c r="B149" i="9"/>
  <c r="B150" i="9"/>
  <c r="B151" i="9"/>
  <c r="B152" i="9"/>
  <c r="G152" i="9" s="1"/>
  <c r="B153" i="9"/>
  <c r="G153" i="9" s="1"/>
  <c r="B154" i="9"/>
  <c r="G154" i="9" s="1"/>
  <c r="B155" i="9"/>
  <c r="G155" i="9" s="1"/>
  <c r="B156" i="9"/>
  <c r="G156" i="9" s="1"/>
  <c r="B157" i="9"/>
  <c r="G157" i="9" s="1"/>
  <c r="B158" i="9"/>
  <c r="G158" i="9" s="1"/>
  <c r="B159" i="9"/>
  <c r="B160" i="9"/>
  <c r="B161" i="9"/>
  <c r="B162" i="9"/>
  <c r="B163" i="9"/>
  <c r="B164" i="9"/>
  <c r="G164" i="9" s="1"/>
  <c r="B165" i="9"/>
  <c r="B166" i="9"/>
  <c r="G166" i="9" s="1"/>
  <c r="B167" i="9"/>
  <c r="B168" i="9"/>
  <c r="G168" i="9" s="1"/>
  <c r="B169" i="9"/>
  <c r="G169" i="9" s="1"/>
  <c r="B170" i="9"/>
  <c r="G170" i="9" s="1"/>
  <c r="B171" i="9"/>
  <c r="G171" i="9" s="1"/>
  <c r="B172" i="9"/>
  <c r="G172" i="9" s="1"/>
  <c r="B173" i="9"/>
  <c r="G173" i="9" s="1"/>
  <c r="B174" i="9"/>
  <c r="B175" i="9"/>
  <c r="B176" i="9"/>
  <c r="B177" i="9"/>
  <c r="B178" i="9"/>
  <c r="B179" i="9"/>
  <c r="B180" i="9"/>
  <c r="G180" i="9" s="1"/>
  <c r="B181" i="9"/>
  <c r="B182" i="9"/>
  <c r="G182" i="9" s="1"/>
  <c r="B183" i="9"/>
  <c r="B184" i="9"/>
  <c r="G184" i="9" s="1"/>
  <c r="B185" i="9"/>
  <c r="G185" i="9" s="1"/>
  <c r="B186" i="9"/>
  <c r="G186" i="9" s="1"/>
  <c r="B187" i="9"/>
  <c r="G187" i="9" s="1"/>
  <c r="B188" i="9"/>
  <c r="G188" i="9" s="1"/>
  <c r="B189" i="9"/>
  <c r="G189" i="9" s="1"/>
  <c r="B190" i="9"/>
  <c r="G191" i="9" s="1"/>
  <c r="B191" i="9"/>
  <c r="B192" i="9"/>
  <c r="B193" i="9"/>
  <c r="B194" i="9"/>
  <c r="G194" i="9" s="1"/>
  <c r="B195" i="9"/>
  <c r="B196" i="9"/>
  <c r="G196" i="9" s="1"/>
  <c r="B197" i="9"/>
  <c r="B198" i="9"/>
  <c r="G198" i="9" s="1"/>
  <c r="B199" i="9"/>
  <c r="B200" i="9"/>
  <c r="G200" i="9" s="1"/>
  <c r="B201" i="9"/>
  <c r="G201" i="9" s="1"/>
  <c r="B202" i="9"/>
  <c r="G202" i="9" s="1"/>
  <c r="B203" i="9"/>
  <c r="G203" i="9" s="1"/>
  <c r="B204" i="9"/>
  <c r="G204" i="9" s="1"/>
  <c r="B205" i="9"/>
  <c r="G205" i="9" s="1"/>
  <c r="B206" i="9"/>
  <c r="G206" i="9" s="1"/>
  <c r="B207" i="9"/>
  <c r="B208" i="9"/>
  <c r="B209" i="9"/>
  <c r="B210" i="9"/>
  <c r="G210" i="9" s="1"/>
  <c r="B211" i="9"/>
  <c r="B212" i="9"/>
  <c r="G212" i="9" s="1"/>
  <c r="B213" i="9"/>
  <c r="B214" i="9"/>
  <c r="G214" i="9" s="1"/>
  <c r="B215" i="9"/>
  <c r="B216" i="9"/>
  <c r="G216" i="9" s="1"/>
  <c r="B217" i="9"/>
  <c r="G217" i="9" s="1"/>
  <c r="B218" i="9"/>
  <c r="G218" i="9" s="1"/>
  <c r="B219" i="9"/>
  <c r="G219" i="9" s="1"/>
  <c r="B220" i="9"/>
  <c r="G220" i="9" s="1"/>
  <c r="B221" i="9"/>
  <c r="G221" i="9" s="1"/>
  <c r="B222" i="9"/>
  <c r="B223" i="9"/>
  <c r="B224" i="9"/>
  <c r="B225" i="9"/>
  <c r="G225" i="9" s="1"/>
  <c r="B226" i="9"/>
  <c r="G226" i="9" s="1"/>
  <c r="B227" i="9"/>
  <c r="B228" i="9"/>
  <c r="G228" i="9" s="1"/>
  <c r="B229" i="9"/>
  <c r="B230" i="9"/>
  <c r="B231" i="9"/>
  <c r="B232" i="9"/>
  <c r="G232" i="9" s="1"/>
  <c r="B233" i="9"/>
  <c r="G233" i="9" s="1"/>
  <c r="B234" i="9"/>
  <c r="G234" i="9" s="1"/>
  <c r="B235" i="9"/>
  <c r="G235" i="9" s="1"/>
  <c r="B236" i="9"/>
  <c r="G236" i="9" s="1"/>
  <c r="B237" i="9"/>
  <c r="G237" i="9" s="1"/>
  <c r="B238" i="9"/>
  <c r="G238" i="9" s="1"/>
  <c r="B239" i="9"/>
  <c r="B240" i="9"/>
  <c r="B241" i="9"/>
  <c r="B242" i="9"/>
  <c r="G242" i="9" s="1"/>
  <c r="B243" i="9"/>
  <c r="B244" i="9"/>
  <c r="G244" i="9" s="1"/>
  <c r="B245" i="9"/>
  <c r="B246" i="9"/>
  <c r="G246" i="9" s="1"/>
  <c r="B247" i="9"/>
  <c r="B248" i="9"/>
  <c r="G248" i="9" s="1"/>
  <c r="B249" i="9"/>
  <c r="G249" i="9" s="1"/>
  <c r="B250" i="9"/>
  <c r="G250" i="9" s="1"/>
  <c r="B251" i="9"/>
  <c r="G251" i="9" s="1"/>
  <c r="B252" i="9"/>
  <c r="G252" i="9" s="1"/>
  <c r="B253" i="9"/>
  <c r="G253" i="9" s="1"/>
  <c r="B254" i="9"/>
  <c r="G254" i="9" s="1"/>
  <c r="B6" i="9"/>
  <c r="B208" i="8"/>
  <c r="B209" i="8"/>
  <c r="B210" i="8"/>
  <c r="B211" i="8"/>
  <c r="G211" i="8" s="1"/>
  <c r="B212" i="8"/>
  <c r="G212" i="8" s="1"/>
  <c r="B213" i="8"/>
  <c r="G213" i="8" s="1"/>
  <c r="B214" i="8"/>
  <c r="G214" i="8" s="1"/>
  <c r="B215" i="8"/>
  <c r="G215" i="8" s="1"/>
  <c r="B216" i="8"/>
  <c r="G216" i="8" s="1"/>
  <c r="B217" i="8"/>
  <c r="G217" i="8" s="1"/>
  <c r="B218" i="8"/>
  <c r="G218" i="8" s="1"/>
  <c r="B219" i="8"/>
  <c r="G219" i="8" s="1"/>
  <c r="B220" i="8"/>
  <c r="G220" i="8" s="1"/>
  <c r="B221" i="8"/>
  <c r="G221" i="8" s="1"/>
  <c r="B222" i="8"/>
  <c r="G222" i="8" s="1"/>
  <c r="B223" i="8"/>
  <c r="B224" i="8"/>
  <c r="B225" i="8"/>
  <c r="B226" i="8"/>
  <c r="B227" i="8"/>
  <c r="B228" i="8"/>
  <c r="G228" i="8" s="1"/>
  <c r="B229" i="8"/>
  <c r="G229" i="8" s="1"/>
  <c r="B230" i="8"/>
  <c r="G230" i="8" s="1"/>
  <c r="B231" i="8"/>
  <c r="G231" i="8" s="1"/>
  <c r="B232" i="8"/>
  <c r="G232" i="8" s="1"/>
  <c r="B233" i="8"/>
  <c r="G233" i="8" s="1"/>
  <c r="B234" i="8"/>
  <c r="B235" i="8"/>
  <c r="G235" i="8" s="1"/>
  <c r="B236" i="8"/>
  <c r="G236" i="8" s="1"/>
  <c r="B237" i="8"/>
  <c r="G237" i="8" s="1"/>
  <c r="B238" i="8"/>
  <c r="G238" i="8" s="1"/>
  <c r="B239" i="8"/>
  <c r="G240" i="8" s="1"/>
  <c r="B240" i="8"/>
  <c r="B241" i="8"/>
  <c r="B242" i="8"/>
  <c r="B243" i="8"/>
  <c r="B244" i="8"/>
  <c r="B245" i="8"/>
  <c r="B246" i="8"/>
  <c r="G246" i="8" s="1"/>
  <c r="B247" i="8"/>
  <c r="G247" i="8" s="1"/>
  <c r="B248" i="8"/>
  <c r="G248" i="8" s="1"/>
  <c r="B249" i="8"/>
  <c r="G249" i="8" s="1"/>
  <c r="B250" i="8"/>
  <c r="B251" i="8"/>
  <c r="G251" i="8" s="1"/>
  <c r="B252" i="8"/>
  <c r="G252" i="8" s="1"/>
  <c r="B188" i="8"/>
  <c r="G188" i="8" s="1"/>
  <c r="B189" i="8"/>
  <c r="G189" i="8" s="1"/>
  <c r="B190" i="8"/>
  <c r="B191" i="8"/>
  <c r="B192" i="8"/>
  <c r="B193" i="8"/>
  <c r="B194" i="8"/>
  <c r="B195" i="8"/>
  <c r="B196" i="8"/>
  <c r="G196" i="8" s="1"/>
  <c r="B197" i="8"/>
  <c r="G197" i="8" s="1"/>
  <c r="B198" i="8"/>
  <c r="G198" i="8" s="1"/>
  <c r="B199" i="8"/>
  <c r="G199" i="8" s="1"/>
  <c r="B200" i="8"/>
  <c r="G200" i="8" s="1"/>
  <c r="B201" i="8"/>
  <c r="B202" i="8"/>
  <c r="G202" i="8" s="1"/>
  <c r="B203" i="8"/>
  <c r="G203" i="8" s="1"/>
  <c r="B204" i="8"/>
  <c r="B205" i="8"/>
  <c r="G205" i="8" s="1"/>
  <c r="B206" i="8"/>
  <c r="B207" i="8"/>
  <c r="B171" i="8"/>
  <c r="B172" i="8"/>
  <c r="B173" i="8"/>
  <c r="B174" i="8"/>
  <c r="B175" i="8"/>
  <c r="B176" i="8"/>
  <c r="G176" i="8" s="1"/>
  <c r="B177" i="8"/>
  <c r="G177" i="8" s="1"/>
  <c r="B178" i="8"/>
  <c r="G178" i="8" s="1"/>
  <c r="B179" i="8"/>
  <c r="G179" i="8" s="1"/>
  <c r="B180" i="8"/>
  <c r="B181" i="8"/>
  <c r="G181" i="8" s="1"/>
  <c r="B182" i="8"/>
  <c r="G182" i="8" s="1"/>
  <c r="B183" i="8"/>
  <c r="G183" i="8" s="1"/>
  <c r="B184" i="8"/>
  <c r="G184" i="8" s="1"/>
  <c r="B185" i="8"/>
  <c r="B186" i="8"/>
  <c r="B187" i="8"/>
  <c r="B147" i="8"/>
  <c r="B148" i="8"/>
  <c r="G148" i="8" s="1"/>
  <c r="B149" i="8"/>
  <c r="G149" i="8" s="1"/>
  <c r="B150" i="8"/>
  <c r="G150" i="8" s="1"/>
  <c r="B151" i="8"/>
  <c r="G151" i="8" s="1"/>
  <c r="B152" i="8"/>
  <c r="G152" i="8" s="1"/>
  <c r="B153" i="8"/>
  <c r="G153" i="8" s="1"/>
  <c r="B154" i="8"/>
  <c r="G154" i="8" s="1"/>
  <c r="B155" i="8"/>
  <c r="B156" i="8"/>
  <c r="G156" i="8" s="1"/>
  <c r="B157" i="8"/>
  <c r="G157" i="8" s="1"/>
  <c r="B158" i="8"/>
  <c r="G158" i="8" s="1"/>
  <c r="B159" i="8"/>
  <c r="G159" i="8" s="1"/>
  <c r="B160" i="8"/>
  <c r="B161" i="8"/>
  <c r="B162" i="8"/>
  <c r="B163" i="8"/>
  <c r="B164" i="8"/>
  <c r="B165" i="8"/>
  <c r="B166" i="8"/>
  <c r="G166" i="8" s="1"/>
  <c r="B167" i="8"/>
  <c r="G167" i="8" s="1"/>
  <c r="B168" i="8"/>
  <c r="G168" i="8" s="1"/>
  <c r="B169" i="8"/>
  <c r="G169" i="8" s="1"/>
  <c r="B170" i="8"/>
  <c r="G170" i="8" s="1"/>
  <c r="B125" i="8"/>
  <c r="G125" i="8" s="1"/>
  <c r="B126" i="8"/>
  <c r="G126" i="8" s="1"/>
  <c r="B127" i="8"/>
  <c r="G127" i="8" s="1"/>
  <c r="B128" i="8"/>
  <c r="G128" i="8" s="1"/>
  <c r="B129" i="8"/>
  <c r="G129" i="8" s="1"/>
  <c r="B130" i="8"/>
  <c r="B131" i="8"/>
  <c r="B132" i="8"/>
  <c r="B133" i="8"/>
  <c r="B134" i="8"/>
  <c r="B135" i="8"/>
  <c r="G135" i="8" s="1"/>
  <c r="B136" i="8"/>
  <c r="G136" i="8" s="1"/>
  <c r="B137" i="8"/>
  <c r="G137" i="8" s="1"/>
  <c r="B138" i="8"/>
  <c r="G138" i="8" s="1"/>
  <c r="B139" i="8"/>
  <c r="G139" i="8" s="1"/>
  <c r="B140" i="8"/>
  <c r="B141" i="8"/>
  <c r="B142" i="8"/>
  <c r="G142" i="8" s="1"/>
  <c r="B143" i="8"/>
  <c r="G143" i="8" s="1"/>
  <c r="B144" i="8"/>
  <c r="G144" i="8" s="1"/>
  <c r="B145" i="8"/>
  <c r="G145" i="8" s="1"/>
  <c r="B146" i="8"/>
  <c r="B107" i="8"/>
  <c r="B108" i="8"/>
  <c r="B109" i="8"/>
  <c r="B110" i="8"/>
  <c r="B111" i="8"/>
  <c r="G111" i="8" s="1"/>
  <c r="B112" i="8"/>
  <c r="G112" i="8" s="1"/>
  <c r="B113" i="8"/>
  <c r="G113" i="8" s="1"/>
  <c r="B114" i="8"/>
  <c r="G114" i="8" s="1"/>
  <c r="B115" i="8"/>
  <c r="G115" i="8" s="1"/>
  <c r="B116" i="8"/>
  <c r="G116" i="8" s="1"/>
  <c r="B117" i="8"/>
  <c r="B118" i="8"/>
  <c r="G118" i="8" s="1"/>
  <c r="B119" i="8"/>
  <c r="G119" i="8" s="1"/>
  <c r="B120" i="8"/>
  <c r="G120" i="8" s="1"/>
  <c r="B121" i="8"/>
  <c r="G121" i="8" s="1"/>
  <c r="B122" i="8"/>
  <c r="G123" i="8" s="1"/>
  <c r="B123" i="8"/>
  <c r="B124" i="8"/>
  <c r="B85" i="8"/>
  <c r="B86" i="8"/>
  <c r="G86" i="8" s="1"/>
  <c r="B87" i="8"/>
  <c r="G87" i="8" s="1"/>
  <c r="B88" i="8"/>
  <c r="G88" i="8" s="1"/>
  <c r="B89" i="8"/>
  <c r="G89" i="8" s="1"/>
  <c r="B90" i="8"/>
  <c r="G90" i="8" s="1"/>
  <c r="B91" i="8"/>
  <c r="G91" i="8" s="1"/>
  <c r="B92" i="8"/>
  <c r="G92" i="8" s="1"/>
  <c r="B93" i="8"/>
  <c r="B94" i="8"/>
  <c r="G94" i="8" s="1"/>
  <c r="B95" i="8"/>
  <c r="G95" i="8" s="1"/>
  <c r="B96" i="8"/>
  <c r="G96" i="8" s="1"/>
  <c r="B97" i="8"/>
  <c r="G97" i="8" s="1"/>
  <c r="B98" i="8"/>
  <c r="B99" i="8"/>
  <c r="B100" i="8"/>
  <c r="B101" i="8"/>
  <c r="B102" i="8"/>
  <c r="B103" i="8"/>
  <c r="B104" i="8"/>
  <c r="B105" i="8"/>
  <c r="G105" i="8" s="1"/>
  <c r="B106" i="8"/>
  <c r="G106" i="8" s="1"/>
  <c r="B63" i="8"/>
  <c r="B64" i="8"/>
  <c r="G64" i="8" s="1"/>
  <c r="B65" i="8"/>
  <c r="B66" i="8"/>
  <c r="G66" i="8" s="1"/>
  <c r="B67" i="8"/>
  <c r="G67" i="8" s="1"/>
  <c r="B68" i="8"/>
  <c r="G68" i="8" s="1"/>
  <c r="B69" i="8"/>
  <c r="G69" i="8" s="1"/>
  <c r="B70" i="8"/>
  <c r="B71" i="8"/>
  <c r="B72" i="8"/>
  <c r="B73" i="8"/>
  <c r="B74" i="8"/>
  <c r="B75" i="8"/>
  <c r="G75" i="8" s="1"/>
  <c r="B76" i="8"/>
  <c r="G76" i="8" s="1"/>
  <c r="B77" i="8"/>
  <c r="G77" i="8" s="1"/>
  <c r="B78" i="8"/>
  <c r="G78" i="8" s="1"/>
  <c r="B79" i="8"/>
  <c r="B80" i="8"/>
  <c r="G80" i="8" s="1"/>
  <c r="B81" i="8"/>
  <c r="B82" i="8"/>
  <c r="G82" i="8" s="1"/>
  <c r="B83" i="8"/>
  <c r="G83" i="8" s="1"/>
  <c r="B84" i="8"/>
  <c r="G84" i="8" s="1"/>
  <c r="B48" i="8"/>
  <c r="G49" i="8" s="1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G62" i="8" s="1"/>
  <c r="B29" i="8"/>
  <c r="G29" i="8" s="1"/>
  <c r="B30" i="8"/>
  <c r="G30" i="8" s="1"/>
  <c r="B31" i="8"/>
  <c r="G32" i="8" s="1"/>
  <c r="B32" i="8"/>
  <c r="B33" i="8"/>
  <c r="B34" i="8"/>
  <c r="B35" i="8"/>
  <c r="G35" i="8" s="1"/>
  <c r="B36" i="8"/>
  <c r="G36" i="8" s="1"/>
  <c r="B37" i="8"/>
  <c r="G37" i="8" s="1"/>
  <c r="B38" i="8"/>
  <c r="G38" i="8" s="1"/>
  <c r="B39" i="8"/>
  <c r="G39" i="8" s="1"/>
  <c r="B40" i="8"/>
  <c r="G40" i="8" s="1"/>
  <c r="B41" i="8"/>
  <c r="G41" i="8" s="1"/>
  <c r="B42" i="8"/>
  <c r="B43" i="8"/>
  <c r="G43" i="8" s="1"/>
  <c r="B44" i="8"/>
  <c r="G44" i="8" s="1"/>
  <c r="B45" i="8"/>
  <c r="B46" i="8"/>
  <c r="G46" i="8" s="1"/>
  <c r="B47" i="8"/>
  <c r="B5" i="8"/>
  <c r="B6" i="8"/>
  <c r="B7" i="8"/>
  <c r="B8" i="8"/>
  <c r="B9" i="8"/>
  <c r="B10" i="8"/>
  <c r="B11" i="8"/>
  <c r="B12" i="8"/>
  <c r="B13" i="8"/>
  <c r="G13" i="8" s="1"/>
  <c r="B14" i="8"/>
  <c r="G14" i="8" s="1"/>
  <c r="B15" i="8"/>
  <c r="B16" i="8"/>
  <c r="G16" i="8" s="1"/>
  <c r="B17" i="8"/>
  <c r="G17" i="8" s="1"/>
  <c r="B18" i="8"/>
  <c r="G18" i="8" s="1"/>
  <c r="B19" i="8"/>
  <c r="G19" i="8" s="1"/>
  <c r="B20" i="8"/>
  <c r="B21" i="8"/>
  <c r="B22" i="8"/>
  <c r="B23" i="8"/>
  <c r="B24" i="8"/>
  <c r="B25" i="8"/>
  <c r="B26" i="8"/>
  <c r="G26" i="8" s="1"/>
  <c r="B27" i="8"/>
  <c r="G27" i="8" s="1"/>
  <c r="B28" i="8"/>
  <c r="G28" i="8" s="1"/>
  <c r="B4" i="8"/>
  <c r="G5" i="8" s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6" i="1"/>
  <c r="D14" i="11" a="1"/>
  <c r="D14" i="11" s="1"/>
  <c r="D13" i="11" a="1"/>
  <c r="D13" i="11" s="1"/>
  <c r="D12" i="11" a="1"/>
  <c r="D12" i="11" s="1"/>
  <c r="G4" i="13"/>
  <c r="H4" i="13"/>
  <c r="I4" i="13"/>
  <c r="H4" i="12"/>
  <c r="I4" i="12"/>
  <c r="H5" i="12"/>
  <c r="I5" i="12"/>
  <c r="I6" i="12"/>
  <c r="I7" i="12"/>
  <c r="H8" i="12"/>
  <c r="I8" i="12"/>
  <c r="H9" i="12"/>
  <c r="I9" i="12"/>
  <c r="H10" i="12"/>
  <c r="H15" i="12"/>
  <c r="H16" i="12"/>
  <c r="H17" i="12"/>
  <c r="H18" i="12"/>
  <c r="H21" i="12"/>
  <c r="H24" i="12"/>
  <c r="I24" i="12"/>
  <c r="H25" i="12"/>
  <c r="I25" i="12"/>
  <c r="H26" i="12"/>
  <c r="I26" i="12"/>
  <c r="I27" i="12"/>
  <c r="I28" i="12"/>
  <c r="I29" i="12"/>
  <c r="I30" i="12"/>
  <c r="I31" i="12"/>
  <c r="H32" i="12"/>
  <c r="I32" i="12"/>
  <c r="H33" i="12"/>
  <c r="H34" i="12"/>
  <c r="H37" i="12"/>
  <c r="I37" i="12"/>
  <c r="I38" i="12"/>
  <c r="I39" i="12"/>
  <c r="H40" i="12"/>
  <c r="I40" i="12"/>
  <c r="H41" i="12"/>
  <c r="I41" i="12"/>
  <c r="H42" i="12"/>
  <c r="I42" i="12"/>
  <c r="H48" i="12"/>
  <c r="H49" i="12"/>
  <c r="H50" i="12"/>
  <c r="H53" i="12"/>
  <c r="I53" i="12"/>
  <c r="I54" i="12"/>
  <c r="H56" i="12"/>
  <c r="H57" i="12"/>
  <c r="H58" i="12"/>
  <c r="I58" i="12"/>
  <c r="I59" i="12"/>
  <c r="I60" i="12"/>
  <c r="I61" i="12"/>
  <c r="I62" i="12"/>
  <c r="I63" i="12"/>
  <c r="H64" i="12"/>
  <c r="I64" i="12"/>
  <c r="H65" i="12"/>
  <c r="I65" i="12"/>
  <c r="H66" i="12"/>
  <c r="H68" i="12"/>
  <c r="H69" i="12"/>
  <c r="I69" i="12"/>
  <c r="I70" i="12"/>
  <c r="I71" i="12"/>
  <c r="H72" i="12"/>
  <c r="I72" i="12"/>
  <c r="H73" i="12"/>
  <c r="I73" i="12"/>
  <c r="H74" i="12"/>
  <c r="I74" i="12"/>
  <c r="I75" i="12"/>
  <c r="H80" i="12"/>
  <c r="H81" i="12"/>
  <c r="H82" i="12"/>
  <c r="H84" i="12"/>
  <c r="H85" i="12"/>
  <c r="I85" i="12"/>
  <c r="I86" i="12"/>
  <c r="H88" i="12"/>
  <c r="H89" i="12"/>
  <c r="H90" i="12"/>
  <c r="I90" i="12"/>
  <c r="I91" i="12"/>
  <c r="I92" i="12"/>
  <c r="I93" i="12"/>
  <c r="I94" i="12"/>
  <c r="I95" i="12"/>
  <c r="H96" i="12"/>
  <c r="I96" i="12"/>
  <c r="H97" i="12"/>
  <c r="I97" i="12"/>
  <c r="H98" i="12"/>
  <c r="H100" i="12"/>
  <c r="H101" i="12"/>
  <c r="I101" i="12"/>
  <c r="I102" i="12"/>
  <c r="I103" i="12"/>
  <c r="H104" i="12"/>
  <c r="I104" i="12"/>
  <c r="H105" i="12"/>
  <c r="I105" i="12"/>
  <c r="H106" i="12"/>
  <c r="I106" i="12"/>
  <c r="I107" i="12"/>
  <c r="H112" i="12"/>
  <c r="H113" i="12"/>
  <c r="H114" i="12"/>
  <c r="H116" i="12"/>
  <c r="H117" i="12"/>
  <c r="I117" i="12"/>
  <c r="I118" i="12"/>
  <c r="H120" i="12"/>
  <c r="H121" i="12"/>
  <c r="H122" i="12"/>
  <c r="I122" i="12"/>
  <c r="I123" i="12"/>
  <c r="I124" i="12"/>
  <c r="I125" i="12"/>
  <c r="I126" i="12"/>
  <c r="I127" i="12"/>
  <c r="H128" i="12"/>
  <c r="I128" i="12"/>
  <c r="H129" i="12"/>
  <c r="I129" i="12"/>
  <c r="H130" i="12"/>
  <c r="H132" i="12"/>
  <c r="H133" i="12"/>
  <c r="I133" i="12"/>
  <c r="I134" i="12"/>
  <c r="I135" i="12"/>
  <c r="H136" i="12"/>
  <c r="I136" i="12"/>
  <c r="H137" i="12"/>
  <c r="I137" i="12"/>
  <c r="H138" i="12"/>
  <c r="I138" i="12"/>
  <c r="I139" i="12"/>
  <c r="H144" i="12"/>
  <c r="H145" i="12"/>
  <c r="H146" i="12"/>
  <c r="H148" i="12"/>
  <c r="H149" i="12"/>
  <c r="I149" i="12"/>
  <c r="I150" i="12"/>
  <c r="H152" i="12"/>
  <c r="H153" i="12"/>
  <c r="H154" i="12"/>
  <c r="I154" i="12"/>
  <c r="I155" i="12"/>
  <c r="I156" i="12"/>
  <c r="I157" i="12"/>
  <c r="I158" i="12"/>
  <c r="I159" i="12"/>
  <c r="H160" i="12"/>
  <c r="I160" i="12"/>
  <c r="H161" i="12"/>
  <c r="I161" i="12"/>
  <c r="H162" i="12"/>
  <c r="H164" i="12"/>
  <c r="H165" i="12"/>
  <c r="I165" i="12"/>
  <c r="I166" i="12"/>
  <c r="I167" i="12"/>
  <c r="H168" i="12"/>
  <c r="I168" i="12"/>
  <c r="H169" i="12"/>
  <c r="I169" i="12"/>
  <c r="H170" i="12"/>
  <c r="I170" i="12"/>
  <c r="I171" i="12"/>
  <c r="H176" i="12"/>
  <c r="H177" i="12"/>
  <c r="H178" i="12"/>
  <c r="H180" i="12"/>
  <c r="H181" i="12"/>
  <c r="I181" i="12"/>
  <c r="I182" i="12"/>
  <c r="H184" i="12"/>
  <c r="H185" i="12"/>
  <c r="H186" i="12"/>
  <c r="I186" i="12"/>
  <c r="I187" i="12"/>
  <c r="I188" i="12"/>
  <c r="I189" i="12"/>
  <c r="I190" i="12"/>
  <c r="I191" i="12"/>
  <c r="H192" i="12"/>
  <c r="I192" i="12"/>
  <c r="H193" i="12"/>
  <c r="I193" i="12"/>
  <c r="H194" i="12"/>
  <c r="H196" i="12"/>
  <c r="H197" i="12"/>
  <c r="I197" i="12"/>
  <c r="I198" i="12"/>
  <c r="I199" i="12"/>
  <c r="H200" i="12"/>
  <c r="I200" i="12"/>
  <c r="H201" i="12"/>
  <c r="I201" i="12"/>
  <c r="H202" i="12"/>
  <c r="I202" i="12"/>
  <c r="I203" i="12"/>
  <c r="H208" i="12"/>
  <c r="H209" i="12"/>
  <c r="H210" i="12"/>
  <c r="H212" i="12"/>
  <c r="H213" i="12"/>
  <c r="I213" i="12"/>
  <c r="I214" i="12"/>
  <c r="H216" i="12"/>
  <c r="H217" i="12"/>
  <c r="H218" i="12"/>
  <c r="I218" i="12"/>
  <c r="I219" i="12"/>
  <c r="I220" i="12"/>
  <c r="I221" i="12"/>
  <c r="I222" i="12"/>
  <c r="I223" i="12"/>
  <c r="H224" i="12"/>
  <c r="I224" i="12"/>
  <c r="H225" i="12"/>
  <c r="I225" i="12"/>
  <c r="H226" i="12"/>
  <c r="H228" i="12"/>
  <c r="H229" i="12"/>
  <c r="I229" i="12"/>
  <c r="I230" i="12"/>
  <c r="I231" i="12"/>
  <c r="H232" i="12"/>
  <c r="I232" i="12"/>
  <c r="H233" i="12"/>
  <c r="I233" i="12"/>
  <c r="H234" i="12"/>
  <c r="I234" i="12"/>
  <c r="I235" i="12"/>
  <c r="H240" i="12"/>
  <c r="H241" i="12"/>
  <c r="H242" i="12"/>
  <c r="H244" i="12"/>
  <c r="H245" i="12"/>
  <c r="I245" i="12"/>
  <c r="I246" i="12"/>
  <c r="H248" i="12"/>
  <c r="H249" i="12"/>
  <c r="H250" i="12"/>
  <c r="I250" i="12"/>
  <c r="I251" i="12"/>
  <c r="G5" i="12"/>
  <c r="G6" i="12"/>
  <c r="G7" i="12"/>
  <c r="G8" i="12"/>
  <c r="G9" i="12"/>
  <c r="G10" i="12"/>
  <c r="G11" i="12"/>
  <c r="G12" i="12"/>
  <c r="G13" i="12"/>
  <c r="G14" i="12"/>
  <c r="G15" i="12"/>
  <c r="G16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5" i="12"/>
  <c r="G246" i="12"/>
  <c r="G247" i="12"/>
  <c r="G248" i="12"/>
  <c r="G249" i="12"/>
  <c r="G250" i="12"/>
  <c r="G251" i="12"/>
  <c r="G4" i="12"/>
  <c r="H5" i="13"/>
  <c r="I5" i="13"/>
  <c r="H6" i="13"/>
  <c r="I6" i="13"/>
  <c r="H7" i="13"/>
  <c r="I7" i="13"/>
  <c r="I8" i="13"/>
  <c r="I9" i="13"/>
  <c r="I10" i="13"/>
  <c r="H11" i="13"/>
  <c r="I11" i="13"/>
  <c r="H12" i="13"/>
  <c r="H13" i="13"/>
  <c r="H14" i="13"/>
  <c r="H15" i="13"/>
  <c r="H21" i="13"/>
  <c r="I21" i="13"/>
  <c r="H22" i="13"/>
  <c r="I22" i="13"/>
  <c r="H23" i="13"/>
  <c r="H27" i="13"/>
  <c r="H28" i="13"/>
  <c r="I28" i="13"/>
  <c r="H29" i="13"/>
  <c r="I29" i="13"/>
  <c r="I30" i="13"/>
  <c r="I31" i="13"/>
  <c r="I32" i="13"/>
  <c r="I33" i="13"/>
  <c r="I34" i="13"/>
  <c r="H37" i="13"/>
  <c r="I37" i="13"/>
  <c r="H38" i="13"/>
  <c r="I38" i="13"/>
  <c r="H39" i="13"/>
  <c r="I39" i="13"/>
  <c r="I40" i="13"/>
  <c r="I41" i="13"/>
  <c r="I42" i="13"/>
  <c r="H43" i="13"/>
  <c r="I43" i="13"/>
  <c r="H44" i="13"/>
  <c r="I44" i="13"/>
  <c r="H45" i="13"/>
  <c r="H46" i="13"/>
  <c r="H47" i="13"/>
  <c r="H53" i="13"/>
  <c r="I53" i="13"/>
  <c r="H54" i="13"/>
  <c r="I54" i="13"/>
  <c r="H55" i="13"/>
  <c r="I55" i="13"/>
  <c r="H59" i="13"/>
  <c r="H60" i="13"/>
  <c r="H61" i="13"/>
  <c r="I68" i="13"/>
  <c r="H69" i="13"/>
  <c r="I69" i="13"/>
  <c r="H70" i="13"/>
  <c r="I70" i="13"/>
  <c r="H71" i="13"/>
  <c r="I71" i="13"/>
  <c r="I72" i="13"/>
  <c r="Q72" i="13" s="1"/>
  <c r="R72" i="13" s="1"/>
  <c r="I73" i="13"/>
  <c r="I74" i="13"/>
  <c r="H75" i="13"/>
  <c r="I75" i="13"/>
  <c r="H76" i="13"/>
  <c r="I76" i="13"/>
  <c r="H77" i="13"/>
  <c r="I77" i="13"/>
  <c r="H78" i="13"/>
  <c r="H79" i="13"/>
  <c r="H85" i="13"/>
  <c r="I85" i="13"/>
  <c r="H86" i="13"/>
  <c r="I86" i="13"/>
  <c r="H87" i="13"/>
  <c r="I87" i="13"/>
  <c r="I88" i="13"/>
  <c r="I89" i="13"/>
  <c r="H91" i="13"/>
  <c r="H92" i="13"/>
  <c r="H93" i="13"/>
  <c r="H101" i="13"/>
  <c r="I101" i="13"/>
  <c r="H102" i="13"/>
  <c r="H103" i="13"/>
  <c r="I103" i="13"/>
  <c r="I104" i="13"/>
  <c r="I105" i="13"/>
  <c r="I106" i="13"/>
  <c r="H107" i="13"/>
  <c r="I107" i="13"/>
  <c r="H108" i="13"/>
  <c r="I108" i="13"/>
  <c r="H109" i="13"/>
  <c r="I109" i="13"/>
  <c r="H110" i="13"/>
  <c r="I110" i="13"/>
  <c r="H111" i="13"/>
  <c r="H117" i="13"/>
  <c r="I117" i="13"/>
  <c r="H118" i="13"/>
  <c r="I118" i="13"/>
  <c r="H119" i="13"/>
  <c r="I119" i="13"/>
  <c r="I120" i="13"/>
  <c r="I121" i="13"/>
  <c r="I122" i="13"/>
  <c r="H123" i="13"/>
  <c r="H124" i="13"/>
  <c r="H125" i="13"/>
  <c r="H133" i="13"/>
  <c r="I133" i="13"/>
  <c r="H134" i="13"/>
  <c r="I134" i="13"/>
  <c r="H135" i="13"/>
  <c r="H139" i="13"/>
  <c r="H140" i="13"/>
  <c r="I140" i="13"/>
  <c r="H141" i="13"/>
  <c r="I141" i="13"/>
  <c r="H142" i="13"/>
  <c r="I142" i="13"/>
  <c r="H143" i="13"/>
  <c r="I143" i="13"/>
  <c r="I144" i="13"/>
  <c r="H149" i="13"/>
  <c r="I149" i="13"/>
  <c r="H150" i="13"/>
  <c r="I150" i="13"/>
  <c r="H151" i="13"/>
  <c r="I151" i="13"/>
  <c r="I152" i="13"/>
  <c r="I153" i="13"/>
  <c r="I154" i="13"/>
  <c r="H155" i="13"/>
  <c r="I155" i="13"/>
  <c r="H156" i="13"/>
  <c r="H157" i="13"/>
  <c r="H165" i="13"/>
  <c r="I165" i="13"/>
  <c r="H166" i="13"/>
  <c r="I166" i="13"/>
  <c r="H167" i="13"/>
  <c r="I167" i="13"/>
  <c r="H171" i="13"/>
  <c r="H172" i="13"/>
  <c r="H173" i="13"/>
  <c r="H174" i="13"/>
  <c r="I174" i="13"/>
  <c r="H175" i="13"/>
  <c r="I175" i="13"/>
  <c r="I176" i="13"/>
  <c r="I177" i="13"/>
  <c r="I178" i="13"/>
  <c r="H181" i="13"/>
  <c r="I181" i="13"/>
  <c r="H182" i="13"/>
  <c r="I182" i="13"/>
  <c r="H183" i="13"/>
  <c r="I183" i="13"/>
  <c r="I184" i="13"/>
  <c r="I185" i="13"/>
  <c r="I186" i="13"/>
  <c r="H187" i="13"/>
  <c r="I187" i="13"/>
  <c r="H188" i="13"/>
  <c r="I188" i="13"/>
  <c r="H189" i="13"/>
  <c r="H197" i="13"/>
  <c r="I197" i="13"/>
  <c r="H198" i="13"/>
  <c r="I198" i="13"/>
  <c r="H199" i="13"/>
  <c r="I199" i="13"/>
  <c r="I200" i="13"/>
  <c r="I201" i="13"/>
  <c r="H203" i="13"/>
  <c r="H204" i="13"/>
  <c r="H205" i="13"/>
  <c r="H206" i="13"/>
  <c r="H207" i="13"/>
  <c r="I212" i="13"/>
  <c r="H213" i="13"/>
  <c r="I213" i="13"/>
  <c r="H214" i="13"/>
  <c r="I214" i="13"/>
  <c r="H215" i="13"/>
  <c r="I215" i="13"/>
  <c r="I216" i="13"/>
  <c r="I217" i="13"/>
  <c r="I218" i="13"/>
  <c r="H219" i="13"/>
  <c r="I219" i="13"/>
  <c r="H220" i="13"/>
  <c r="I220" i="13"/>
  <c r="H221" i="13"/>
  <c r="I221" i="13"/>
  <c r="I222" i="13"/>
  <c r="H229" i="13"/>
  <c r="I229" i="13"/>
  <c r="H230" i="13"/>
  <c r="I230" i="13"/>
  <c r="H231" i="13"/>
  <c r="I231" i="13"/>
  <c r="I232" i="13"/>
  <c r="I233" i="13"/>
  <c r="I234" i="13"/>
  <c r="H235" i="13"/>
  <c r="H236" i="13"/>
  <c r="H237" i="13"/>
  <c r="H238" i="13"/>
  <c r="H245" i="13"/>
  <c r="I245" i="13"/>
  <c r="H246" i="13"/>
  <c r="H247" i="13"/>
  <c r="H251" i="13"/>
  <c r="I251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21" i="13"/>
  <c r="G22" i="13"/>
  <c r="G23" i="13"/>
  <c r="G24" i="13"/>
  <c r="G25" i="13"/>
  <c r="G26" i="13"/>
  <c r="G27" i="13"/>
  <c r="G28" i="13"/>
  <c r="Q28" i="13" s="1"/>
  <c r="R28" i="13" s="1"/>
  <c r="G29" i="13"/>
  <c r="G30" i="13"/>
  <c r="G31" i="13"/>
  <c r="G32" i="13"/>
  <c r="G33" i="13"/>
  <c r="G34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5" i="13"/>
  <c r="G246" i="13"/>
  <c r="G247" i="13"/>
  <c r="G248" i="13"/>
  <c r="G249" i="13"/>
  <c r="G250" i="13"/>
  <c r="G251" i="13"/>
  <c r="R13" i="9"/>
  <c r="Q13" i="9"/>
  <c r="P13" i="9"/>
  <c r="R14" i="9"/>
  <c r="Q14" i="9"/>
  <c r="P14" i="9"/>
  <c r="H9" i="9"/>
  <c r="H10" i="9"/>
  <c r="H25" i="9"/>
  <c r="H26" i="9"/>
  <c r="I38" i="9"/>
  <c r="I39" i="9"/>
  <c r="H41" i="9"/>
  <c r="H42" i="9"/>
  <c r="H43" i="9"/>
  <c r="H44" i="9"/>
  <c r="I52" i="9"/>
  <c r="I54" i="9"/>
  <c r="H57" i="9"/>
  <c r="H73" i="9"/>
  <c r="H74" i="9"/>
  <c r="H89" i="9"/>
  <c r="H90" i="9"/>
  <c r="H91" i="9"/>
  <c r="H92" i="9"/>
  <c r="I102" i="9"/>
  <c r="H105" i="9"/>
  <c r="H106" i="9"/>
  <c r="H107" i="9"/>
  <c r="H121" i="9"/>
  <c r="H122" i="9"/>
  <c r="I130" i="9"/>
  <c r="H137" i="9"/>
  <c r="H153" i="9"/>
  <c r="H154" i="9"/>
  <c r="I162" i="9"/>
  <c r="I163" i="9"/>
  <c r="I164" i="9"/>
  <c r="I166" i="9"/>
  <c r="H169" i="9"/>
  <c r="H170" i="9"/>
  <c r="I182" i="9"/>
  <c r="H185" i="9"/>
  <c r="H186" i="9"/>
  <c r="H201" i="9"/>
  <c r="H202" i="9"/>
  <c r="H217" i="9"/>
  <c r="H233" i="9"/>
  <c r="H234" i="9"/>
  <c r="H235" i="9"/>
  <c r="I242" i="9"/>
  <c r="I243" i="9"/>
  <c r="H249" i="9"/>
  <c r="H250" i="9"/>
  <c r="H251" i="9"/>
  <c r="G16" i="9"/>
  <c r="G17" i="9"/>
  <c r="G18" i="9"/>
  <c r="G32" i="9"/>
  <c r="G48" i="9"/>
  <c r="G49" i="9"/>
  <c r="G50" i="9"/>
  <c r="G64" i="9"/>
  <c r="G65" i="9"/>
  <c r="G66" i="9"/>
  <c r="G80" i="9"/>
  <c r="G81" i="9"/>
  <c r="G96" i="9"/>
  <c r="G97" i="9"/>
  <c r="G98" i="9"/>
  <c r="G112" i="9"/>
  <c r="G113" i="9"/>
  <c r="G114" i="9"/>
  <c r="G128" i="9"/>
  <c r="G144" i="9"/>
  <c r="G145" i="9"/>
  <c r="G146" i="9"/>
  <c r="G160" i="9"/>
  <c r="G161" i="9"/>
  <c r="G162" i="9"/>
  <c r="G176" i="9"/>
  <c r="G177" i="9"/>
  <c r="G178" i="9"/>
  <c r="G192" i="9"/>
  <c r="G193" i="9"/>
  <c r="G208" i="9"/>
  <c r="G209" i="9"/>
  <c r="G224" i="9"/>
  <c r="G240" i="9"/>
  <c r="G241" i="9"/>
  <c r="C8" i="1"/>
  <c r="G6" i="8"/>
  <c r="G7" i="8"/>
  <c r="G8" i="8"/>
  <c r="G9" i="8"/>
  <c r="G10" i="8"/>
  <c r="G11" i="8"/>
  <c r="G12" i="8"/>
  <c r="G22" i="8"/>
  <c r="G23" i="8"/>
  <c r="G24" i="8"/>
  <c r="G25" i="8"/>
  <c r="G33" i="8"/>
  <c r="G34" i="8"/>
  <c r="G50" i="8"/>
  <c r="G51" i="8"/>
  <c r="G52" i="8"/>
  <c r="G53" i="8"/>
  <c r="G54" i="8"/>
  <c r="G55" i="8"/>
  <c r="G56" i="8"/>
  <c r="G57" i="8"/>
  <c r="G58" i="8"/>
  <c r="G59" i="8"/>
  <c r="G61" i="8"/>
  <c r="G72" i="8"/>
  <c r="G73" i="8"/>
  <c r="G102" i="8"/>
  <c r="G103" i="8"/>
  <c r="G104" i="8"/>
  <c r="G107" i="8"/>
  <c r="G108" i="8"/>
  <c r="G109" i="8"/>
  <c r="G110" i="8"/>
  <c r="G124" i="8"/>
  <c r="G132" i="8"/>
  <c r="G133" i="8"/>
  <c r="G147" i="8"/>
  <c r="G164" i="8"/>
  <c r="G165" i="8"/>
  <c r="G172" i="8"/>
  <c r="G173" i="8"/>
  <c r="G174" i="8"/>
  <c r="G175" i="8"/>
  <c r="G192" i="8"/>
  <c r="G193" i="8"/>
  <c r="G194" i="8"/>
  <c r="G195" i="8"/>
  <c r="G207" i="8"/>
  <c r="G208" i="8"/>
  <c r="G209" i="8"/>
  <c r="G210" i="8"/>
  <c r="G225" i="8"/>
  <c r="G226" i="8"/>
  <c r="G227" i="8"/>
  <c r="G241" i="8"/>
  <c r="G242" i="8"/>
  <c r="G243" i="8"/>
  <c r="G244" i="8"/>
  <c r="G245" i="8"/>
  <c r="T15" i="8"/>
  <c r="S15" i="8"/>
  <c r="R15" i="8"/>
  <c r="H5" i="8"/>
  <c r="I5" i="8"/>
  <c r="H6" i="8"/>
  <c r="I6" i="8"/>
  <c r="H7" i="8"/>
  <c r="I7" i="8"/>
  <c r="H8" i="8"/>
  <c r="I8" i="8"/>
  <c r="H9" i="8"/>
  <c r="I9" i="8"/>
  <c r="H10" i="8"/>
  <c r="I10" i="8"/>
  <c r="H11" i="8"/>
  <c r="I11" i="8"/>
  <c r="H12" i="8"/>
  <c r="I12" i="8"/>
  <c r="H13" i="8"/>
  <c r="I13" i="8"/>
  <c r="H14" i="8"/>
  <c r="I14" i="8"/>
  <c r="H15" i="8"/>
  <c r="I15" i="8"/>
  <c r="H16" i="8"/>
  <c r="I16" i="8"/>
  <c r="H17" i="8"/>
  <c r="I17" i="8"/>
  <c r="H18" i="8"/>
  <c r="I18" i="8"/>
  <c r="H19" i="8"/>
  <c r="I19" i="8"/>
  <c r="H20" i="8"/>
  <c r="I20" i="8"/>
  <c r="H21" i="8"/>
  <c r="I21" i="8"/>
  <c r="H22" i="8"/>
  <c r="I22" i="8"/>
  <c r="H23" i="8"/>
  <c r="I23" i="8"/>
  <c r="H24" i="8"/>
  <c r="I24" i="8"/>
  <c r="H25" i="8"/>
  <c r="I25" i="8"/>
  <c r="H26" i="8"/>
  <c r="I26" i="8"/>
  <c r="H27" i="8"/>
  <c r="I27" i="8"/>
  <c r="H28" i="8"/>
  <c r="I28" i="8"/>
  <c r="H29" i="8"/>
  <c r="I29" i="8"/>
  <c r="H30" i="8"/>
  <c r="I30" i="8"/>
  <c r="H31" i="8"/>
  <c r="I31" i="8"/>
  <c r="H32" i="8"/>
  <c r="I32" i="8"/>
  <c r="H33" i="8"/>
  <c r="I33" i="8"/>
  <c r="H34" i="8"/>
  <c r="I34" i="8"/>
  <c r="H35" i="8"/>
  <c r="I35" i="8"/>
  <c r="H36" i="8"/>
  <c r="I36" i="8"/>
  <c r="H37" i="8"/>
  <c r="I37" i="8"/>
  <c r="H38" i="8"/>
  <c r="I38" i="8"/>
  <c r="H39" i="8"/>
  <c r="I39" i="8"/>
  <c r="H40" i="8"/>
  <c r="I40" i="8"/>
  <c r="H41" i="8"/>
  <c r="I41" i="8"/>
  <c r="H42" i="8"/>
  <c r="I42" i="8"/>
  <c r="H43" i="8"/>
  <c r="I43" i="8"/>
  <c r="H44" i="8"/>
  <c r="I44" i="8"/>
  <c r="H45" i="8"/>
  <c r="I45" i="8"/>
  <c r="H46" i="8"/>
  <c r="I46" i="8"/>
  <c r="H47" i="8"/>
  <c r="I47" i="8"/>
  <c r="H48" i="8"/>
  <c r="I48" i="8"/>
  <c r="H49" i="8"/>
  <c r="I49" i="8"/>
  <c r="H50" i="8"/>
  <c r="I50" i="8"/>
  <c r="H51" i="8"/>
  <c r="I51" i="8"/>
  <c r="H52" i="8"/>
  <c r="I52" i="8"/>
  <c r="H53" i="8"/>
  <c r="I53" i="8"/>
  <c r="H54" i="8"/>
  <c r="I54" i="8"/>
  <c r="H55" i="8"/>
  <c r="I55" i="8"/>
  <c r="H56" i="8"/>
  <c r="I56" i="8"/>
  <c r="H57" i="8"/>
  <c r="I57" i="8"/>
  <c r="H58" i="8"/>
  <c r="I58" i="8"/>
  <c r="H59" i="8"/>
  <c r="I59" i="8"/>
  <c r="H60" i="8"/>
  <c r="I60" i="8"/>
  <c r="H61" i="8"/>
  <c r="I61" i="8"/>
  <c r="H62" i="8"/>
  <c r="I62" i="8"/>
  <c r="H63" i="8"/>
  <c r="I63" i="8"/>
  <c r="H64" i="8"/>
  <c r="I64" i="8"/>
  <c r="H65" i="8"/>
  <c r="I65" i="8"/>
  <c r="H66" i="8"/>
  <c r="I66" i="8"/>
  <c r="H67" i="8"/>
  <c r="I67" i="8"/>
  <c r="H68" i="8"/>
  <c r="I68" i="8"/>
  <c r="H69" i="8"/>
  <c r="I69" i="8"/>
  <c r="H70" i="8"/>
  <c r="I70" i="8"/>
  <c r="H71" i="8"/>
  <c r="I71" i="8"/>
  <c r="H72" i="8"/>
  <c r="I72" i="8"/>
  <c r="H73" i="8"/>
  <c r="I73" i="8"/>
  <c r="H74" i="8"/>
  <c r="I74" i="8"/>
  <c r="H75" i="8"/>
  <c r="I75" i="8"/>
  <c r="H76" i="8"/>
  <c r="I76" i="8"/>
  <c r="H77" i="8"/>
  <c r="I77" i="8"/>
  <c r="H78" i="8"/>
  <c r="I78" i="8"/>
  <c r="H79" i="8"/>
  <c r="I79" i="8"/>
  <c r="H80" i="8"/>
  <c r="I80" i="8"/>
  <c r="H81" i="8"/>
  <c r="I81" i="8"/>
  <c r="H82" i="8"/>
  <c r="I82" i="8"/>
  <c r="H83" i="8"/>
  <c r="I83" i="8"/>
  <c r="H84" i="8"/>
  <c r="I84" i="8"/>
  <c r="H85" i="8"/>
  <c r="I85" i="8"/>
  <c r="H86" i="8"/>
  <c r="I86" i="8"/>
  <c r="H87" i="8"/>
  <c r="I87" i="8"/>
  <c r="H88" i="8"/>
  <c r="I88" i="8"/>
  <c r="H89" i="8"/>
  <c r="I89" i="8"/>
  <c r="H90" i="8"/>
  <c r="I90" i="8"/>
  <c r="H91" i="8"/>
  <c r="I91" i="8"/>
  <c r="H92" i="8"/>
  <c r="I92" i="8"/>
  <c r="H93" i="8"/>
  <c r="I93" i="8"/>
  <c r="H94" i="8"/>
  <c r="I94" i="8"/>
  <c r="H95" i="8"/>
  <c r="I95" i="8"/>
  <c r="H96" i="8"/>
  <c r="I96" i="8"/>
  <c r="H97" i="8"/>
  <c r="I97" i="8"/>
  <c r="H98" i="8"/>
  <c r="I98" i="8"/>
  <c r="H99" i="8"/>
  <c r="I99" i="8"/>
  <c r="H100" i="8"/>
  <c r="I100" i="8"/>
  <c r="H101" i="8"/>
  <c r="I101" i="8"/>
  <c r="H102" i="8"/>
  <c r="I102" i="8"/>
  <c r="H103" i="8"/>
  <c r="I103" i="8"/>
  <c r="H104" i="8"/>
  <c r="I104" i="8"/>
  <c r="H105" i="8"/>
  <c r="I105" i="8"/>
  <c r="H106" i="8"/>
  <c r="I106" i="8"/>
  <c r="H107" i="8"/>
  <c r="I107" i="8"/>
  <c r="H108" i="8"/>
  <c r="I108" i="8"/>
  <c r="H109" i="8"/>
  <c r="I109" i="8"/>
  <c r="H110" i="8"/>
  <c r="I110" i="8"/>
  <c r="H111" i="8"/>
  <c r="I111" i="8"/>
  <c r="H112" i="8"/>
  <c r="I112" i="8"/>
  <c r="H113" i="8"/>
  <c r="I113" i="8"/>
  <c r="H114" i="8"/>
  <c r="I114" i="8"/>
  <c r="H115" i="8"/>
  <c r="I115" i="8"/>
  <c r="H116" i="8"/>
  <c r="I116" i="8"/>
  <c r="H117" i="8"/>
  <c r="I117" i="8"/>
  <c r="H118" i="8"/>
  <c r="I118" i="8"/>
  <c r="H119" i="8"/>
  <c r="I119" i="8"/>
  <c r="H120" i="8"/>
  <c r="I120" i="8"/>
  <c r="H121" i="8"/>
  <c r="I121" i="8"/>
  <c r="H122" i="8"/>
  <c r="I122" i="8"/>
  <c r="H123" i="8"/>
  <c r="I123" i="8"/>
  <c r="H124" i="8"/>
  <c r="I124" i="8"/>
  <c r="H125" i="8"/>
  <c r="I125" i="8"/>
  <c r="H126" i="8"/>
  <c r="I126" i="8"/>
  <c r="H127" i="8"/>
  <c r="I127" i="8"/>
  <c r="H128" i="8"/>
  <c r="I128" i="8"/>
  <c r="H129" i="8"/>
  <c r="I129" i="8"/>
  <c r="H130" i="8"/>
  <c r="I130" i="8"/>
  <c r="H131" i="8"/>
  <c r="I131" i="8"/>
  <c r="H132" i="8"/>
  <c r="I132" i="8"/>
  <c r="H133" i="8"/>
  <c r="I133" i="8"/>
  <c r="H134" i="8"/>
  <c r="I134" i="8"/>
  <c r="H135" i="8"/>
  <c r="I135" i="8"/>
  <c r="H136" i="8"/>
  <c r="I136" i="8"/>
  <c r="H137" i="8"/>
  <c r="I137" i="8"/>
  <c r="H138" i="8"/>
  <c r="I138" i="8"/>
  <c r="H139" i="8"/>
  <c r="I139" i="8"/>
  <c r="H140" i="8"/>
  <c r="I140" i="8"/>
  <c r="H141" i="8"/>
  <c r="I141" i="8"/>
  <c r="H142" i="8"/>
  <c r="I142" i="8"/>
  <c r="H143" i="8"/>
  <c r="I143" i="8"/>
  <c r="H144" i="8"/>
  <c r="I144" i="8"/>
  <c r="H145" i="8"/>
  <c r="I145" i="8"/>
  <c r="H146" i="8"/>
  <c r="I146" i="8"/>
  <c r="H147" i="8"/>
  <c r="I147" i="8"/>
  <c r="H148" i="8"/>
  <c r="I148" i="8"/>
  <c r="H149" i="8"/>
  <c r="I149" i="8"/>
  <c r="H150" i="8"/>
  <c r="I150" i="8"/>
  <c r="H151" i="8"/>
  <c r="I151" i="8"/>
  <c r="H152" i="8"/>
  <c r="I152" i="8"/>
  <c r="H153" i="8"/>
  <c r="I153" i="8"/>
  <c r="H154" i="8"/>
  <c r="I154" i="8"/>
  <c r="H155" i="8"/>
  <c r="I155" i="8"/>
  <c r="H156" i="8"/>
  <c r="I156" i="8"/>
  <c r="H157" i="8"/>
  <c r="I157" i="8"/>
  <c r="H158" i="8"/>
  <c r="I158" i="8"/>
  <c r="H159" i="8"/>
  <c r="I159" i="8"/>
  <c r="H160" i="8"/>
  <c r="I160" i="8"/>
  <c r="H161" i="8"/>
  <c r="I161" i="8"/>
  <c r="H162" i="8"/>
  <c r="I162" i="8"/>
  <c r="H163" i="8"/>
  <c r="I163" i="8"/>
  <c r="H164" i="8"/>
  <c r="I164" i="8"/>
  <c r="H165" i="8"/>
  <c r="I165" i="8"/>
  <c r="H166" i="8"/>
  <c r="I166" i="8"/>
  <c r="H167" i="8"/>
  <c r="I167" i="8"/>
  <c r="H168" i="8"/>
  <c r="I168" i="8"/>
  <c r="H169" i="8"/>
  <c r="I169" i="8"/>
  <c r="H170" i="8"/>
  <c r="I170" i="8"/>
  <c r="H171" i="8"/>
  <c r="I171" i="8"/>
  <c r="H172" i="8"/>
  <c r="I172" i="8"/>
  <c r="H173" i="8"/>
  <c r="I173" i="8"/>
  <c r="H174" i="8"/>
  <c r="I174" i="8"/>
  <c r="H175" i="8"/>
  <c r="I175" i="8"/>
  <c r="H176" i="8"/>
  <c r="I176" i="8"/>
  <c r="H177" i="8"/>
  <c r="I177" i="8"/>
  <c r="H178" i="8"/>
  <c r="I178" i="8"/>
  <c r="H179" i="8"/>
  <c r="I179" i="8"/>
  <c r="H180" i="8"/>
  <c r="I180" i="8"/>
  <c r="H181" i="8"/>
  <c r="I181" i="8"/>
  <c r="H182" i="8"/>
  <c r="I182" i="8"/>
  <c r="H183" i="8"/>
  <c r="I183" i="8"/>
  <c r="H184" i="8"/>
  <c r="I184" i="8"/>
  <c r="H185" i="8"/>
  <c r="I185" i="8"/>
  <c r="H186" i="8"/>
  <c r="I186" i="8"/>
  <c r="H187" i="8"/>
  <c r="I187" i="8"/>
  <c r="H188" i="8"/>
  <c r="I188" i="8"/>
  <c r="H189" i="8"/>
  <c r="I189" i="8"/>
  <c r="H190" i="8"/>
  <c r="I190" i="8"/>
  <c r="H191" i="8"/>
  <c r="I191" i="8"/>
  <c r="H192" i="8"/>
  <c r="I192" i="8"/>
  <c r="H193" i="8"/>
  <c r="I193" i="8"/>
  <c r="H194" i="8"/>
  <c r="I194" i="8"/>
  <c r="H195" i="8"/>
  <c r="I195" i="8"/>
  <c r="H196" i="8"/>
  <c r="I196" i="8"/>
  <c r="H197" i="8"/>
  <c r="I197" i="8"/>
  <c r="H198" i="8"/>
  <c r="I198" i="8"/>
  <c r="H199" i="8"/>
  <c r="I199" i="8"/>
  <c r="H200" i="8"/>
  <c r="I200" i="8"/>
  <c r="H201" i="8"/>
  <c r="I201" i="8"/>
  <c r="H202" i="8"/>
  <c r="I202" i="8"/>
  <c r="H203" i="8"/>
  <c r="I203" i="8"/>
  <c r="H204" i="8"/>
  <c r="I204" i="8"/>
  <c r="H205" i="8"/>
  <c r="I205" i="8"/>
  <c r="H206" i="8"/>
  <c r="I206" i="8"/>
  <c r="H207" i="8"/>
  <c r="I207" i="8"/>
  <c r="H208" i="8"/>
  <c r="I208" i="8"/>
  <c r="H209" i="8"/>
  <c r="I209" i="8"/>
  <c r="H210" i="8"/>
  <c r="I210" i="8"/>
  <c r="H211" i="8"/>
  <c r="I211" i="8"/>
  <c r="H212" i="8"/>
  <c r="I212" i="8"/>
  <c r="H213" i="8"/>
  <c r="I213" i="8"/>
  <c r="H214" i="8"/>
  <c r="I214" i="8"/>
  <c r="H215" i="8"/>
  <c r="I215" i="8"/>
  <c r="H216" i="8"/>
  <c r="I216" i="8"/>
  <c r="H217" i="8"/>
  <c r="I217" i="8"/>
  <c r="H218" i="8"/>
  <c r="I218" i="8"/>
  <c r="H219" i="8"/>
  <c r="I219" i="8"/>
  <c r="H220" i="8"/>
  <c r="I220" i="8"/>
  <c r="H221" i="8"/>
  <c r="I221" i="8"/>
  <c r="H222" i="8"/>
  <c r="I222" i="8"/>
  <c r="H223" i="8"/>
  <c r="I223" i="8"/>
  <c r="H224" i="8"/>
  <c r="I224" i="8"/>
  <c r="H225" i="8"/>
  <c r="I225" i="8"/>
  <c r="H226" i="8"/>
  <c r="I226" i="8"/>
  <c r="H227" i="8"/>
  <c r="I227" i="8"/>
  <c r="H228" i="8"/>
  <c r="I228" i="8"/>
  <c r="H229" i="8"/>
  <c r="I229" i="8"/>
  <c r="H230" i="8"/>
  <c r="I230" i="8"/>
  <c r="H231" i="8"/>
  <c r="I231" i="8"/>
  <c r="H232" i="8"/>
  <c r="I232" i="8"/>
  <c r="H233" i="8"/>
  <c r="I233" i="8"/>
  <c r="H234" i="8"/>
  <c r="I234" i="8"/>
  <c r="H235" i="8"/>
  <c r="I235" i="8"/>
  <c r="H236" i="8"/>
  <c r="I236" i="8"/>
  <c r="H237" i="8"/>
  <c r="I237" i="8"/>
  <c r="H238" i="8"/>
  <c r="I238" i="8"/>
  <c r="H239" i="8"/>
  <c r="I239" i="8"/>
  <c r="H240" i="8"/>
  <c r="I240" i="8"/>
  <c r="H241" i="8"/>
  <c r="I241" i="8"/>
  <c r="H242" i="8"/>
  <c r="I242" i="8"/>
  <c r="H243" i="8"/>
  <c r="I243" i="8"/>
  <c r="H244" i="8"/>
  <c r="I244" i="8"/>
  <c r="H245" i="8"/>
  <c r="I245" i="8"/>
  <c r="H246" i="8"/>
  <c r="I246" i="8"/>
  <c r="H247" i="8"/>
  <c r="I247" i="8"/>
  <c r="H248" i="8"/>
  <c r="I248" i="8"/>
  <c r="H249" i="8"/>
  <c r="I249" i="8"/>
  <c r="H250" i="8"/>
  <c r="I250" i="8"/>
  <c r="H251" i="8"/>
  <c r="I251" i="8"/>
  <c r="H252" i="8"/>
  <c r="I252" i="8"/>
  <c r="I9" i="1"/>
  <c r="H9" i="1"/>
  <c r="H10" i="1" s="1"/>
  <c r="I212" i="9" l="1"/>
  <c r="I22" i="9"/>
  <c r="H252" i="9"/>
  <c r="H204" i="9"/>
  <c r="H60" i="9"/>
  <c r="G60" i="8"/>
  <c r="G48" i="8"/>
  <c r="G224" i="8"/>
  <c r="G243" i="9"/>
  <c r="G227" i="9"/>
  <c r="G211" i="9"/>
  <c r="G195" i="9"/>
  <c r="G179" i="9"/>
  <c r="G163" i="9"/>
  <c r="G147" i="9"/>
  <c r="G131" i="9"/>
  <c r="G115" i="9"/>
  <c r="G99" i="9"/>
  <c r="G83" i="9"/>
  <c r="G67" i="9"/>
  <c r="G51" i="9"/>
  <c r="G35" i="9"/>
  <c r="I21" i="9"/>
  <c r="G245" i="9"/>
  <c r="G229" i="9"/>
  <c r="G213" i="9"/>
  <c r="G197" i="9"/>
  <c r="G181" i="9"/>
  <c r="G165" i="9"/>
  <c r="G149" i="9"/>
  <c r="G133" i="9"/>
  <c r="G117" i="9"/>
  <c r="G101" i="9"/>
  <c r="G85" i="9"/>
  <c r="G69" i="9"/>
  <c r="G53" i="9"/>
  <c r="G37" i="9"/>
  <c r="G21" i="9"/>
  <c r="H254" i="9"/>
  <c r="H238" i="9"/>
  <c r="H222" i="9"/>
  <c r="H206" i="9"/>
  <c r="H190" i="9"/>
  <c r="H174" i="9"/>
  <c r="H158" i="9"/>
  <c r="H142" i="9"/>
  <c r="H126" i="9"/>
  <c r="H110" i="9"/>
  <c r="H94" i="9"/>
  <c r="H78" i="9"/>
  <c r="H30" i="9"/>
  <c r="H14" i="9"/>
  <c r="I71" i="9"/>
  <c r="G19" i="9"/>
  <c r="H220" i="9"/>
  <c r="H188" i="9"/>
  <c r="H172" i="9"/>
  <c r="H156" i="9"/>
  <c r="H140" i="9"/>
  <c r="H124" i="9"/>
  <c r="I133" i="9"/>
  <c r="I118" i="9"/>
  <c r="H108" i="9"/>
  <c r="H76" i="9"/>
  <c r="H28" i="9"/>
  <c r="H12" i="9"/>
  <c r="I101" i="9"/>
  <c r="G239" i="9"/>
  <c r="I227" i="9"/>
  <c r="I211" i="9"/>
  <c r="I195" i="9"/>
  <c r="I179" i="9"/>
  <c r="I147" i="9"/>
  <c r="I131" i="9"/>
  <c r="I115" i="9"/>
  <c r="I99" i="9"/>
  <c r="I83" i="9"/>
  <c r="I67" i="9"/>
  <c r="I51" i="9"/>
  <c r="I19" i="9"/>
  <c r="I240" i="9"/>
  <c r="G143" i="9"/>
  <c r="G30" i="9"/>
  <c r="G222" i="9"/>
  <c r="G223" i="9"/>
  <c r="H8" i="9"/>
  <c r="G231" i="9"/>
  <c r="G207" i="9"/>
  <c r="G62" i="9"/>
  <c r="G78" i="9"/>
  <c r="G190" i="9"/>
  <c r="G159" i="9"/>
  <c r="G126" i="9"/>
  <c r="G127" i="9"/>
  <c r="G110" i="9"/>
  <c r="G174" i="9"/>
  <c r="G175" i="9"/>
  <c r="I209" i="9"/>
  <c r="G151" i="9"/>
  <c r="G55" i="9"/>
  <c r="G47" i="9"/>
  <c r="I167" i="9"/>
  <c r="I55" i="9"/>
  <c r="I129" i="9"/>
  <c r="G95" i="9"/>
  <c r="G15" i="9"/>
  <c r="G87" i="9"/>
  <c r="I35" i="9"/>
  <c r="I226" i="9"/>
  <c r="I210" i="9"/>
  <c r="I194" i="9"/>
  <c r="I178" i="9"/>
  <c r="I146" i="9"/>
  <c r="I114" i="9"/>
  <c r="I98" i="9"/>
  <c r="I82" i="9"/>
  <c r="I66" i="9"/>
  <c r="I50" i="9"/>
  <c r="I34" i="9"/>
  <c r="I18" i="9"/>
  <c r="I197" i="9"/>
  <c r="I165" i="9"/>
  <c r="I149" i="9"/>
  <c r="I53" i="9"/>
  <c r="I225" i="9"/>
  <c r="I193" i="9"/>
  <c r="I177" i="9"/>
  <c r="I161" i="9"/>
  <c r="I145" i="9"/>
  <c r="I113" i="9"/>
  <c r="I97" i="9"/>
  <c r="I81" i="9"/>
  <c r="I65" i="9"/>
  <c r="I49" i="9"/>
  <c r="I33" i="9"/>
  <c r="I17" i="9"/>
  <c r="Q89" i="13"/>
  <c r="R89" i="13" s="1"/>
  <c r="Q248" i="13"/>
  <c r="R248" i="13" s="1"/>
  <c r="Q88" i="13"/>
  <c r="R88" i="13" s="1"/>
  <c r="I244" i="13"/>
  <c r="I99" i="13"/>
  <c r="Q44" i="13"/>
  <c r="R44" i="13" s="1"/>
  <c r="I132" i="13"/>
  <c r="I19" i="13"/>
  <c r="Q19" i="13" s="1"/>
  <c r="R19" i="13" s="1"/>
  <c r="Q60" i="13"/>
  <c r="R60" i="13" s="1"/>
  <c r="I164" i="13"/>
  <c r="I52" i="13"/>
  <c r="I84" i="13"/>
  <c r="I195" i="13"/>
  <c r="Q195" i="13" s="1"/>
  <c r="R195" i="13" s="1"/>
  <c r="I228" i="13"/>
  <c r="Q228" i="13" s="1"/>
  <c r="R228" i="13" s="1"/>
  <c r="I116" i="13"/>
  <c r="Q208" i="13"/>
  <c r="R208" i="13" s="1"/>
  <c r="Q192" i="13"/>
  <c r="R192" i="13" s="1"/>
  <c r="Q167" i="13"/>
  <c r="R167" i="13" s="1"/>
  <c r="Q200" i="13"/>
  <c r="R200" i="13" s="1"/>
  <c r="Q172" i="13"/>
  <c r="R172" i="13" s="1"/>
  <c r="Q24" i="13"/>
  <c r="R24" i="13" s="1"/>
  <c r="I148" i="13"/>
  <c r="I180" i="13"/>
  <c r="I36" i="13"/>
  <c r="Q23" i="13"/>
  <c r="R23" i="13" s="1"/>
  <c r="H68" i="13"/>
  <c r="H67" i="13"/>
  <c r="H147" i="13"/>
  <c r="H148" i="13"/>
  <c r="H115" i="13"/>
  <c r="H116" i="13"/>
  <c r="H19" i="13"/>
  <c r="H20" i="13"/>
  <c r="H228" i="13"/>
  <c r="Q80" i="13"/>
  <c r="R80" i="13" s="1"/>
  <c r="H244" i="13"/>
  <c r="Q188" i="13"/>
  <c r="R188" i="13" s="1"/>
  <c r="Q96" i="13"/>
  <c r="R96" i="13" s="1"/>
  <c r="H100" i="13"/>
  <c r="H99" i="13"/>
  <c r="Q99" i="13" s="1"/>
  <c r="R99" i="13" s="1"/>
  <c r="Q224" i="13"/>
  <c r="R224" i="13" s="1"/>
  <c r="Q114" i="13"/>
  <c r="R114" i="13" s="1"/>
  <c r="H212" i="13"/>
  <c r="H132" i="13"/>
  <c r="H131" i="13"/>
  <c r="H36" i="13"/>
  <c r="H35" i="13"/>
  <c r="H180" i="13"/>
  <c r="H52" i="13"/>
  <c r="H51" i="13"/>
  <c r="H164" i="13"/>
  <c r="H163" i="13"/>
  <c r="Q163" i="13" s="1"/>
  <c r="R163" i="13" s="1"/>
  <c r="H83" i="13"/>
  <c r="H84" i="13"/>
  <c r="H196" i="13"/>
  <c r="Q210" i="13"/>
  <c r="R210" i="13" s="1"/>
  <c r="Q204" i="13"/>
  <c r="R204" i="13" s="1"/>
  <c r="Q112" i="13"/>
  <c r="R112" i="13" s="1"/>
  <c r="Q58" i="13"/>
  <c r="R58" i="13" s="1"/>
  <c r="Q128" i="13"/>
  <c r="R128" i="13" s="1"/>
  <c r="Q240" i="13"/>
  <c r="R240" i="13" s="1"/>
  <c r="Q76" i="13"/>
  <c r="R76" i="13" s="1"/>
  <c r="Q40" i="13"/>
  <c r="R40" i="13" s="1"/>
  <c r="Q184" i="13"/>
  <c r="R184" i="13" s="1"/>
  <c r="Q92" i="13"/>
  <c r="R92" i="13" s="1"/>
  <c r="Q17" i="13"/>
  <c r="R17" i="13" s="1"/>
  <c r="Q177" i="13"/>
  <c r="R177" i="13" s="1"/>
  <c r="Q144" i="13"/>
  <c r="R144" i="13" s="1"/>
  <c r="Q16" i="13"/>
  <c r="R16" i="13" s="1"/>
  <c r="Q201" i="13"/>
  <c r="R201" i="13" s="1"/>
  <c r="Q73" i="13"/>
  <c r="R73" i="13" s="1"/>
  <c r="Q41" i="13"/>
  <c r="R41" i="13" s="1"/>
  <c r="Q25" i="13"/>
  <c r="R25" i="13" s="1"/>
  <c r="Q9" i="13"/>
  <c r="R9" i="13" s="1"/>
  <c r="Q160" i="13"/>
  <c r="R160" i="13" s="1"/>
  <c r="Q32" i="13"/>
  <c r="R32" i="13" s="1"/>
  <c r="Q194" i="13"/>
  <c r="R194" i="13" s="1"/>
  <c r="Q176" i="13"/>
  <c r="R176" i="13" s="1"/>
  <c r="Q48" i="13"/>
  <c r="R48" i="13" s="1"/>
  <c r="Q4" i="13"/>
  <c r="R4" i="13" s="1"/>
  <c r="Q193" i="13"/>
  <c r="R193" i="13" s="1"/>
  <c r="Q81" i="13"/>
  <c r="R81" i="13" s="1"/>
  <c r="Q33" i="13"/>
  <c r="R33" i="13" s="1"/>
  <c r="Q79" i="13"/>
  <c r="R79" i="13" s="1"/>
  <c r="Q113" i="13"/>
  <c r="R113" i="13" s="1"/>
  <c r="Q49" i="13"/>
  <c r="R49" i="13" s="1"/>
  <c r="G244" i="13"/>
  <c r="Q244" i="13" s="1"/>
  <c r="R244" i="13" s="1"/>
  <c r="G228" i="13"/>
  <c r="G212" i="13"/>
  <c r="Q212" i="13" s="1"/>
  <c r="R212" i="13" s="1"/>
  <c r="G196" i="13"/>
  <c r="G180" i="13"/>
  <c r="Q180" i="13" s="1"/>
  <c r="R180" i="13" s="1"/>
  <c r="G164" i="13"/>
  <c r="G148" i="13"/>
  <c r="Q148" i="13" s="1"/>
  <c r="R148" i="13" s="1"/>
  <c r="G132" i="13"/>
  <c r="G116" i="13"/>
  <c r="Q116" i="13" s="1"/>
  <c r="R116" i="13" s="1"/>
  <c r="G100" i="13"/>
  <c r="G84" i="13"/>
  <c r="G68" i="13"/>
  <c r="Q68" i="13" s="1"/>
  <c r="R68" i="13" s="1"/>
  <c r="G52" i="13"/>
  <c r="G36" i="13"/>
  <c r="G20" i="13"/>
  <c r="Q20" i="13" s="1"/>
  <c r="R20" i="13" s="1"/>
  <c r="Q65" i="13"/>
  <c r="R65" i="13" s="1"/>
  <c r="Q111" i="13"/>
  <c r="R111" i="13" s="1"/>
  <c r="I20" i="12"/>
  <c r="I212" i="12"/>
  <c r="I179" i="12"/>
  <c r="I228" i="12"/>
  <c r="I243" i="12"/>
  <c r="I115" i="12"/>
  <c r="I164" i="12"/>
  <c r="Q164" i="12" s="1"/>
  <c r="R164" i="12" s="1"/>
  <c r="I132" i="12"/>
  <c r="I148" i="12"/>
  <c r="I84" i="12"/>
  <c r="I52" i="12"/>
  <c r="I36" i="12"/>
  <c r="I196" i="12"/>
  <c r="Q196" i="12" s="1"/>
  <c r="R196" i="12" s="1"/>
  <c r="I100" i="12"/>
  <c r="Q100" i="12" s="1"/>
  <c r="R100" i="12" s="1"/>
  <c r="I68" i="12"/>
  <c r="Q4" i="12"/>
  <c r="R4" i="12" s="1"/>
  <c r="H52" i="12"/>
  <c r="H36" i="12"/>
  <c r="H20" i="12"/>
  <c r="G244" i="12"/>
  <c r="G228" i="12"/>
  <c r="G212" i="12"/>
  <c r="G196" i="12"/>
  <c r="G180" i="12"/>
  <c r="G164" i="12"/>
  <c r="G148" i="12"/>
  <c r="Q148" i="12" s="1"/>
  <c r="R148" i="12" s="1"/>
  <c r="G132" i="12"/>
  <c r="G116" i="12"/>
  <c r="G100" i="12"/>
  <c r="G84" i="12"/>
  <c r="Q84" i="12" s="1"/>
  <c r="R84" i="12" s="1"/>
  <c r="G68" i="12"/>
  <c r="G52" i="12"/>
  <c r="Q52" i="12" s="1"/>
  <c r="R52" i="12" s="1"/>
  <c r="G36" i="12"/>
  <c r="G20" i="12"/>
  <c r="Q20" i="12" s="1"/>
  <c r="R20" i="12" s="1"/>
  <c r="I229" i="9"/>
  <c r="I245" i="9"/>
  <c r="I196" i="9"/>
  <c r="I213" i="9"/>
  <c r="I181" i="9"/>
  <c r="I69" i="9"/>
  <c r="I117" i="9"/>
  <c r="I37" i="9"/>
  <c r="I148" i="9"/>
  <c r="I247" i="9"/>
  <c r="H182" i="9"/>
  <c r="H183" i="9"/>
  <c r="H102" i="9"/>
  <c r="H103" i="9"/>
  <c r="H38" i="9"/>
  <c r="H39" i="9"/>
  <c r="H214" i="9"/>
  <c r="H215" i="9"/>
  <c r="H118" i="9"/>
  <c r="H119" i="9"/>
  <c r="H22" i="9"/>
  <c r="H23" i="9"/>
  <c r="H86" i="9"/>
  <c r="H87" i="9"/>
  <c r="H247" i="9"/>
  <c r="H246" i="9"/>
  <c r="H198" i="9"/>
  <c r="H199" i="9"/>
  <c r="H166" i="9"/>
  <c r="H167" i="9"/>
  <c r="H150" i="9"/>
  <c r="H151" i="9"/>
  <c r="H70" i="9"/>
  <c r="H71" i="9"/>
  <c r="H230" i="9"/>
  <c r="H231" i="9"/>
  <c r="H134" i="9"/>
  <c r="H135" i="9"/>
  <c r="H54" i="9"/>
  <c r="H55" i="9"/>
  <c r="G247" i="9"/>
  <c r="G215" i="9"/>
  <c r="G167" i="9"/>
  <c r="G135" i="9"/>
  <c r="G103" i="9"/>
  <c r="G71" i="9"/>
  <c r="G23" i="9"/>
  <c r="G150" i="9"/>
  <c r="G54" i="9"/>
  <c r="G183" i="9"/>
  <c r="G39" i="9"/>
  <c r="G230" i="9"/>
  <c r="G86" i="9"/>
  <c r="G199" i="9"/>
  <c r="G119" i="9"/>
  <c r="G20" i="8"/>
  <c r="G70" i="8"/>
  <c r="G98" i="8"/>
  <c r="G146" i="8"/>
  <c r="G130" i="8"/>
  <c r="G160" i="8"/>
  <c r="G185" i="8"/>
  <c r="G206" i="8"/>
  <c r="G190" i="8"/>
  <c r="G47" i="8"/>
  <c r="G42" i="8"/>
  <c r="G81" i="8"/>
  <c r="G65" i="8"/>
  <c r="G93" i="8"/>
  <c r="G117" i="8"/>
  <c r="G155" i="8"/>
  <c r="G180" i="8"/>
  <c r="G201" i="8"/>
  <c r="G250" i="8"/>
  <c r="G234" i="8"/>
  <c r="G223" i="8"/>
  <c r="G74" i="8"/>
  <c r="G134" i="8"/>
  <c r="G15" i="8"/>
  <c r="G163" i="8"/>
  <c r="J5" i="8"/>
  <c r="G31" i="8"/>
  <c r="G239" i="8"/>
  <c r="G85" i="8"/>
  <c r="G141" i="8"/>
  <c r="G191" i="8"/>
  <c r="G71" i="8"/>
  <c r="J12" i="8"/>
  <c r="G131" i="8"/>
  <c r="G100" i="8"/>
  <c r="G99" i="8"/>
  <c r="G161" i="8"/>
  <c r="G186" i="8"/>
  <c r="J6" i="8"/>
  <c r="J10" i="8"/>
  <c r="J9" i="8"/>
  <c r="J7" i="8"/>
  <c r="J11" i="8"/>
  <c r="J8" i="8"/>
  <c r="G204" i="8"/>
  <c r="G187" i="8"/>
  <c r="G171" i="8"/>
  <c r="G162" i="8"/>
  <c r="G140" i="8"/>
  <c r="G122" i="8"/>
  <c r="G101" i="8"/>
  <c r="G79" i="8"/>
  <c r="G63" i="8"/>
  <c r="G45" i="8"/>
  <c r="G21" i="8"/>
  <c r="Q166" i="13"/>
  <c r="R166" i="13" s="1"/>
  <c r="Q150" i="13"/>
  <c r="R150" i="13" s="1"/>
  <c r="Q94" i="13"/>
  <c r="R94" i="13" s="1"/>
  <c r="Q86" i="13"/>
  <c r="R86" i="13" s="1"/>
  <c r="Q70" i="13"/>
  <c r="R70" i="13" s="1"/>
  <c r="Q38" i="13"/>
  <c r="R38" i="13" s="1"/>
  <c r="Q30" i="13"/>
  <c r="R30" i="13" s="1"/>
  <c r="Q239" i="13"/>
  <c r="R239" i="13" s="1"/>
  <c r="Q215" i="13"/>
  <c r="R215" i="13" s="1"/>
  <c r="Q171" i="13"/>
  <c r="R171" i="13" s="1"/>
  <c r="Q151" i="13"/>
  <c r="R151" i="13" s="1"/>
  <c r="Q71" i="13"/>
  <c r="R71" i="13" s="1"/>
  <c r="Q47" i="13"/>
  <c r="R47" i="13" s="1"/>
  <c r="Q245" i="13"/>
  <c r="R245" i="13" s="1"/>
  <c r="Q237" i="13"/>
  <c r="R237" i="13" s="1"/>
  <c r="Q229" i="13"/>
  <c r="R229" i="13" s="1"/>
  <c r="Q221" i="13"/>
  <c r="R221" i="13" s="1"/>
  <c r="Q213" i="13"/>
  <c r="R213" i="13" s="1"/>
  <c r="Q205" i="13"/>
  <c r="R205" i="13" s="1"/>
  <c r="Q197" i="13"/>
  <c r="R197" i="13" s="1"/>
  <c r="Q189" i="13"/>
  <c r="R189" i="13" s="1"/>
  <c r="Q109" i="13"/>
  <c r="R109" i="13" s="1"/>
  <c r="Q93" i="13"/>
  <c r="R93" i="13" s="1"/>
  <c r="Q85" i="13"/>
  <c r="R85" i="13" s="1"/>
  <c r="Q77" i="13"/>
  <c r="R77" i="13" s="1"/>
  <c r="Q69" i="13"/>
  <c r="R69" i="13" s="1"/>
  <c r="Q61" i="13"/>
  <c r="R61" i="13" s="1"/>
  <c r="Q53" i="13"/>
  <c r="R53" i="13" s="1"/>
  <c r="Q45" i="13"/>
  <c r="R45" i="13" s="1"/>
  <c r="Q37" i="13"/>
  <c r="R37" i="13" s="1"/>
  <c r="Q29" i="13"/>
  <c r="R29" i="13" s="1"/>
  <c r="Q21" i="13"/>
  <c r="R21" i="13" s="1"/>
  <c r="Q13" i="13"/>
  <c r="R13" i="13" s="1"/>
  <c r="Q5" i="13"/>
  <c r="R5" i="13" s="1"/>
  <c r="Q35" i="13"/>
  <c r="R35" i="13" s="1"/>
  <c r="Q242" i="13"/>
  <c r="R242" i="13" s="1"/>
  <c r="Q218" i="13"/>
  <c r="R218" i="13" s="1"/>
  <c r="Q158" i="13"/>
  <c r="R158" i="13" s="1"/>
  <c r="Q246" i="13"/>
  <c r="R246" i="13" s="1"/>
  <c r="Q222" i="13"/>
  <c r="R222" i="13" s="1"/>
  <c r="Q162" i="13"/>
  <c r="R162" i="13" s="1"/>
  <c r="Q146" i="13"/>
  <c r="R146" i="13" s="1"/>
  <c r="Q142" i="13"/>
  <c r="R142" i="13" s="1"/>
  <c r="Q118" i="13"/>
  <c r="R118" i="13" s="1"/>
  <c r="Q110" i="13"/>
  <c r="R110" i="13" s="1"/>
  <c r="Q102" i="13"/>
  <c r="R102" i="13" s="1"/>
  <c r="Q98" i="13"/>
  <c r="R98" i="13" s="1"/>
  <c r="Q78" i="13"/>
  <c r="R78" i="13" s="1"/>
  <c r="Q62" i="13"/>
  <c r="R62" i="13" s="1"/>
  <c r="Q54" i="13"/>
  <c r="R54" i="13" s="1"/>
  <c r="Q50" i="13"/>
  <c r="R50" i="13" s="1"/>
  <c r="Q46" i="13"/>
  <c r="R46" i="13" s="1"/>
  <c r="Q42" i="13"/>
  <c r="R42" i="13" s="1"/>
  <c r="Q22" i="13"/>
  <c r="R22" i="13" s="1"/>
  <c r="Q18" i="13"/>
  <c r="R18" i="13" s="1"/>
  <c r="Q6" i="13"/>
  <c r="R6" i="13" s="1"/>
  <c r="Q243" i="13"/>
  <c r="R243" i="13" s="1"/>
  <c r="Q223" i="13"/>
  <c r="R223" i="13" s="1"/>
  <c r="Q207" i="13"/>
  <c r="R207" i="13" s="1"/>
  <c r="Q155" i="13"/>
  <c r="R155" i="13" s="1"/>
  <c r="Q139" i="13"/>
  <c r="R139" i="13" s="1"/>
  <c r="Q127" i="13"/>
  <c r="R127" i="13" s="1"/>
  <c r="Q115" i="13"/>
  <c r="R115" i="13" s="1"/>
  <c r="Q87" i="13"/>
  <c r="R87" i="13" s="1"/>
  <c r="Q63" i="13"/>
  <c r="R63" i="13" s="1"/>
  <c r="Q43" i="13"/>
  <c r="R43" i="13" s="1"/>
  <c r="Q39" i="13"/>
  <c r="R39" i="13" s="1"/>
  <c r="Q31" i="13"/>
  <c r="R31" i="13" s="1"/>
  <c r="Q15" i="13"/>
  <c r="R15" i="13" s="1"/>
  <c r="Q247" i="13"/>
  <c r="R247" i="13" s="1"/>
  <c r="Q231" i="13"/>
  <c r="R231" i="13" s="1"/>
  <c r="Q183" i="13"/>
  <c r="R183" i="13" s="1"/>
  <c r="Q159" i="13"/>
  <c r="R159" i="13" s="1"/>
  <c r="Q143" i="13"/>
  <c r="R143" i="13" s="1"/>
  <c r="Q135" i="13"/>
  <c r="R135" i="13" s="1"/>
  <c r="Q119" i="13"/>
  <c r="R119" i="13" s="1"/>
  <c r="Q95" i="13"/>
  <c r="R95" i="13" s="1"/>
  <c r="Q55" i="13"/>
  <c r="R55" i="13" s="1"/>
  <c r="Q131" i="13"/>
  <c r="R131" i="13" s="1"/>
  <c r="Q91" i="13"/>
  <c r="R91" i="13" s="1"/>
  <c r="Q75" i="13"/>
  <c r="R75" i="13" s="1"/>
  <c r="Q59" i="13"/>
  <c r="R59" i="13" s="1"/>
  <c r="Q27" i="13"/>
  <c r="R27" i="13" s="1"/>
  <c r="Q226" i="13"/>
  <c r="R226" i="13" s="1"/>
  <c r="Q202" i="13"/>
  <c r="R202" i="13" s="1"/>
  <c r="Q170" i="13"/>
  <c r="R170" i="13" s="1"/>
  <c r="Q154" i="13"/>
  <c r="R154" i="13" s="1"/>
  <c r="Q138" i="13"/>
  <c r="R138" i="13" s="1"/>
  <c r="Q106" i="13"/>
  <c r="R106" i="13" s="1"/>
  <c r="Q82" i="13"/>
  <c r="R82" i="13" s="1"/>
  <c r="Q66" i="13"/>
  <c r="R66" i="13" s="1"/>
  <c r="Q34" i="13"/>
  <c r="R34" i="13" s="1"/>
  <c r="Q26" i="13"/>
  <c r="R26" i="13" s="1"/>
  <c r="Q147" i="13"/>
  <c r="R147" i="13" s="1"/>
  <c r="Q123" i="13"/>
  <c r="R123" i="13" s="1"/>
  <c r="Q83" i="13"/>
  <c r="R83" i="13" s="1"/>
  <c r="Q67" i="13"/>
  <c r="R67" i="13" s="1"/>
  <c r="Q51" i="13"/>
  <c r="R51" i="13" s="1"/>
  <c r="Q11" i="13"/>
  <c r="R11" i="13" s="1"/>
  <c r="Q74" i="13"/>
  <c r="R74" i="13" s="1"/>
  <c r="Q90" i="13"/>
  <c r="R90" i="13" s="1"/>
  <c r="Q130" i="13"/>
  <c r="R130" i="13" s="1"/>
  <c r="Q236" i="13"/>
  <c r="R236" i="13" s="1"/>
  <c r="Q141" i="13"/>
  <c r="R141" i="13" s="1"/>
  <c r="Q157" i="13"/>
  <c r="R157" i="13" s="1"/>
  <c r="Q181" i="13"/>
  <c r="R181" i="13" s="1"/>
  <c r="Q140" i="13"/>
  <c r="R140" i="13" s="1"/>
  <c r="Q156" i="13"/>
  <c r="R156" i="13" s="1"/>
  <c r="Q199" i="13"/>
  <c r="R199" i="13" s="1"/>
  <c r="Q250" i="13"/>
  <c r="R250" i="13" s="1"/>
  <c r="Q12" i="13"/>
  <c r="R12" i="13" s="1"/>
  <c r="Q103" i="13"/>
  <c r="R103" i="13" s="1"/>
  <c r="Q107" i="13"/>
  <c r="R107" i="13" s="1"/>
  <c r="Q122" i="13"/>
  <c r="R122" i="13" s="1"/>
  <c r="Q129" i="13"/>
  <c r="R129" i="13" s="1"/>
  <c r="Q145" i="13"/>
  <c r="R145" i="13" s="1"/>
  <c r="Q161" i="13"/>
  <c r="R161" i="13" s="1"/>
  <c r="Q175" i="13"/>
  <c r="R175" i="13" s="1"/>
  <c r="Q182" i="13"/>
  <c r="R182" i="13" s="1"/>
  <c r="Q220" i="13"/>
  <c r="R220" i="13" s="1"/>
  <c r="Q235" i="13"/>
  <c r="R235" i="13" s="1"/>
  <c r="Q7" i="13"/>
  <c r="R7" i="13" s="1"/>
  <c r="Q14" i="13"/>
  <c r="R14" i="13" s="1"/>
  <c r="Q120" i="13"/>
  <c r="R120" i="13" s="1"/>
  <c r="Q125" i="13"/>
  <c r="R125" i="13" s="1"/>
  <c r="Q134" i="13"/>
  <c r="R134" i="13" s="1"/>
  <c r="Q136" i="13"/>
  <c r="R136" i="13" s="1"/>
  <c r="Q152" i="13"/>
  <c r="R152" i="13" s="1"/>
  <c r="Q168" i="13"/>
  <c r="R168" i="13" s="1"/>
  <c r="Q186" i="13"/>
  <c r="R186" i="13" s="1"/>
  <c r="Q191" i="13"/>
  <c r="R191" i="13" s="1"/>
  <c r="Q211" i="13"/>
  <c r="R211" i="13" s="1"/>
  <c r="Q227" i="13"/>
  <c r="R227" i="13" s="1"/>
  <c r="Q251" i="13"/>
  <c r="R251" i="13" s="1"/>
  <c r="Q10" i="13"/>
  <c r="R10" i="13" s="1"/>
  <c r="Q97" i="13"/>
  <c r="R97" i="13" s="1"/>
  <c r="Q101" i="13"/>
  <c r="R101" i="13" s="1"/>
  <c r="Q105" i="13"/>
  <c r="R105" i="13" s="1"/>
  <c r="Q173" i="13"/>
  <c r="R173" i="13" s="1"/>
  <c r="Q187" i="13"/>
  <c r="R187" i="13" s="1"/>
  <c r="Q198" i="13"/>
  <c r="R198" i="13" s="1"/>
  <c r="Q209" i="13"/>
  <c r="R209" i="13" s="1"/>
  <c r="Q238" i="13"/>
  <c r="R238" i="13" s="1"/>
  <c r="Q178" i="13"/>
  <c r="R178" i="13" s="1"/>
  <c r="Q8" i="13"/>
  <c r="R8" i="13" s="1"/>
  <c r="Q104" i="13"/>
  <c r="R104" i="13" s="1"/>
  <c r="Q108" i="13"/>
  <c r="R108" i="13" s="1"/>
  <c r="Q121" i="13"/>
  <c r="R121" i="13" s="1"/>
  <c r="Q126" i="13"/>
  <c r="R126" i="13" s="1"/>
  <c r="Q137" i="13"/>
  <c r="R137" i="13" s="1"/>
  <c r="Q153" i="13"/>
  <c r="R153" i="13" s="1"/>
  <c r="Q169" i="13"/>
  <c r="R169" i="13" s="1"/>
  <c r="Q203" i="13"/>
  <c r="R203" i="13" s="1"/>
  <c r="Q219" i="13"/>
  <c r="R219" i="13" s="1"/>
  <c r="Q230" i="13"/>
  <c r="R230" i="13" s="1"/>
  <c r="Q117" i="13"/>
  <c r="R117" i="13" s="1"/>
  <c r="Q124" i="13"/>
  <c r="R124" i="13" s="1"/>
  <c r="Q133" i="13"/>
  <c r="R133" i="13" s="1"/>
  <c r="Q149" i="13"/>
  <c r="R149" i="13" s="1"/>
  <c r="Q165" i="13"/>
  <c r="R165" i="13" s="1"/>
  <c r="Q217" i="13"/>
  <c r="R217" i="13" s="1"/>
  <c r="Q234" i="13"/>
  <c r="R234" i="13" s="1"/>
  <c r="Q214" i="13"/>
  <c r="R214" i="13" s="1"/>
  <c r="Q233" i="13"/>
  <c r="R233" i="13" s="1"/>
  <c r="Q174" i="13"/>
  <c r="R174" i="13" s="1"/>
  <c r="Q185" i="13"/>
  <c r="R185" i="13" s="1"/>
  <c r="Q241" i="13"/>
  <c r="R241" i="13" s="1"/>
  <c r="Q249" i="13"/>
  <c r="R249" i="13" s="1"/>
  <c r="Q190" i="13"/>
  <c r="R190" i="13" s="1"/>
  <c r="Q225" i="13"/>
  <c r="R225" i="13" s="1"/>
  <c r="Q179" i="13"/>
  <c r="R179" i="13" s="1"/>
  <c r="Q206" i="13"/>
  <c r="R206" i="13" s="1"/>
  <c r="P15" i="9"/>
  <c r="Q15" i="9"/>
  <c r="R15" i="9"/>
  <c r="Q9" i="12"/>
  <c r="R9" i="12" s="1"/>
  <c r="Q17" i="12"/>
  <c r="R17" i="12" s="1"/>
  <c r="Q25" i="12"/>
  <c r="R25" i="12" s="1"/>
  <c r="Q33" i="12"/>
  <c r="R33" i="12" s="1"/>
  <c r="Q41" i="12"/>
  <c r="R41" i="12" s="1"/>
  <c r="Q49" i="12"/>
  <c r="R49" i="12" s="1"/>
  <c r="Q57" i="12"/>
  <c r="R57" i="12" s="1"/>
  <c r="Q65" i="12"/>
  <c r="R65" i="12" s="1"/>
  <c r="Q73" i="12"/>
  <c r="R73" i="12" s="1"/>
  <c r="Q81" i="12"/>
  <c r="R81" i="12" s="1"/>
  <c r="Q89" i="12"/>
  <c r="R89" i="12" s="1"/>
  <c r="Q97" i="12"/>
  <c r="R97" i="12" s="1"/>
  <c r="Q105" i="12"/>
  <c r="R105" i="12" s="1"/>
  <c r="Q113" i="12"/>
  <c r="R113" i="12" s="1"/>
  <c r="Q121" i="12"/>
  <c r="R121" i="12" s="1"/>
  <c r="Q129" i="12"/>
  <c r="R129" i="12" s="1"/>
  <c r="Q137" i="12"/>
  <c r="R137" i="12" s="1"/>
  <c r="Q145" i="12"/>
  <c r="R145" i="12" s="1"/>
  <c r="Q153" i="12"/>
  <c r="R153" i="12" s="1"/>
  <c r="Q169" i="12"/>
  <c r="R169" i="12" s="1"/>
  <c r="Q177" i="12"/>
  <c r="R177" i="12" s="1"/>
  <c r="Q185" i="12"/>
  <c r="R185" i="12" s="1"/>
  <c r="Q193" i="12"/>
  <c r="R193" i="12" s="1"/>
  <c r="Q201" i="12"/>
  <c r="R201" i="12" s="1"/>
  <c r="Q209" i="12"/>
  <c r="R209" i="12" s="1"/>
  <c r="Q217" i="12"/>
  <c r="R217" i="12" s="1"/>
  <c r="Q225" i="12"/>
  <c r="R225" i="12" s="1"/>
  <c r="Q233" i="12"/>
  <c r="R233" i="12" s="1"/>
  <c r="Q241" i="12"/>
  <c r="R241" i="12" s="1"/>
  <c r="Q249" i="12"/>
  <c r="R249" i="12" s="1"/>
  <c r="Q205" i="12"/>
  <c r="R205" i="12" s="1"/>
  <c r="Q213" i="12"/>
  <c r="R213" i="12" s="1"/>
  <c r="Q221" i="12"/>
  <c r="R221" i="12" s="1"/>
  <c r="Q229" i="12"/>
  <c r="R229" i="12" s="1"/>
  <c r="Q237" i="12"/>
  <c r="R237" i="12" s="1"/>
  <c r="Q6" i="12"/>
  <c r="R6" i="12" s="1"/>
  <c r="Q14" i="12"/>
  <c r="R14" i="12" s="1"/>
  <c r="Q22" i="12"/>
  <c r="R22" i="12" s="1"/>
  <c r="Q38" i="12"/>
  <c r="R38" i="12" s="1"/>
  <c r="Q46" i="12"/>
  <c r="R46" i="12" s="1"/>
  <c r="Q54" i="12"/>
  <c r="R54" i="12" s="1"/>
  <c r="Q62" i="12"/>
  <c r="R62" i="12" s="1"/>
  <c r="Q70" i="12"/>
  <c r="R70" i="12" s="1"/>
  <c r="Q78" i="12"/>
  <c r="R78" i="12" s="1"/>
  <c r="Q86" i="12"/>
  <c r="R86" i="12" s="1"/>
  <c r="Q94" i="12"/>
  <c r="R94" i="12" s="1"/>
  <c r="Q102" i="12"/>
  <c r="R102" i="12" s="1"/>
  <c r="Q110" i="12"/>
  <c r="R110" i="12" s="1"/>
  <c r="Q118" i="12"/>
  <c r="R118" i="12" s="1"/>
  <c r="Q126" i="12"/>
  <c r="R126" i="12" s="1"/>
  <c r="Q134" i="12"/>
  <c r="R134" i="12" s="1"/>
  <c r="Q142" i="12"/>
  <c r="R142" i="12" s="1"/>
  <c r="Q150" i="12"/>
  <c r="R150" i="12" s="1"/>
  <c r="Q158" i="12"/>
  <c r="R158" i="12" s="1"/>
  <c r="Q166" i="12"/>
  <c r="R166" i="12" s="1"/>
  <c r="Q174" i="12"/>
  <c r="R174" i="12" s="1"/>
  <c r="Q182" i="12"/>
  <c r="R182" i="12" s="1"/>
  <c r="Q190" i="12"/>
  <c r="R190" i="12" s="1"/>
  <c r="Q198" i="12"/>
  <c r="R198" i="12" s="1"/>
  <c r="Q206" i="12"/>
  <c r="R206" i="12" s="1"/>
  <c r="Q214" i="12"/>
  <c r="R214" i="12" s="1"/>
  <c r="Q222" i="12"/>
  <c r="R222" i="12" s="1"/>
  <c r="Q230" i="12"/>
  <c r="R230" i="12" s="1"/>
  <c r="Q238" i="12"/>
  <c r="R238" i="12" s="1"/>
  <c r="Q246" i="12"/>
  <c r="R246" i="12" s="1"/>
  <c r="Q234" i="12"/>
  <c r="R234" i="12" s="1"/>
  <c r="Q245" i="12"/>
  <c r="R245" i="12" s="1"/>
  <c r="Q15" i="12"/>
  <c r="R15" i="12" s="1"/>
  <c r="Q23" i="12"/>
  <c r="R23" i="12" s="1"/>
  <c r="Q31" i="12"/>
  <c r="R31" i="12" s="1"/>
  <c r="Q63" i="12"/>
  <c r="R63" i="12" s="1"/>
  <c r="Q95" i="12"/>
  <c r="R95" i="12" s="1"/>
  <c r="Q127" i="12"/>
  <c r="R127" i="12" s="1"/>
  <c r="Q159" i="12"/>
  <c r="R159" i="12" s="1"/>
  <c r="Q191" i="12"/>
  <c r="R191" i="12" s="1"/>
  <c r="Q199" i="12"/>
  <c r="R199" i="12" s="1"/>
  <c r="Q223" i="12"/>
  <c r="R223" i="12" s="1"/>
  <c r="Q231" i="12"/>
  <c r="R231" i="12" s="1"/>
  <c r="Q10" i="12"/>
  <c r="R10" i="12" s="1"/>
  <c r="Q18" i="12"/>
  <c r="R18" i="12" s="1"/>
  <c r="Q26" i="12"/>
  <c r="R26" i="12" s="1"/>
  <c r="Q34" i="12"/>
  <c r="R34" i="12" s="1"/>
  <c r="Q42" i="12"/>
  <c r="R42" i="12" s="1"/>
  <c r="Q50" i="12"/>
  <c r="R50" i="12" s="1"/>
  <c r="Q58" i="12"/>
  <c r="R58" i="12" s="1"/>
  <c r="Q66" i="12"/>
  <c r="R66" i="12" s="1"/>
  <c r="Q74" i="12"/>
  <c r="R74" i="12" s="1"/>
  <c r="Q82" i="12"/>
  <c r="R82" i="12" s="1"/>
  <c r="Q90" i="12"/>
  <c r="R90" i="12" s="1"/>
  <c r="Q98" i="12"/>
  <c r="R98" i="12" s="1"/>
  <c r="Q114" i="12"/>
  <c r="R114" i="12" s="1"/>
  <c r="Q122" i="12"/>
  <c r="R122" i="12" s="1"/>
  <c r="Q130" i="12"/>
  <c r="R130" i="12" s="1"/>
  <c r="Q146" i="12"/>
  <c r="R146" i="12" s="1"/>
  <c r="Q154" i="12"/>
  <c r="R154" i="12" s="1"/>
  <c r="Q162" i="12"/>
  <c r="R162" i="12" s="1"/>
  <c r="Q170" i="12"/>
  <c r="R170" i="12" s="1"/>
  <c r="Q178" i="12"/>
  <c r="R178" i="12" s="1"/>
  <c r="Q186" i="12"/>
  <c r="R186" i="12" s="1"/>
  <c r="Q194" i="12"/>
  <c r="R194" i="12" s="1"/>
  <c r="Q202" i="12"/>
  <c r="R202" i="12" s="1"/>
  <c r="Q210" i="12"/>
  <c r="R210" i="12" s="1"/>
  <c r="Q218" i="12"/>
  <c r="R218" i="12" s="1"/>
  <c r="Q226" i="12"/>
  <c r="R226" i="12" s="1"/>
  <c r="Q242" i="12"/>
  <c r="R242" i="12" s="1"/>
  <c r="Q250" i="12"/>
  <c r="R250" i="12" s="1"/>
  <c r="Q8" i="12"/>
  <c r="R8" i="12" s="1"/>
  <c r="Q11" i="12"/>
  <c r="R11" i="12" s="1"/>
  <c r="Q16" i="12"/>
  <c r="R16" i="12" s="1"/>
  <c r="Q19" i="12"/>
  <c r="R19" i="12" s="1"/>
  <c r="Q24" i="12"/>
  <c r="R24" i="12" s="1"/>
  <c r="Q27" i="12"/>
  <c r="R27" i="12" s="1"/>
  <c r="Q32" i="12"/>
  <c r="R32" i="12" s="1"/>
  <c r="Q35" i="12"/>
  <c r="R35" i="12" s="1"/>
  <c r="Q40" i="12"/>
  <c r="R40" i="12" s="1"/>
  <c r="Q43" i="12"/>
  <c r="R43" i="12" s="1"/>
  <c r="Q48" i="12"/>
  <c r="R48" i="12" s="1"/>
  <c r="Q51" i="12"/>
  <c r="R51" i="12" s="1"/>
  <c r="Q56" i="12"/>
  <c r="R56" i="12" s="1"/>
  <c r="Q59" i="12"/>
  <c r="R59" i="12" s="1"/>
  <c r="Q64" i="12"/>
  <c r="R64" i="12" s="1"/>
  <c r="Q67" i="12"/>
  <c r="R67" i="12" s="1"/>
  <c r="Q72" i="12"/>
  <c r="R72" i="12" s="1"/>
  <c r="Q75" i="12"/>
  <c r="R75" i="12" s="1"/>
  <c r="Q80" i="12"/>
  <c r="R80" i="12" s="1"/>
  <c r="Q83" i="12"/>
  <c r="R83" i="12" s="1"/>
  <c r="Q88" i="12"/>
  <c r="R88" i="12" s="1"/>
  <c r="Q91" i="12"/>
  <c r="R91" i="12" s="1"/>
  <c r="Q96" i="12"/>
  <c r="R96" i="12" s="1"/>
  <c r="Q99" i="12"/>
  <c r="R99" i="12" s="1"/>
  <c r="Q104" i="12"/>
  <c r="R104" i="12" s="1"/>
  <c r="Q107" i="12"/>
  <c r="R107" i="12" s="1"/>
  <c r="Q112" i="12"/>
  <c r="R112" i="12" s="1"/>
  <c r="Q115" i="12"/>
  <c r="R115" i="12" s="1"/>
  <c r="Q120" i="12"/>
  <c r="R120" i="12" s="1"/>
  <c r="Q123" i="12"/>
  <c r="R123" i="12" s="1"/>
  <c r="Q128" i="12"/>
  <c r="R128" i="12" s="1"/>
  <c r="Q131" i="12"/>
  <c r="R131" i="12" s="1"/>
  <c r="Q136" i="12"/>
  <c r="R136" i="12" s="1"/>
  <c r="Q139" i="12"/>
  <c r="R139" i="12" s="1"/>
  <c r="Q144" i="12"/>
  <c r="R144" i="12" s="1"/>
  <c r="Q147" i="12"/>
  <c r="R147" i="12" s="1"/>
  <c r="Q152" i="12"/>
  <c r="R152" i="12" s="1"/>
  <c r="Q155" i="12"/>
  <c r="R155" i="12" s="1"/>
  <c r="Q160" i="12"/>
  <c r="R160" i="12" s="1"/>
  <c r="Q163" i="12"/>
  <c r="R163" i="12" s="1"/>
  <c r="Q168" i="12"/>
  <c r="R168" i="12" s="1"/>
  <c r="Q171" i="12"/>
  <c r="R171" i="12" s="1"/>
  <c r="Q176" i="12"/>
  <c r="R176" i="12" s="1"/>
  <c r="Q179" i="12"/>
  <c r="R179" i="12" s="1"/>
  <c r="Q184" i="12"/>
  <c r="R184" i="12" s="1"/>
  <c r="Q187" i="12"/>
  <c r="R187" i="12" s="1"/>
  <c r="Q192" i="12"/>
  <c r="R192" i="12" s="1"/>
  <c r="Q195" i="12"/>
  <c r="R195" i="12" s="1"/>
  <c r="Q200" i="12"/>
  <c r="R200" i="12" s="1"/>
  <c r="Q203" i="12"/>
  <c r="R203" i="12" s="1"/>
  <c r="Q208" i="12"/>
  <c r="R208" i="12" s="1"/>
  <c r="Q211" i="12"/>
  <c r="R211" i="12" s="1"/>
  <c r="Q216" i="12"/>
  <c r="R216" i="12" s="1"/>
  <c r="Q219" i="12"/>
  <c r="R219" i="12" s="1"/>
  <c r="Q224" i="12"/>
  <c r="R224" i="12" s="1"/>
  <c r="Q227" i="12"/>
  <c r="R227" i="12" s="1"/>
  <c r="Q232" i="12"/>
  <c r="R232" i="12" s="1"/>
  <c r="Q235" i="12"/>
  <c r="R235" i="12" s="1"/>
  <c r="Q240" i="12"/>
  <c r="R240" i="12" s="1"/>
  <c r="Q243" i="12"/>
  <c r="R243" i="12" s="1"/>
  <c r="Q248" i="12"/>
  <c r="R248" i="12" s="1"/>
  <c r="Q251" i="12"/>
  <c r="R251" i="12" s="1"/>
  <c r="Q30" i="12"/>
  <c r="R30" i="12" s="1"/>
  <c r="Q161" i="12"/>
  <c r="R161" i="12" s="1"/>
  <c r="Q7" i="12"/>
  <c r="R7" i="12" s="1"/>
  <c r="Q39" i="12"/>
  <c r="R39" i="12" s="1"/>
  <c r="Q47" i="12"/>
  <c r="R47" i="12" s="1"/>
  <c r="Q55" i="12"/>
  <c r="R55" i="12" s="1"/>
  <c r="Q71" i="12"/>
  <c r="R71" i="12" s="1"/>
  <c r="Q79" i="12"/>
  <c r="R79" i="12" s="1"/>
  <c r="Q87" i="12"/>
  <c r="R87" i="12" s="1"/>
  <c r="Q103" i="12"/>
  <c r="R103" i="12" s="1"/>
  <c r="Q111" i="12"/>
  <c r="R111" i="12" s="1"/>
  <c r="Q119" i="12"/>
  <c r="R119" i="12" s="1"/>
  <c r="Q135" i="12"/>
  <c r="R135" i="12" s="1"/>
  <c r="Q143" i="12"/>
  <c r="R143" i="12" s="1"/>
  <c r="Q151" i="12"/>
  <c r="R151" i="12" s="1"/>
  <c r="Q175" i="12"/>
  <c r="R175" i="12" s="1"/>
  <c r="Q183" i="12"/>
  <c r="R183" i="12" s="1"/>
  <c r="Q207" i="12"/>
  <c r="R207" i="12" s="1"/>
  <c r="Q215" i="12"/>
  <c r="R215" i="12" s="1"/>
  <c r="Q239" i="12"/>
  <c r="R239" i="12" s="1"/>
  <c r="Q247" i="12"/>
  <c r="R247" i="12" s="1"/>
  <c r="Q106" i="12"/>
  <c r="R106" i="12" s="1"/>
  <c r="Q138" i="12"/>
  <c r="R138" i="12" s="1"/>
  <c r="Q167" i="12"/>
  <c r="R167" i="12" s="1"/>
  <c r="Q5" i="12"/>
  <c r="R5" i="12" s="1"/>
  <c r="Q13" i="12"/>
  <c r="R13" i="12" s="1"/>
  <c r="Q21" i="12"/>
  <c r="R21" i="12" s="1"/>
  <c r="Q29" i="12"/>
  <c r="R29" i="12" s="1"/>
  <c r="Q37" i="12"/>
  <c r="R37" i="12" s="1"/>
  <c r="Q45" i="12"/>
  <c r="R45" i="12" s="1"/>
  <c r="Q53" i="12"/>
  <c r="R53" i="12" s="1"/>
  <c r="Q61" i="12"/>
  <c r="R61" i="12" s="1"/>
  <c r="Q69" i="12"/>
  <c r="R69" i="12" s="1"/>
  <c r="Q77" i="12"/>
  <c r="R77" i="12" s="1"/>
  <c r="Q85" i="12"/>
  <c r="R85" i="12" s="1"/>
  <c r="Q93" i="12"/>
  <c r="R93" i="12" s="1"/>
  <c r="Q101" i="12"/>
  <c r="R101" i="12" s="1"/>
  <c r="Q109" i="12"/>
  <c r="R109" i="12" s="1"/>
  <c r="Q117" i="12"/>
  <c r="R117" i="12" s="1"/>
  <c r="Q125" i="12"/>
  <c r="R125" i="12" s="1"/>
  <c r="Q133" i="12"/>
  <c r="R133" i="12" s="1"/>
  <c r="Q141" i="12"/>
  <c r="R141" i="12" s="1"/>
  <c r="Q149" i="12"/>
  <c r="R149" i="12" s="1"/>
  <c r="Q157" i="12"/>
  <c r="R157" i="12" s="1"/>
  <c r="Q165" i="12"/>
  <c r="R165" i="12" s="1"/>
  <c r="Q173" i="12"/>
  <c r="R173" i="12" s="1"/>
  <c r="Q181" i="12"/>
  <c r="R181" i="12" s="1"/>
  <c r="Q189" i="12"/>
  <c r="R189" i="12" s="1"/>
  <c r="Q197" i="12"/>
  <c r="R197" i="12" s="1"/>
  <c r="Q12" i="12"/>
  <c r="R12" i="12" s="1"/>
  <c r="Q28" i="12"/>
  <c r="R28" i="12" s="1"/>
  <c r="Q44" i="12"/>
  <c r="R44" i="12" s="1"/>
  <c r="Q60" i="12"/>
  <c r="R60" i="12" s="1"/>
  <c r="Q76" i="12"/>
  <c r="R76" i="12" s="1"/>
  <c r="Q92" i="12"/>
  <c r="R92" i="12" s="1"/>
  <c r="Q108" i="12"/>
  <c r="R108" i="12" s="1"/>
  <c r="Q116" i="12"/>
  <c r="R116" i="12" s="1"/>
  <c r="Q124" i="12"/>
  <c r="R124" i="12" s="1"/>
  <c r="Q132" i="12"/>
  <c r="R132" i="12" s="1"/>
  <c r="Q140" i="12"/>
  <c r="R140" i="12" s="1"/>
  <c r="Q156" i="12"/>
  <c r="R156" i="12" s="1"/>
  <c r="Q172" i="12"/>
  <c r="R172" i="12" s="1"/>
  <c r="Q180" i="12"/>
  <c r="R180" i="12" s="1"/>
  <c r="Q188" i="12"/>
  <c r="R188" i="12" s="1"/>
  <c r="Q204" i="12"/>
  <c r="R204" i="12" s="1"/>
  <c r="Q212" i="12"/>
  <c r="R212" i="12" s="1"/>
  <c r="Q220" i="12"/>
  <c r="R220" i="12" s="1"/>
  <c r="Q228" i="12"/>
  <c r="R228" i="12" s="1"/>
  <c r="Q236" i="12"/>
  <c r="R236" i="12" s="1"/>
  <c r="Q244" i="12"/>
  <c r="R244" i="12" s="1"/>
  <c r="I10" i="1"/>
  <c r="N6" i="9"/>
  <c r="N12" i="9"/>
  <c r="N14" i="9" s="1"/>
  <c r="E29" i="11" s="1"/>
  <c r="M12" i="9"/>
  <c r="M14" i="9" s="1"/>
  <c r="D29" i="11" s="1"/>
  <c r="L12" i="9"/>
  <c r="L14" i="9" s="1"/>
  <c r="C29" i="11" s="1"/>
  <c r="N8" i="9"/>
  <c r="M8" i="9"/>
  <c r="L8" i="9"/>
  <c r="Q24" i="9"/>
  <c r="Q36" i="13" l="1"/>
  <c r="R36" i="13" s="1"/>
  <c r="Q52" i="13"/>
  <c r="R52" i="13" s="1"/>
  <c r="Q84" i="13"/>
  <c r="R84" i="13" s="1"/>
  <c r="Q100" i="13"/>
  <c r="R100" i="13" s="1"/>
  <c r="Q132" i="13"/>
  <c r="R132" i="13" s="1"/>
  <c r="Q164" i="13"/>
  <c r="R164" i="13" s="1"/>
  <c r="Q196" i="13"/>
  <c r="R196" i="13" s="1"/>
  <c r="Q68" i="12"/>
  <c r="R68" i="12" s="1"/>
  <c r="Q36" i="12"/>
  <c r="R36" i="12" s="1"/>
  <c r="AC11" i="9"/>
  <c r="AH11" i="9" s="1"/>
  <c r="AC12" i="9"/>
  <c r="AH12" i="9" s="1"/>
  <c r="Q25" i="9"/>
  <c r="AC13" i="9"/>
  <c r="AH13" i="9" s="1"/>
  <c r="AC10" i="9"/>
  <c r="AH10" i="9" s="1"/>
  <c r="AC7" i="9"/>
  <c r="AH7" i="9" s="1"/>
  <c r="AC19" i="9"/>
  <c r="AH19" i="9" s="1"/>
  <c r="AC27" i="9"/>
  <c r="AH27" i="9" s="1"/>
  <c r="AC35" i="9"/>
  <c r="AH35" i="9" s="1"/>
  <c r="AC43" i="9"/>
  <c r="AH43" i="9" s="1"/>
  <c r="AC51" i="9"/>
  <c r="AH51" i="9" s="1"/>
  <c r="AC59" i="9"/>
  <c r="AH59" i="9" s="1"/>
  <c r="AC67" i="9"/>
  <c r="AH67" i="9" s="1"/>
  <c r="AC75" i="9"/>
  <c r="AH75" i="9" s="1"/>
  <c r="AC83" i="9"/>
  <c r="AH83" i="9" s="1"/>
  <c r="AC91" i="9"/>
  <c r="AH91" i="9" s="1"/>
  <c r="AC99" i="9"/>
  <c r="AH99" i="9" s="1"/>
  <c r="AC107" i="9"/>
  <c r="AH107" i="9" s="1"/>
  <c r="AC115" i="9"/>
  <c r="AH115" i="9" s="1"/>
  <c r="AC123" i="9"/>
  <c r="AH123" i="9" s="1"/>
  <c r="AC131" i="9"/>
  <c r="AH131" i="9" s="1"/>
  <c r="AC139" i="9"/>
  <c r="AH139" i="9" s="1"/>
  <c r="AC147" i="9"/>
  <c r="AH147" i="9" s="1"/>
  <c r="AC155" i="9"/>
  <c r="AH155" i="9" s="1"/>
  <c r="AC163" i="9"/>
  <c r="AH163" i="9" s="1"/>
  <c r="AC171" i="9"/>
  <c r="AH171" i="9" s="1"/>
  <c r="AC179" i="9"/>
  <c r="AH179" i="9" s="1"/>
  <c r="AC187" i="9"/>
  <c r="AH187" i="9" s="1"/>
  <c r="AC195" i="9"/>
  <c r="AH195" i="9" s="1"/>
  <c r="AC203" i="9"/>
  <c r="AH203" i="9" s="1"/>
  <c r="AC211" i="9"/>
  <c r="AH211" i="9" s="1"/>
  <c r="AC219" i="9"/>
  <c r="AH219" i="9" s="1"/>
  <c r="AC227" i="9"/>
  <c r="AH227" i="9" s="1"/>
  <c r="AC235" i="9"/>
  <c r="AH235" i="9" s="1"/>
  <c r="AC243" i="9"/>
  <c r="AH243" i="9" s="1"/>
  <c r="AC251" i="9"/>
  <c r="AH251" i="9" s="1"/>
  <c r="AC259" i="9"/>
  <c r="AH259" i="9" s="1"/>
  <c r="AC267" i="9"/>
  <c r="AH267" i="9" s="1"/>
  <c r="AC275" i="9"/>
  <c r="AH275" i="9" s="1"/>
  <c r="AC283" i="9"/>
  <c r="AH283" i="9" s="1"/>
  <c r="AC291" i="9"/>
  <c r="AH291" i="9" s="1"/>
  <c r="AC299" i="9"/>
  <c r="AH299" i="9" s="1"/>
  <c r="AC307" i="9"/>
  <c r="AH307" i="9" s="1"/>
  <c r="AC315" i="9"/>
  <c r="AH315" i="9" s="1"/>
  <c r="AC323" i="9"/>
  <c r="AH323" i="9" s="1"/>
  <c r="AC331" i="9"/>
  <c r="AH331" i="9" s="1"/>
  <c r="AC339" i="9"/>
  <c r="AH339" i="9" s="1"/>
  <c r="AC347" i="9"/>
  <c r="AH347" i="9" s="1"/>
  <c r="AC355" i="9"/>
  <c r="AH355" i="9" s="1"/>
  <c r="AC363" i="9"/>
  <c r="AH363" i="9" s="1"/>
  <c r="AC371" i="9"/>
  <c r="AH371" i="9" s="1"/>
  <c r="AC379" i="9"/>
  <c r="AH379" i="9" s="1"/>
  <c r="AC387" i="9"/>
  <c r="AH387" i="9" s="1"/>
  <c r="AC395" i="9"/>
  <c r="AH395" i="9" s="1"/>
  <c r="AC403" i="9"/>
  <c r="AH403" i="9" s="1"/>
  <c r="AC411" i="9"/>
  <c r="AH411" i="9" s="1"/>
  <c r="AC419" i="9"/>
  <c r="AH419" i="9" s="1"/>
  <c r="AC427" i="9"/>
  <c r="AH427" i="9" s="1"/>
  <c r="AC435" i="9"/>
  <c r="AH435" i="9" s="1"/>
  <c r="AC443" i="9"/>
  <c r="AH443" i="9" s="1"/>
  <c r="AC451" i="9"/>
  <c r="AH451" i="9" s="1"/>
  <c r="AC459" i="9"/>
  <c r="AH459" i="9" s="1"/>
  <c r="AC467" i="9"/>
  <c r="AH467" i="9" s="1"/>
  <c r="AC475" i="9"/>
  <c r="AH475" i="9" s="1"/>
  <c r="AC483" i="9"/>
  <c r="AH483" i="9" s="1"/>
  <c r="AC491" i="9"/>
  <c r="AH491" i="9" s="1"/>
  <c r="AC499" i="9"/>
  <c r="AH499" i="9" s="1"/>
  <c r="AC507" i="9"/>
  <c r="AH507" i="9" s="1"/>
  <c r="AC515" i="9"/>
  <c r="AH515" i="9" s="1"/>
  <c r="AC523" i="9"/>
  <c r="AH523" i="9" s="1"/>
  <c r="AC531" i="9"/>
  <c r="AH531" i="9" s="1"/>
  <c r="AC539" i="9"/>
  <c r="AH539" i="9" s="1"/>
  <c r="AC547" i="9"/>
  <c r="AH547" i="9" s="1"/>
  <c r="AC555" i="9"/>
  <c r="AH555" i="9" s="1"/>
  <c r="AC563" i="9"/>
  <c r="AH563" i="9" s="1"/>
  <c r="AC571" i="9"/>
  <c r="AH571" i="9" s="1"/>
  <c r="AC579" i="9"/>
  <c r="AH579" i="9" s="1"/>
  <c r="AC587" i="9"/>
  <c r="AH587" i="9" s="1"/>
  <c r="AC595" i="9"/>
  <c r="AH595" i="9" s="1"/>
  <c r="AC603" i="9"/>
  <c r="AH603" i="9" s="1"/>
  <c r="AC611" i="9"/>
  <c r="AH611" i="9" s="1"/>
  <c r="AC619" i="9"/>
  <c r="AH619" i="9" s="1"/>
  <c r="AC627" i="9"/>
  <c r="AH627" i="9" s="1"/>
  <c r="AC635" i="9"/>
  <c r="AH635" i="9" s="1"/>
  <c r="AC643" i="9"/>
  <c r="AH643" i="9" s="1"/>
  <c r="AC651" i="9"/>
  <c r="AH651" i="9" s="1"/>
  <c r="AC659" i="9"/>
  <c r="AH659" i="9" s="1"/>
  <c r="AC667" i="9"/>
  <c r="AH667" i="9" s="1"/>
  <c r="AC675" i="9"/>
  <c r="AH675" i="9" s="1"/>
  <c r="AC683" i="9"/>
  <c r="AH683" i="9" s="1"/>
  <c r="AC691" i="9"/>
  <c r="AH691" i="9" s="1"/>
  <c r="AC699" i="9"/>
  <c r="AH699" i="9" s="1"/>
  <c r="AC707" i="9"/>
  <c r="AH707" i="9" s="1"/>
  <c r="AC715" i="9"/>
  <c r="AH715" i="9" s="1"/>
  <c r="AC723" i="9"/>
  <c r="AH723" i="9" s="1"/>
  <c r="AC731" i="9"/>
  <c r="AH731" i="9" s="1"/>
  <c r="AC739" i="9"/>
  <c r="AH739" i="9" s="1"/>
  <c r="AC747" i="9"/>
  <c r="AH747" i="9" s="1"/>
  <c r="AC755" i="9"/>
  <c r="AH755" i="9" s="1"/>
  <c r="AC763" i="9"/>
  <c r="AH763" i="9" s="1"/>
  <c r="AC771" i="9"/>
  <c r="AH771" i="9" s="1"/>
  <c r="AC779" i="9"/>
  <c r="AH779" i="9" s="1"/>
  <c r="AC787" i="9"/>
  <c r="AH787" i="9" s="1"/>
  <c r="AC795" i="9"/>
  <c r="AH795" i="9" s="1"/>
  <c r="AC803" i="9"/>
  <c r="AH803" i="9" s="1"/>
  <c r="AC811" i="9"/>
  <c r="AH811" i="9" s="1"/>
  <c r="AC819" i="9"/>
  <c r="AH819" i="9" s="1"/>
  <c r="AC827" i="9"/>
  <c r="AH827" i="9" s="1"/>
  <c r="AC835" i="9"/>
  <c r="AH835" i="9" s="1"/>
  <c r="AC843" i="9"/>
  <c r="AH843" i="9" s="1"/>
  <c r="AC851" i="9"/>
  <c r="AH851" i="9" s="1"/>
  <c r="AC859" i="9"/>
  <c r="AH859" i="9" s="1"/>
  <c r="AC867" i="9"/>
  <c r="AH867" i="9" s="1"/>
  <c r="AC875" i="9"/>
  <c r="AH875" i="9" s="1"/>
  <c r="AC883" i="9"/>
  <c r="AH883" i="9" s="1"/>
  <c r="AC891" i="9"/>
  <c r="AH891" i="9" s="1"/>
  <c r="AC899" i="9"/>
  <c r="AH899" i="9" s="1"/>
  <c r="AC907" i="9"/>
  <c r="AH907" i="9" s="1"/>
  <c r="AC915" i="9"/>
  <c r="AH915" i="9" s="1"/>
  <c r="AC923" i="9"/>
  <c r="AH923" i="9" s="1"/>
  <c r="AC931" i="9"/>
  <c r="AH931" i="9" s="1"/>
  <c r="AC939" i="9"/>
  <c r="AH939" i="9" s="1"/>
  <c r="AC947" i="9"/>
  <c r="AH947" i="9" s="1"/>
  <c r="AC955" i="9"/>
  <c r="AH955" i="9" s="1"/>
  <c r="AC963" i="9"/>
  <c r="AH963" i="9" s="1"/>
  <c r="AC971" i="9"/>
  <c r="AH971" i="9" s="1"/>
  <c r="AC979" i="9"/>
  <c r="AH979" i="9" s="1"/>
  <c r="AC987" i="9"/>
  <c r="AH987" i="9" s="1"/>
  <c r="AC995" i="9"/>
  <c r="AH995" i="9" s="1"/>
  <c r="AC1003" i="9"/>
  <c r="AH1003" i="9" s="1"/>
  <c r="AC198" i="9"/>
  <c r="AH198" i="9" s="1"/>
  <c r="AC430" i="9"/>
  <c r="AH430" i="9" s="1"/>
  <c r="AC478" i="9"/>
  <c r="AH478" i="9" s="1"/>
  <c r="AC518" i="9"/>
  <c r="AH518" i="9" s="1"/>
  <c r="AC550" i="9"/>
  <c r="AH550" i="9" s="1"/>
  <c r="AC574" i="9"/>
  <c r="AH574" i="9" s="1"/>
  <c r="AC630" i="9"/>
  <c r="AH630" i="9" s="1"/>
  <c r="AC654" i="9"/>
  <c r="AH654" i="9" s="1"/>
  <c r="AC702" i="9"/>
  <c r="AH702" i="9" s="1"/>
  <c r="AC8" i="9"/>
  <c r="AH8" i="9" s="1"/>
  <c r="AC20" i="9"/>
  <c r="AH20" i="9" s="1"/>
  <c r="AC28" i="9"/>
  <c r="AH28" i="9" s="1"/>
  <c r="AC36" i="9"/>
  <c r="AH36" i="9" s="1"/>
  <c r="AC44" i="9"/>
  <c r="AH44" i="9" s="1"/>
  <c r="AC52" i="9"/>
  <c r="AH52" i="9" s="1"/>
  <c r="AC60" i="9"/>
  <c r="AH60" i="9" s="1"/>
  <c r="AC68" i="9"/>
  <c r="AH68" i="9" s="1"/>
  <c r="AC76" i="9"/>
  <c r="AH76" i="9" s="1"/>
  <c r="AC84" i="9"/>
  <c r="AH84" i="9" s="1"/>
  <c r="AC92" i="9"/>
  <c r="AH92" i="9" s="1"/>
  <c r="AC100" i="9"/>
  <c r="AH100" i="9" s="1"/>
  <c r="AC108" i="9"/>
  <c r="AH108" i="9" s="1"/>
  <c r="AC116" i="9"/>
  <c r="AH116" i="9" s="1"/>
  <c r="AC124" i="9"/>
  <c r="AH124" i="9" s="1"/>
  <c r="AC132" i="9"/>
  <c r="AH132" i="9" s="1"/>
  <c r="AC140" i="9"/>
  <c r="AH140" i="9" s="1"/>
  <c r="AC148" i="9"/>
  <c r="AH148" i="9" s="1"/>
  <c r="AC156" i="9"/>
  <c r="AH156" i="9" s="1"/>
  <c r="AC164" i="9"/>
  <c r="AH164" i="9" s="1"/>
  <c r="AC172" i="9"/>
  <c r="AH172" i="9" s="1"/>
  <c r="AC180" i="9"/>
  <c r="AH180" i="9" s="1"/>
  <c r="AC188" i="9"/>
  <c r="AH188" i="9" s="1"/>
  <c r="AC196" i="9"/>
  <c r="AH196" i="9" s="1"/>
  <c r="AC204" i="9"/>
  <c r="AH204" i="9" s="1"/>
  <c r="AC212" i="9"/>
  <c r="AH212" i="9" s="1"/>
  <c r="AC220" i="9"/>
  <c r="AH220" i="9" s="1"/>
  <c r="AC228" i="9"/>
  <c r="AH228" i="9" s="1"/>
  <c r="AC236" i="9"/>
  <c r="AH236" i="9" s="1"/>
  <c r="AC244" i="9"/>
  <c r="AH244" i="9" s="1"/>
  <c r="AC252" i="9"/>
  <c r="AH252" i="9" s="1"/>
  <c r="AC260" i="9"/>
  <c r="AH260" i="9" s="1"/>
  <c r="AC268" i="9"/>
  <c r="AH268" i="9" s="1"/>
  <c r="AC276" i="9"/>
  <c r="AH276" i="9" s="1"/>
  <c r="AC284" i="9"/>
  <c r="AH284" i="9" s="1"/>
  <c r="AC292" i="9"/>
  <c r="AH292" i="9" s="1"/>
  <c r="AC300" i="9"/>
  <c r="AH300" i="9" s="1"/>
  <c r="AC308" i="9"/>
  <c r="AH308" i="9" s="1"/>
  <c r="AC316" i="9"/>
  <c r="AH316" i="9" s="1"/>
  <c r="AC324" i="9"/>
  <c r="AH324" i="9" s="1"/>
  <c r="AC332" i="9"/>
  <c r="AH332" i="9" s="1"/>
  <c r="AC340" i="9"/>
  <c r="AH340" i="9" s="1"/>
  <c r="AC348" i="9"/>
  <c r="AH348" i="9" s="1"/>
  <c r="AC356" i="9"/>
  <c r="AH356" i="9" s="1"/>
  <c r="AC364" i="9"/>
  <c r="AH364" i="9" s="1"/>
  <c r="AC372" i="9"/>
  <c r="AH372" i="9" s="1"/>
  <c r="AC380" i="9"/>
  <c r="AH380" i="9" s="1"/>
  <c r="AC388" i="9"/>
  <c r="AH388" i="9" s="1"/>
  <c r="AC396" i="9"/>
  <c r="AH396" i="9" s="1"/>
  <c r="AC404" i="9"/>
  <c r="AH404" i="9" s="1"/>
  <c r="AC412" i="9"/>
  <c r="AH412" i="9" s="1"/>
  <c r="AC420" i="9"/>
  <c r="AH420" i="9" s="1"/>
  <c r="AC428" i="9"/>
  <c r="AH428" i="9" s="1"/>
  <c r="AC436" i="9"/>
  <c r="AH436" i="9" s="1"/>
  <c r="AC444" i="9"/>
  <c r="AH444" i="9" s="1"/>
  <c r="AC452" i="9"/>
  <c r="AH452" i="9" s="1"/>
  <c r="AC460" i="9"/>
  <c r="AH460" i="9" s="1"/>
  <c r="AC468" i="9"/>
  <c r="AH468" i="9" s="1"/>
  <c r="AC476" i="9"/>
  <c r="AH476" i="9" s="1"/>
  <c r="AC484" i="9"/>
  <c r="AH484" i="9" s="1"/>
  <c r="AC492" i="9"/>
  <c r="AH492" i="9" s="1"/>
  <c r="AC500" i="9"/>
  <c r="AH500" i="9" s="1"/>
  <c r="AC508" i="9"/>
  <c r="AH508" i="9" s="1"/>
  <c r="AC516" i="9"/>
  <c r="AH516" i="9" s="1"/>
  <c r="AC524" i="9"/>
  <c r="AH524" i="9" s="1"/>
  <c r="AC532" i="9"/>
  <c r="AH532" i="9" s="1"/>
  <c r="AC540" i="9"/>
  <c r="AH540" i="9" s="1"/>
  <c r="AC548" i="9"/>
  <c r="AH548" i="9" s="1"/>
  <c r="AC556" i="9"/>
  <c r="AH556" i="9" s="1"/>
  <c r="AC564" i="9"/>
  <c r="AH564" i="9" s="1"/>
  <c r="AC572" i="9"/>
  <c r="AH572" i="9" s="1"/>
  <c r="AC580" i="9"/>
  <c r="AH580" i="9" s="1"/>
  <c r="AC588" i="9"/>
  <c r="AH588" i="9" s="1"/>
  <c r="AC596" i="9"/>
  <c r="AH596" i="9" s="1"/>
  <c r="AC604" i="9"/>
  <c r="AH604" i="9" s="1"/>
  <c r="AC612" i="9"/>
  <c r="AH612" i="9" s="1"/>
  <c r="AC620" i="9"/>
  <c r="AH620" i="9" s="1"/>
  <c r="AC628" i="9"/>
  <c r="AH628" i="9" s="1"/>
  <c r="AC636" i="9"/>
  <c r="AH636" i="9" s="1"/>
  <c r="AC644" i="9"/>
  <c r="AH644" i="9" s="1"/>
  <c r="AC652" i="9"/>
  <c r="AH652" i="9" s="1"/>
  <c r="AC660" i="9"/>
  <c r="AH660" i="9" s="1"/>
  <c r="AC668" i="9"/>
  <c r="AH668" i="9" s="1"/>
  <c r="AC676" i="9"/>
  <c r="AH676" i="9" s="1"/>
  <c r="AC684" i="9"/>
  <c r="AH684" i="9" s="1"/>
  <c r="AC692" i="9"/>
  <c r="AH692" i="9" s="1"/>
  <c r="AC700" i="9"/>
  <c r="AH700" i="9" s="1"/>
  <c r="AC708" i="9"/>
  <c r="AH708" i="9" s="1"/>
  <c r="AC716" i="9"/>
  <c r="AH716" i="9" s="1"/>
  <c r="AC724" i="9"/>
  <c r="AH724" i="9" s="1"/>
  <c r="AC732" i="9"/>
  <c r="AH732" i="9" s="1"/>
  <c r="AC740" i="9"/>
  <c r="AH740" i="9" s="1"/>
  <c r="AC748" i="9"/>
  <c r="AH748" i="9" s="1"/>
  <c r="AC756" i="9"/>
  <c r="AH756" i="9" s="1"/>
  <c r="AC764" i="9"/>
  <c r="AH764" i="9" s="1"/>
  <c r="AC772" i="9"/>
  <c r="AH772" i="9" s="1"/>
  <c r="AC780" i="9"/>
  <c r="AH780" i="9" s="1"/>
  <c r="AC788" i="9"/>
  <c r="AH788" i="9" s="1"/>
  <c r="AC796" i="9"/>
  <c r="AH796" i="9" s="1"/>
  <c r="AC804" i="9"/>
  <c r="AH804" i="9" s="1"/>
  <c r="AC812" i="9"/>
  <c r="AH812" i="9" s="1"/>
  <c r="AC820" i="9"/>
  <c r="AH820" i="9" s="1"/>
  <c r="AC828" i="9"/>
  <c r="AH828" i="9" s="1"/>
  <c r="AC836" i="9"/>
  <c r="AH836" i="9" s="1"/>
  <c r="AC844" i="9"/>
  <c r="AH844" i="9" s="1"/>
  <c r="AC852" i="9"/>
  <c r="AH852" i="9" s="1"/>
  <c r="AC860" i="9"/>
  <c r="AH860" i="9" s="1"/>
  <c r="AC868" i="9"/>
  <c r="AH868" i="9" s="1"/>
  <c r="AC876" i="9"/>
  <c r="AH876" i="9" s="1"/>
  <c r="AC884" i="9"/>
  <c r="AH884" i="9" s="1"/>
  <c r="AC892" i="9"/>
  <c r="AH892" i="9" s="1"/>
  <c r="AC900" i="9"/>
  <c r="AH900" i="9" s="1"/>
  <c r="AC908" i="9"/>
  <c r="AH908" i="9" s="1"/>
  <c r="AC916" i="9"/>
  <c r="AH916" i="9" s="1"/>
  <c r="AC924" i="9"/>
  <c r="AH924" i="9" s="1"/>
  <c r="AC932" i="9"/>
  <c r="AH932" i="9" s="1"/>
  <c r="AC940" i="9"/>
  <c r="AH940" i="9" s="1"/>
  <c r="AC948" i="9"/>
  <c r="AH948" i="9" s="1"/>
  <c r="AC956" i="9"/>
  <c r="AH956" i="9" s="1"/>
  <c r="AC964" i="9"/>
  <c r="AH964" i="9" s="1"/>
  <c r="AC972" i="9"/>
  <c r="AH972" i="9" s="1"/>
  <c r="AC980" i="9"/>
  <c r="AH980" i="9" s="1"/>
  <c r="AC988" i="9"/>
  <c r="AH988" i="9" s="1"/>
  <c r="AC996" i="9"/>
  <c r="AH996" i="9" s="1"/>
  <c r="AC1004" i="9"/>
  <c r="AH1004" i="9" s="1"/>
  <c r="AC166" i="9"/>
  <c r="AH166" i="9" s="1"/>
  <c r="AC334" i="9"/>
  <c r="AH334" i="9" s="1"/>
  <c r="AC350" i="9"/>
  <c r="AH350" i="9" s="1"/>
  <c r="AC366" i="9"/>
  <c r="AH366" i="9" s="1"/>
  <c r="AC374" i="9"/>
  <c r="AH374" i="9" s="1"/>
  <c r="AC382" i="9"/>
  <c r="AH382" i="9" s="1"/>
  <c r="AC398" i="9"/>
  <c r="AH398" i="9" s="1"/>
  <c r="AC406" i="9"/>
  <c r="AH406" i="9" s="1"/>
  <c r="AC422" i="9"/>
  <c r="AH422" i="9" s="1"/>
  <c r="AC454" i="9"/>
  <c r="AH454" i="9" s="1"/>
  <c r="AC470" i="9"/>
  <c r="AH470" i="9" s="1"/>
  <c r="AC502" i="9"/>
  <c r="AH502" i="9" s="1"/>
  <c r="AC534" i="9"/>
  <c r="AH534" i="9" s="1"/>
  <c r="AC566" i="9"/>
  <c r="AH566" i="9" s="1"/>
  <c r="AC598" i="9"/>
  <c r="AH598" i="9" s="1"/>
  <c r="AC614" i="9"/>
  <c r="AH614" i="9" s="1"/>
  <c r="AC670" i="9"/>
  <c r="AH670" i="9" s="1"/>
  <c r="AC9" i="9"/>
  <c r="AH9" i="9" s="1"/>
  <c r="AC21" i="9"/>
  <c r="AH21" i="9" s="1"/>
  <c r="AC29" i="9"/>
  <c r="AH29" i="9" s="1"/>
  <c r="AC37" i="9"/>
  <c r="AH37" i="9" s="1"/>
  <c r="AC45" i="9"/>
  <c r="AH45" i="9" s="1"/>
  <c r="AC53" i="9"/>
  <c r="AH53" i="9" s="1"/>
  <c r="AC61" i="9"/>
  <c r="AH61" i="9" s="1"/>
  <c r="AC69" i="9"/>
  <c r="AH69" i="9" s="1"/>
  <c r="AC77" i="9"/>
  <c r="AH77" i="9" s="1"/>
  <c r="AC85" i="9"/>
  <c r="AH85" i="9" s="1"/>
  <c r="AC93" i="9"/>
  <c r="AH93" i="9" s="1"/>
  <c r="AC101" i="9"/>
  <c r="AH101" i="9" s="1"/>
  <c r="AC109" i="9"/>
  <c r="AH109" i="9" s="1"/>
  <c r="AC117" i="9"/>
  <c r="AH117" i="9" s="1"/>
  <c r="AC125" i="9"/>
  <c r="AH125" i="9" s="1"/>
  <c r="AC133" i="9"/>
  <c r="AH133" i="9" s="1"/>
  <c r="AC141" i="9"/>
  <c r="AH141" i="9" s="1"/>
  <c r="AC149" i="9"/>
  <c r="AH149" i="9" s="1"/>
  <c r="AC157" i="9"/>
  <c r="AH157" i="9" s="1"/>
  <c r="AC165" i="9"/>
  <c r="AH165" i="9" s="1"/>
  <c r="AC173" i="9"/>
  <c r="AH173" i="9" s="1"/>
  <c r="AC181" i="9"/>
  <c r="AH181" i="9" s="1"/>
  <c r="AC189" i="9"/>
  <c r="AH189" i="9" s="1"/>
  <c r="AC197" i="9"/>
  <c r="AH197" i="9" s="1"/>
  <c r="AC205" i="9"/>
  <c r="AH205" i="9" s="1"/>
  <c r="AC213" i="9"/>
  <c r="AH213" i="9" s="1"/>
  <c r="AC221" i="9"/>
  <c r="AH221" i="9" s="1"/>
  <c r="AC229" i="9"/>
  <c r="AH229" i="9" s="1"/>
  <c r="AC237" i="9"/>
  <c r="AH237" i="9" s="1"/>
  <c r="AC245" i="9"/>
  <c r="AH245" i="9" s="1"/>
  <c r="AC253" i="9"/>
  <c r="AH253" i="9" s="1"/>
  <c r="AC261" i="9"/>
  <c r="AH261" i="9" s="1"/>
  <c r="AC269" i="9"/>
  <c r="AH269" i="9" s="1"/>
  <c r="AC277" i="9"/>
  <c r="AH277" i="9" s="1"/>
  <c r="AC285" i="9"/>
  <c r="AH285" i="9" s="1"/>
  <c r="AC293" i="9"/>
  <c r="AH293" i="9" s="1"/>
  <c r="AC301" i="9"/>
  <c r="AH301" i="9" s="1"/>
  <c r="AC309" i="9"/>
  <c r="AH309" i="9" s="1"/>
  <c r="AC317" i="9"/>
  <c r="AH317" i="9" s="1"/>
  <c r="AC325" i="9"/>
  <c r="AH325" i="9" s="1"/>
  <c r="AC333" i="9"/>
  <c r="AH333" i="9" s="1"/>
  <c r="AC341" i="9"/>
  <c r="AH341" i="9" s="1"/>
  <c r="AC349" i="9"/>
  <c r="AH349" i="9" s="1"/>
  <c r="AC357" i="9"/>
  <c r="AH357" i="9" s="1"/>
  <c r="AC365" i="9"/>
  <c r="AH365" i="9" s="1"/>
  <c r="AC373" i="9"/>
  <c r="AH373" i="9" s="1"/>
  <c r="AC381" i="9"/>
  <c r="AH381" i="9" s="1"/>
  <c r="AC389" i="9"/>
  <c r="AH389" i="9" s="1"/>
  <c r="AC397" i="9"/>
  <c r="AH397" i="9" s="1"/>
  <c r="AC405" i="9"/>
  <c r="AH405" i="9" s="1"/>
  <c r="AC413" i="9"/>
  <c r="AH413" i="9" s="1"/>
  <c r="AC421" i="9"/>
  <c r="AH421" i="9" s="1"/>
  <c r="AC429" i="9"/>
  <c r="AH429" i="9" s="1"/>
  <c r="AC437" i="9"/>
  <c r="AH437" i="9" s="1"/>
  <c r="AC445" i="9"/>
  <c r="AH445" i="9" s="1"/>
  <c r="AC453" i="9"/>
  <c r="AH453" i="9" s="1"/>
  <c r="AC461" i="9"/>
  <c r="AH461" i="9" s="1"/>
  <c r="AC469" i="9"/>
  <c r="AH469" i="9" s="1"/>
  <c r="AC477" i="9"/>
  <c r="AH477" i="9" s="1"/>
  <c r="AC485" i="9"/>
  <c r="AH485" i="9" s="1"/>
  <c r="AC493" i="9"/>
  <c r="AH493" i="9" s="1"/>
  <c r="AC501" i="9"/>
  <c r="AH501" i="9" s="1"/>
  <c r="AC509" i="9"/>
  <c r="AH509" i="9" s="1"/>
  <c r="AC517" i="9"/>
  <c r="AH517" i="9" s="1"/>
  <c r="AC525" i="9"/>
  <c r="AH525" i="9" s="1"/>
  <c r="AC533" i="9"/>
  <c r="AH533" i="9" s="1"/>
  <c r="AC541" i="9"/>
  <c r="AH541" i="9" s="1"/>
  <c r="AC549" i="9"/>
  <c r="AH549" i="9" s="1"/>
  <c r="AC557" i="9"/>
  <c r="AH557" i="9" s="1"/>
  <c r="AC565" i="9"/>
  <c r="AH565" i="9" s="1"/>
  <c r="AC573" i="9"/>
  <c r="AH573" i="9" s="1"/>
  <c r="AC581" i="9"/>
  <c r="AH581" i="9" s="1"/>
  <c r="AC589" i="9"/>
  <c r="AH589" i="9" s="1"/>
  <c r="AC597" i="9"/>
  <c r="AH597" i="9" s="1"/>
  <c r="AC605" i="9"/>
  <c r="AH605" i="9" s="1"/>
  <c r="AC613" i="9"/>
  <c r="AH613" i="9" s="1"/>
  <c r="AC621" i="9"/>
  <c r="AH621" i="9" s="1"/>
  <c r="AC629" i="9"/>
  <c r="AH629" i="9" s="1"/>
  <c r="AC637" i="9"/>
  <c r="AH637" i="9" s="1"/>
  <c r="AC645" i="9"/>
  <c r="AH645" i="9" s="1"/>
  <c r="AC653" i="9"/>
  <c r="AH653" i="9" s="1"/>
  <c r="AC661" i="9"/>
  <c r="AH661" i="9" s="1"/>
  <c r="AC669" i="9"/>
  <c r="AH669" i="9" s="1"/>
  <c r="AC677" i="9"/>
  <c r="AH677" i="9" s="1"/>
  <c r="AC685" i="9"/>
  <c r="AH685" i="9" s="1"/>
  <c r="AC693" i="9"/>
  <c r="AH693" i="9" s="1"/>
  <c r="AC701" i="9"/>
  <c r="AH701" i="9" s="1"/>
  <c r="AC709" i="9"/>
  <c r="AH709" i="9" s="1"/>
  <c r="AC717" i="9"/>
  <c r="AH717" i="9" s="1"/>
  <c r="AC725" i="9"/>
  <c r="AH725" i="9" s="1"/>
  <c r="AC733" i="9"/>
  <c r="AH733" i="9" s="1"/>
  <c r="AC741" i="9"/>
  <c r="AH741" i="9" s="1"/>
  <c r="AC749" i="9"/>
  <c r="AH749" i="9" s="1"/>
  <c r="AC757" i="9"/>
  <c r="AH757" i="9" s="1"/>
  <c r="AC765" i="9"/>
  <c r="AH765" i="9" s="1"/>
  <c r="AC773" i="9"/>
  <c r="AH773" i="9" s="1"/>
  <c r="AC781" i="9"/>
  <c r="AH781" i="9" s="1"/>
  <c r="AC789" i="9"/>
  <c r="AH789" i="9" s="1"/>
  <c r="AC797" i="9"/>
  <c r="AH797" i="9" s="1"/>
  <c r="AC805" i="9"/>
  <c r="AH805" i="9" s="1"/>
  <c r="AC813" i="9"/>
  <c r="AH813" i="9" s="1"/>
  <c r="AC821" i="9"/>
  <c r="AH821" i="9" s="1"/>
  <c r="AC829" i="9"/>
  <c r="AH829" i="9" s="1"/>
  <c r="AC837" i="9"/>
  <c r="AH837" i="9" s="1"/>
  <c r="AC845" i="9"/>
  <c r="AH845" i="9" s="1"/>
  <c r="AC853" i="9"/>
  <c r="AH853" i="9" s="1"/>
  <c r="AC861" i="9"/>
  <c r="AH861" i="9" s="1"/>
  <c r="AC869" i="9"/>
  <c r="AH869" i="9" s="1"/>
  <c r="AC877" i="9"/>
  <c r="AH877" i="9" s="1"/>
  <c r="AC885" i="9"/>
  <c r="AH885" i="9" s="1"/>
  <c r="AC893" i="9"/>
  <c r="AH893" i="9" s="1"/>
  <c r="AC901" i="9"/>
  <c r="AH901" i="9" s="1"/>
  <c r="AC909" i="9"/>
  <c r="AH909" i="9" s="1"/>
  <c r="AC917" i="9"/>
  <c r="AH917" i="9" s="1"/>
  <c r="AC925" i="9"/>
  <c r="AH925" i="9" s="1"/>
  <c r="AC933" i="9"/>
  <c r="AH933" i="9" s="1"/>
  <c r="AC941" i="9"/>
  <c r="AH941" i="9" s="1"/>
  <c r="AC949" i="9"/>
  <c r="AH949" i="9" s="1"/>
  <c r="AC957" i="9"/>
  <c r="AH957" i="9" s="1"/>
  <c r="AC965" i="9"/>
  <c r="AH965" i="9" s="1"/>
  <c r="AC973" i="9"/>
  <c r="AH973" i="9" s="1"/>
  <c r="AC981" i="9"/>
  <c r="AH981" i="9" s="1"/>
  <c r="AC989" i="9"/>
  <c r="AH989" i="9" s="1"/>
  <c r="AC997" i="9"/>
  <c r="AH997" i="9" s="1"/>
  <c r="AC1005" i="9"/>
  <c r="AH1005" i="9" s="1"/>
  <c r="AC174" i="9"/>
  <c r="AH174" i="9" s="1"/>
  <c r="AC446" i="9"/>
  <c r="AH446" i="9" s="1"/>
  <c r="AC494" i="9"/>
  <c r="AH494" i="9" s="1"/>
  <c r="AC526" i="9"/>
  <c r="AH526" i="9" s="1"/>
  <c r="AC558" i="9"/>
  <c r="AH558" i="9" s="1"/>
  <c r="AC606" i="9"/>
  <c r="AH606" i="9" s="1"/>
  <c r="AC638" i="9"/>
  <c r="AH638" i="9" s="1"/>
  <c r="AC662" i="9"/>
  <c r="AH662" i="9" s="1"/>
  <c r="AC694" i="9"/>
  <c r="AH694" i="9" s="1"/>
  <c r="AC14" i="9"/>
  <c r="AH14" i="9" s="1"/>
  <c r="AC22" i="9"/>
  <c r="AH22" i="9" s="1"/>
  <c r="AC30" i="9"/>
  <c r="AH30" i="9" s="1"/>
  <c r="AC38" i="9"/>
  <c r="AH38" i="9" s="1"/>
  <c r="AC46" i="9"/>
  <c r="AH46" i="9" s="1"/>
  <c r="AC54" i="9"/>
  <c r="AH54" i="9" s="1"/>
  <c r="AC62" i="9"/>
  <c r="AH62" i="9" s="1"/>
  <c r="AC70" i="9"/>
  <c r="AH70" i="9" s="1"/>
  <c r="AC78" i="9"/>
  <c r="AH78" i="9" s="1"/>
  <c r="AC86" i="9"/>
  <c r="AH86" i="9" s="1"/>
  <c r="AC94" i="9"/>
  <c r="AH94" i="9" s="1"/>
  <c r="AC102" i="9"/>
  <c r="AH102" i="9" s="1"/>
  <c r="AC110" i="9"/>
  <c r="AH110" i="9" s="1"/>
  <c r="AC118" i="9"/>
  <c r="AH118" i="9" s="1"/>
  <c r="AC126" i="9"/>
  <c r="AH126" i="9" s="1"/>
  <c r="AC134" i="9"/>
  <c r="AH134" i="9" s="1"/>
  <c r="AC142" i="9"/>
  <c r="AH142" i="9" s="1"/>
  <c r="AC150" i="9"/>
  <c r="AH150" i="9" s="1"/>
  <c r="AC158" i="9"/>
  <c r="AH158" i="9" s="1"/>
  <c r="AC182" i="9"/>
  <c r="AH182" i="9" s="1"/>
  <c r="AC206" i="9"/>
  <c r="AH206" i="9" s="1"/>
  <c r="AC214" i="9"/>
  <c r="AH214" i="9" s="1"/>
  <c r="AC222" i="9"/>
  <c r="AH222" i="9" s="1"/>
  <c r="AC230" i="9"/>
  <c r="AH230" i="9" s="1"/>
  <c r="AC238" i="9"/>
  <c r="AH238" i="9" s="1"/>
  <c r="AC246" i="9"/>
  <c r="AH246" i="9" s="1"/>
  <c r="AC254" i="9"/>
  <c r="AH254" i="9" s="1"/>
  <c r="AC262" i="9"/>
  <c r="AH262" i="9" s="1"/>
  <c r="AC270" i="9"/>
  <c r="AH270" i="9" s="1"/>
  <c r="AC278" i="9"/>
  <c r="AH278" i="9" s="1"/>
  <c r="AC286" i="9"/>
  <c r="AH286" i="9" s="1"/>
  <c r="AC294" i="9"/>
  <c r="AH294" i="9" s="1"/>
  <c r="AC302" i="9"/>
  <c r="AH302" i="9" s="1"/>
  <c r="AC310" i="9"/>
  <c r="AH310" i="9" s="1"/>
  <c r="AC318" i="9"/>
  <c r="AH318" i="9" s="1"/>
  <c r="AC326" i="9"/>
  <c r="AH326" i="9" s="1"/>
  <c r="AC342" i="9"/>
  <c r="AH342" i="9" s="1"/>
  <c r="AC358" i="9"/>
  <c r="AH358" i="9" s="1"/>
  <c r="AC390" i="9"/>
  <c r="AH390" i="9" s="1"/>
  <c r="AC414" i="9"/>
  <c r="AH414" i="9" s="1"/>
  <c r="AC462" i="9"/>
  <c r="AH462" i="9" s="1"/>
  <c r="AC582" i="9"/>
  <c r="AH582" i="9" s="1"/>
  <c r="Q26" i="9"/>
  <c r="AC18" i="9"/>
  <c r="AH18" i="9" s="1"/>
  <c r="AC26" i="9"/>
  <c r="AH26" i="9" s="1"/>
  <c r="AC34" i="9"/>
  <c r="AH34" i="9" s="1"/>
  <c r="AC42" i="9"/>
  <c r="AH42" i="9" s="1"/>
  <c r="AC50" i="9"/>
  <c r="AH50" i="9" s="1"/>
  <c r="AC58" i="9"/>
  <c r="AH58" i="9" s="1"/>
  <c r="AC66" i="9"/>
  <c r="AH66" i="9" s="1"/>
  <c r="AC74" i="9"/>
  <c r="AH74" i="9" s="1"/>
  <c r="AC82" i="9"/>
  <c r="AH82" i="9" s="1"/>
  <c r="AC90" i="9"/>
  <c r="AH90" i="9" s="1"/>
  <c r="AC98" i="9"/>
  <c r="AH98" i="9" s="1"/>
  <c r="AC106" i="9"/>
  <c r="AH106" i="9" s="1"/>
  <c r="AC114" i="9"/>
  <c r="AH114" i="9" s="1"/>
  <c r="AC122" i="9"/>
  <c r="AH122" i="9" s="1"/>
  <c r="AC130" i="9"/>
  <c r="AH130" i="9" s="1"/>
  <c r="AC138" i="9"/>
  <c r="AH138" i="9" s="1"/>
  <c r="AC146" i="9"/>
  <c r="AH146" i="9" s="1"/>
  <c r="AC154" i="9"/>
  <c r="AH154" i="9" s="1"/>
  <c r="AC162" i="9"/>
  <c r="AH162" i="9" s="1"/>
  <c r="AC170" i="9"/>
  <c r="AH170" i="9" s="1"/>
  <c r="AC178" i="9"/>
  <c r="AH178" i="9" s="1"/>
  <c r="AC186" i="9"/>
  <c r="AH186" i="9" s="1"/>
  <c r="AC194" i="9"/>
  <c r="AH194" i="9" s="1"/>
  <c r="AC202" i="9"/>
  <c r="AH202" i="9" s="1"/>
  <c r="AC210" i="9"/>
  <c r="AH210" i="9" s="1"/>
  <c r="AC218" i="9"/>
  <c r="AH218" i="9" s="1"/>
  <c r="AC226" i="9"/>
  <c r="AH226" i="9" s="1"/>
  <c r="AC234" i="9"/>
  <c r="AH234" i="9" s="1"/>
  <c r="AC242" i="9"/>
  <c r="AH242" i="9" s="1"/>
  <c r="AC250" i="9"/>
  <c r="AH250" i="9" s="1"/>
  <c r="AC258" i="9"/>
  <c r="AH258" i="9" s="1"/>
  <c r="AC266" i="9"/>
  <c r="AH266" i="9" s="1"/>
  <c r="AC274" i="9"/>
  <c r="AH274" i="9" s="1"/>
  <c r="AC282" i="9"/>
  <c r="AH282" i="9" s="1"/>
  <c r="AC290" i="9"/>
  <c r="AH290" i="9" s="1"/>
  <c r="AC298" i="9"/>
  <c r="AH298" i="9" s="1"/>
  <c r="AC306" i="9"/>
  <c r="AH306" i="9" s="1"/>
  <c r="AC314" i="9"/>
  <c r="AH314" i="9" s="1"/>
  <c r="AC322" i="9"/>
  <c r="AH322" i="9" s="1"/>
  <c r="AC330" i="9"/>
  <c r="AH330" i="9" s="1"/>
  <c r="AC338" i="9"/>
  <c r="AH338" i="9" s="1"/>
  <c r="AC346" i="9"/>
  <c r="AH346" i="9" s="1"/>
  <c r="AC354" i="9"/>
  <c r="AH354" i="9" s="1"/>
  <c r="AC362" i="9"/>
  <c r="AH362" i="9" s="1"/>
  <c r="AC370" i="9"/>
  <c r="AH370" i="9" s="1"/>
  <c r="AC378" i="9"/>
  <c r="AH378" i="9" s="1"/>
  <c r="AC386" i="9"/>
  <c r="AH386" i="9" s="1"/>
  <c r="AC394" i="9"/>
  <c r="AH394" i="9" s="1"/>
  <c r="AC402" i="9"/>
  <c r="AH402" i="9" s="1"/>
  <c r="AC410" i="9"/>
  <c r="AH410" i="9" s="1"/>
  <c r="AC418" i="9"/>
  <c r="AH418" i="9" s="1"/>
  <c r="AC426" i="9"/>
  <c r="AH426" i="9" s="1"/>
  <c r="AC434" i="9"/>
  <c r="AH434" i="9" s="1"/>
  <c r="AC442" i="9"/>
  <c r="AH442" i="9" s="1"/>
  <c r="AC450" i="9"/>
  <c r="AH450" i="9" s="1"/>
  <c r="AC458" i="9"/>
  <c r="AH458" i="9" s="1"/>
  <c r="AC466" i="9"/>
  <c r="AH466" i="9" s="1"/>
  <c r="AC474" i="9"/>
  <c r="AH474" i="9" s="1"/>
  <c r="AC482" i="9"/>
  <c r="AH482" i="9" s="1"/>
  <c r="AC490" i="9"/>
  <c r="AH490" i="9" s="1"/>
  <c r="AC498" i="9"/>
  <c r="AH498" i="9" s="1"/>
  <c r="AC506" i="9"/>
  <c r="AH506" i="9" s="1"/>
  <c r="AC514" i="9"/>
  <c r="AH514" i="9" s="1"/>
  <c r="AC522" i="9"/>
  <c r="AH522" i="9" s="1"/>
  <c r="AC530" i="9"/>
  <c r="AH530" i="9" s="1"/>
  <c r="AC538" i="9"/>
  <c r="AH538" i="9" s="1"/>
  <c r="AC546" i="9"/>
  <c r="AH546" i="9" s="1"/>
  <c r="AC554" i="9"/>
  <c r="AH554" i="9" s="1"/>
  <c r="AC562" i="9"/>
  <c r="AH562" i="9" s="1"/>
  <c r="AC570" i="9"/>
  <c r="AH570" i="9" s="1"/>
  <c r="AC578" i="9"/>
  <c r="AH578" i="9" s="1"/>
  <c r="AC586" i="9"/>
  <c r="AH586" i="9" s="1"/>
  <c r="AC594" i="9"/>
  <c r="AH594" i="9" s="1"/>
  <c r="AC602" i="9"/>
  <c r="AH602" i="9" s="1"/>
  <c r="AC610" i="9"/>
  <c r="AH610" i="9" s="1"/>
  <c r="AC618" i="9"/>
  <c r="AH618" i="9" s="1"/>
  <c r="AC626" i="9"/>
  <c r="AH626" i="9" s="1"/>
  <c r="AC634" i="9"/>
  <c r="AH634" i="9" s="1"/>
  <c r="AC642" i="9"/>
  <c r="AH642" i="9" s="1"/>
  <c r="AC650" i="9"/>
  <c r="AH650" i="9" s="1"/>
  <c r="AC658" i="9"/>
  <c r="AH658" i="9" s="1"/>
  <c r="AC666" i="9"/>
  <c r="AH666" i="9" s="1"/>
  <c r="AC674" i="9"/>
  <c r="AH674" i="9" s="1"/>
  <c r="AC682" i="9"/>
  <c r="AH682" i="9" s="1"/>
  <c r="AC690" i="9"/>
  <c r="AH690" i="9" s="1"/>
  <c r="AC698" i="9"/>
  <c r="AH698" i="9" s="1"/>
  <c r="AC706" i="9"/>
  <c r="AH706" i="9" s="1"/>
  <c r="AC714" i="9"/>
  <c r="AH714" i="9" s="1"/>
  <c r="AC722" i="9"/>
  <c r="AH722" i="9" s="1"/>
  <c r="AC730" i="9"/>
  <c r="AH730" i="9" s="1"/>
  <c r="AC738" i="9"/>
  <c r="AH738" i="9" s="1"/>
  <c r="AC746" i="9"/>
  <c r="AH746" i="9" s="1"/>
  <c r="AC754" i="9"/>
  <c r="AH754" i="9" s="1"/>
  <c r="AC762" i="9"/>
  <c r="AH762" i="9" s="1"/>
  <c r="AC770" i="9"/>
  <c r="AH770" i="9" s="1"/>
  <c r="AC778" i="9"/>
  <c r="AH778" i="9" s="1"/>
  <c r="AC786" i="9"/>
  <c r="AH786" i="9" s="1"/>
  <c r="AC794" i="9"/>
  <c r="AH794" i="9" s="1"/>
  <c r="AC802" i="9"/>
  <c r="AH802" i="9" s="1"/>
  <c r="AC810" i="9"/>
  <c r="AH810" i="9" s="1"/>
  <c r="AC818" i="9"/>
  <c r="AH818" i="9" s="1"/>
  <c r="AC826" i="9"/>
  <c r="AH826" i="9" s="1"/>
  <c r="AC834" i="9"/>
  <c r="AH834" i="9" s="1"/>
  <c r="AC842" i="9"/>
  <c r="AH842" i="9" s="1"/>
  <c r="AC850" i="9"/>
  <c r="AH850" i="9" s="1"/>
  <c r="AC858" i="9"/>
  <c r="AH858" i="9" s="1"/>
  <c r="AC866" i="9"/>
  <c r="AH866" i="9" s="1"/>
  <c r="AC874" i="9"/>
  <c r="AH874" i="9" s="1"/>
  <c r="AC882" i="9"/>
  <c r="AH882" i="9" s="1"/>
  <c r="AC890" i="9"/>
  <c r="AH890" i="9" s="1"/>
  <c r="AC898" i="9"/>
  <c r="AH898" i="9" s="1"/>
  <c r="AC906" i="9"/>
  <c r="AH906" i="9" s="1"/>
  <c r="AC914" i="9"/>
  <c r="AH914" i="9" s="1"/>
  <c r="AC922" i="9"/>
  <c r="AH922" i="9" s="1"/>
  <c r="AC930" i="9"/>
  <c r="AH930" i="9" s="1"/>
  <c r="AC938" i="9"/>
  <c r="AH938" i="9" s="1"/>
  <c r="AC946" i="9"/>
  <c r="AH946" i="9" s="1"/>
  <c r="AC954" i="9"/>
  <c r="AH954" i="9" s="1"/>
  <c r="AC962" i="9"/>
  <c r="AH962" i="9" s="1"/>
  <c r="AC970" i="9"/>
  <c r="AH970" i="9" s="1"/>
  <c r="AC978" i="9"/>
  <c r="AH978" i="9" s="1"/>
  <c r="AC986" i="9"/>
  <c r="AH986" i="9" s="1"/>
  <c r="AC994" i="9"/>
  <c r="AH994" i="9" s="1"/>
  <c r="AC1002" i="9"/>
  <c r="AH1002" i="9" s="1"/>
  <c r="AC190" i="9"/>
  <c r="AH190" i="9" s="1"/>
  <c r="AC438" i="9"/>
  <c r="AH438" i="9" s="1"/>
  <c r="AC486" i="9"/>
  <c r="AH486" i="9" s="1"/>
  <c r="AC510" i="9"/>
  <c r="AH510" i="9" s="1"/>
  <c r="AC542" i="9"/>
  <c r="AH542" i="9" s="1"/>
  <c r="AC590" i="9"/>
  <c r="AH590" i="9" s="1"/>
  <c r="AC622" i="9"/>
  <c r="AH622" i="9" s="1"/>
  <c r="AC646" i="9"/>
  <c r="AH646" i="9" s="1"/>
  <c r="AC678" i="9"/>
  <c r="AH678" i="9" s="1"/>
  <c r="AC25" i="9"/>
  <c r="AH25" i="9" s="1"/>
  <c r="AC48" i="9"/>
  <c r="AH48" i="9" s="1"/>
  <c r="AC71" i="9"/>
  <c r="AH71" i="9" s="1"/>
  <c r="AC89" i="9"/>
  <c r="AH89" i="9" s="1"/>
  <c r="AC112" i="9"/>
  <c r="AH112" i="9" s="1"/>
  <c r="AC135" i="9"/>
  <c r="AH135" i="9" s="1"/>
  <c r="AC153" i="9"/>
  <c r="AH153" i="9" s="1"/>
  <c r="AC176" i="9"/>
  <c r="AH176" i="9" s="1"/>
  <c r="AC199" i="9"/>
  <c r="AH199" i="9" s="1"/>
  <c r="AC217" i="9"/>
  <c r="AH217" i="9" s="1"/>
  <c r="AC240" i="9"/>
  <c r="AH240" i="9" s="1"/>
  <c r="AC263" i="9"/>
  <c r="AH263" i="9" s="1"/>
  <c r="AC281" i="9"/>
  <c r="AH281" i="9" s="1"/>
  <c r="AC304" i="9"/>
  <c r="AH304" i="9" s="1"/>
  <c r="AC327" i="9"/>
  <c r="AH327" i="9" s="1"/>
  <c r="AC345" i="9"/>
  <c r="AH345" i="9" s="1"/>
  <c r="AC368" i="9"/>
  <c r="AH368" i="9" s="1"/>
  <c r="AC391" i="9"/>
  <c r="AH391" i="9" s="1"/>
  <c r="AC409" i="9"/>
  <c r="AH409" i="9" s="1"/>
  <c r="AC432" i="9"/>
  <c r="AH432" i="9" s="1"/>
  <c r="AC455" i="9"/>
  <c r="AH455" i="9" s="1"/>
  <c r="AC473" i="9"/>
  <c r="AH473" i="9" s="1"/>
  <c r="AC496" i="9"/>
  <c r="AH496" i="9" s="1"/>
  <c r="AC519" i="9"/>
  <c r="AH519" i="9" s="1"/>
  <c r="AC537" i="9"/>
  <c r="AH537" i="9" s="1"/>
  <c r="AC560" i="9"/>
  <c r="AH560" i="9" s="1"/>
  <c r="AC583" i="9"/>
  <c r="AH583" i="9" s="1"/>
  <c r="AC601" i="9"/>
  <c r="AH601" i="9" s="1"/>
  <c r="AC624" i="9"/>
  <c r="AH624" i="9" s="1"/>
  <c r="AC647" i="9"/>
  <c r="AH647" i="9" s="1"/>
  <c r="AC665" i="9"/>
  <c r="AH665" i="9" s="1"/>
  <c r="AC687" i="9"/>
  <c r="AH687" i="9" s="1"/>
  <c r="AC705" i="9"/>
  <c r="AH705" i="9" s="1"/>
  <c r="AC721" i="9"/>
  <c r="AH721" i="9" s="1"/>
  <c r="AC737" i="9"/>
  <c r="AH737" i="9" s="1"/>
  <c r="AC753" i="9"/>
  <c r="AH753" i="9" s="1"/>
  <c r="AC769" i="9"/>
  <c r="AH769" i="9" s="1"/>
  <c r="AC785" i="9"/>
  <c r="AH785" i="9" s="1"/>
  <c r="AC801" i="9"/>
  <c r="AH801" i="9" s="1"/>
  <c r="AC817" i="9"/>
  <c r="AH817" i="9" s="1"/>
  <c r="AC833" i="9"/>
  <c r="AH833" i="9" s="1"/>
  <c r="AC849" i="9"/>
  <c r="AH849" i="9" s="1"/>
  <c r="AC865" i="9"/>
  <c r="AH865" i="9" s="1"/>
  <c r="AC881" i="9"/>
  <c r="AH881" i="9" s="1"/>
  <c r="AC897" i="9"/>
  <c r="AH897" i="9" s="1"/>
  <c r="AC913" i="9"/>
  <c r="AH913" i="9" s="1"/>
  <c r="AC929" i="9"/>
  <c r="AH929" i="9" s="1"/>
  <c r="AC945" i="9"/>
  <c r="AH945" i="9" s="1"/>
  <c r="AC961" i="9"/>
  <c r="AH961" i="9" s="1"/>
  <c r="AC977" i="9"/>
  <c r="AH977" i="9" s="1"/>
  <c r="AC993" i="9"/>
  <c r="AH993" i="9" s="1"/>
  <c r="AC56" i="9"/>
  <c r="AH56" i="9" s="1"/>
  <c r="AC609" i="9"/>
  <c r="AH609" i="9" s="1"/>
  <c r="AC712" i="9"/>
  <c r="AH712" i="9" s="1"/>
  <c r="AC776" i="9"/>
  <c r="AH776" i="9" s="1"/>
  <c r="AC856" i="9"/>
  <c r="AH856" i="9" s="1"/>
  <c r="AC936" i="9"/>
  <c r="AH936" i="9" s="1"/>
  <c r="AC1000" i="9"/>
  <c r="AH1000" i="9" s="1"/>
  <c r="AC777" i="9"/>
  <c r="AH777" i="9" s="1"/>
  <c r="AC31" i="9"/>
  <c r="AH31" i="9" s="1"/>
  <c r="AC49" i="9"/>
  <c r="AH49" i="9" s="1"/>
  <c r="AC72" i="9"/>
  <c r="AH72" i="9" s="1"/>
  <c r="AC95" i="9"/>
  <c r="AH95" i="9" s="1"/>
  <c r="AC113" i="9"/>
  <c r="AH113" i="9" s="1"/>
  <c r="AC136" i="9"/>
  <c r="AH136" i="9" s="1"/>
  <c r="AC159" i="9"/>
  <c r="AH159" i="9" s="1"/>
  <c r="AC177" i="9"/>
  <c r="AH177" i="9" s="1"/>
  <c r="AC200" i="9"/>
  <c r="AH200" i="9" s="1"/>
  <c r="AC223" i="9"/>
  <c r="AH223" i="9" s="1"/>
  <c r="AC241" i="9"/>
  <c r="AH241" i="9" s="1"/>
  <c r="AC264" i="9"/>
  <c r="AH264" i="9" s="1"/>
  <c r="AC287" i="9"/>
  <c r="AH287" i="9" s="1"/>
  <c r="AC305" i="9"/>
  <c r="AH305" i="9" s="1"/>
  <c r="AC328" i="9"/>
  <c r="AH328" i="9" s="1"/>
  <c r="AC351" i="9"/>
  <c r="AH351" i="9" s="1"/>
  <c r="AC369" i="9"/>
  <c r="AH369" i="9" s="1"/>
  <c r="AC392" i="9"/>
  <c r="AH392" i="9" s="1"/>
  <c r="AC415" i="9"/>
  <c r="AH415" i="9" s="1"/>
  <c r="AC433" i="9"/>
  <c r="AH433" i="9" s="1"/>
  <c r="AC456" i="9"/>
  <c r="AH456" i="9" s="1"/>
  <c r="AC479" i="9"/>
  <c r="AH479" i="9" s="1"/>
  <c r="AC497" i="9"/>
  <c r="AH497" i="9" s="1"/>
  <c r="AC520" i="9"/>
  <c r="AH520" i="9" s="1"/>
  <c r="AC543" i="9"/>
  <c r="AH543" i="9" s="1"/>
  <c r="AC561" i="9"/>
  <c r="AH561" i="9" s="1"/>
  <c r="AC584" i="9"/>
  <c r="AH584" i="9" s="1"/>
  <c r="AC607" i="9"/>
  <c r="AH607" i="9" s="1"/>
  <c r="AC625" i="9"/>
  <c r="AH625" i="9" s="1"/>
  <c r="AC648" i="9"/>
  <c r="AH648" i="9" s="1"/>
  <c r="AC671" i="9"/>
  <c r="AH671" i="9" s="1"/>
  <c r="AC688" i="9"/>
  <c r="AH688" i="9" s="1"/>
  <c r="AC710" i="9"/>
  <c r="AH710" i="9" s="1"/>
  <c r="AC726" i="9"/>
  <c r="AH726" i="9" s="1"/>
  <c r="AC742" i="9"/>
  <c r="AH742" i="9" s="1"/>
  <c r="AC758" i="9"/>
  <c r="AH758" i="9" s="1"/>
  <c r="AC774" i="9"/>
  <c r="AH774" i="9" s="1"/>
  <c r="AC790" i="9"/>
  <c r="AH790" i="9" s="1"/>
  <c r="AC806" i="9"/>
  <c r="AH806" i="9" s="1"/>
  <c r="AC822" i="9"/>
  <c r="AH822" i="9" s="1"/>
  <c r="AC838" i="9"/>
  <c r="AH838" i="9" s="1"/>
  <c r="AC854" i="9"/>
  <c r="AH854" i="9" s="1"/>
  <c r="AC870" i="9"/>
  <c r="AH870" i="9" s="1"/>
  <c r="AC886" i="9"/>
  <c r="AH886" i="9" s="1"/>
  <c r="AC902" i="9"/>
  <c r="AH902" i="9" s="1"/>
  <c r="AC918" i="9"/>
  <c r="AH918" i="9" s="1"/>
  <c r="AC934" i="9"/>
  <c r="AH934" i="9" s="1"/>
  <c r="AC950" i="9"/>
  <c r="AH950" i="9" s="1"/>
  <c r="AC966" i="9"/>
  <c r="AH966" i="9" s="1"/>
  <c r="AC982" i="9"/>
  <c r="AH982" i="9" s="1"/>
  <c r="AC998" i="9"/>
  <c r="AH998" i="9" s="1"/>
  <c r="AC15" i="9"/>
  <c r="AH15" i="9" s="1"/>
  <c r="AC97" i="9"/>
  <c r="AH97" i="9" s="1"/>
  <c r="AC120" i="9"/>
  <c r="AH120" i="9" s="1"/>
  <c r="AC143" i="9"/>
  <c r="AH143" i="9" s="1"/>
  <c r="AC161" i="9"/>
  <c r="AH161" i="9" s="1"/>
  <c r="AC184" i="9"/>
  <c r="AH184" i="9" s="1"/>
  <c r="AC207" i="9"/>
  <c r="AH207" i="9" s="1"/>
  <c r="AC225" i="9"/>
  <c r="AH225" i="9" s="1"/>
  <c r="AC248" i="9"/>
  <c r="AH248" i="9" s="1"/>
  <c r="AC271" i="9"/>
  <c r="AH271" i="9" s="1"/>
  <c r="AC312" i="9"/>
  <c r="AH312" i="9" s="1"/>
  <c r="AC335" i="9"/>
  <c r="AH335" i="9" s="1"/>
  <c r="AC353" i="9"/>
  <c r="AH353" i="9" s="1"/>
  <c r="AC376" i="9"/>
  <c r="AH376" i="9" s="1"/>
  <c r="AC399" i="9"/>
  <c r="AH399" i="9" s="1"/>
  <c r="AC417" i="9"/>
  <c r="AH417" i="9" s="1"/>
  <c r="AC440" i="9"/>
  <c r="AH440" i="9" s="1"/>
  <c r="AC463" i="9"/>
  <c r="AH463" i="9" s="1"/>
  <c r="AC481" i="9"/>
  <c r="AH481" i="9" s="1"/>
  <c r="AC504" i="9"/>
  <c r="AH504" i="9" s="1"/>
  <c r="AC527" i="9"/>
  <c r="AH527" i="9" s="1"/>
  <c r="AC568" i="9"/>
  <c r="AH568" i="9" s="1"/>
  <c r="AC632" i="9"/>
  <c r="AH632" i="9" s="1"/>
  <c r="AC673" i="9"/>
  <c r="AH673" i="9" s="1"/>
  <c r="AC744" i="9"/>
  <c r="AH744" i="9" s="1"/>
  <c r="AC808" i="9"/>
  <c r="AH808" i="9" s="1"/>
  <c r="AC888" i="9"/>
  <c r="AH888" i="9" s="1"/>
  <c r="AC952" i="9"/>
  <c r="AH952" i="9" s="1"/>
  <c r="AC809" i="9"/>
  <c r="AH809" i="9" s="1"/>
  <c r="AC32" i="9"/>
  <c r="AH32" i="9" s="1"/>
  <c r="AC55" i="9"/>
  <c r="AH55" i="9" s="1"/>
  <c r="AC73" i="9"/>
  <c r="AH73" i="9" s="1"/>
  <c r="AC96" i="9"/>
  <c r="AH96" i="9" s="1"/>
  <c r="AC119" i="9"/>
  <c r="AH119" i="9" s="1"/>
  <c r="AC137" i="9"/>
  <c r="AH137" i="9" s="1"/>
  <c r="AC160" i="9"/>
  <c r="AH160" i="9" s="1"/>
  <c r="AC183" i="9"/>
  <c r="AH183" i="9" s="1"/>
  <c r="AC201" i="9"/>
  <c r="AH201" i="9" s="1"/>
  <c r="AC224" i="9"/>
  <c r="AH224" i="9" s="1"/>
  <c r="AC247" i="9"/>
  <c r="AH247" i="9" s="1"/>
  <c r="AC265" i="9"/>
  <c r="AH265" i="9" s="1"/>
  <c r="AC288" i="9"/>
  <c r="AH288" i="9" s="1"/>
  <c r="AC311" i="9"/>
  <c r="AH311" i="9" s="1"/>
  <c r="AC329" i="9"/>
  <c r="AH329" i="9" s="1"/>
  <c r="AC352" i="9"/>
  <c r="AH352" i="9" s="1"/>
  <c r="AC375" i="9"/>
  <c r="AH375" i="9" s="1"/>
  <c r="AC393" i="9"/>
  <c r="AH393" i="9" s="1"/>
  <c r="AC416" i="9"/>
  <c r="AH416" i="9" s="1"/>
  <c r="AC439" i="9"/>
  <c r="AH439" i="9" s="1"/>
  <c r="AC457" i="9"/>
  <c r="AH457" i="9" s="1"/>
  <c r="AC480" i="9"/>
  <c r="AH480" i="9" s="1"/>
  <c r="AC503" i="9"/>
  <c r="AH503" i="9" s="1"/>
  <c r="AC521" i="9"/>
  <c r="AH521" i="9" s="1"/>
  <c r="AC544" i="9"/>
  <c r="AH544" i="9" s="1"/>
  <c r="AC567" i="9"/>
  <c r="AH567" i="9" s="1"/>
  <c r="AC585" i="9"/>
  <c r="AH585" i="9" s="1"/>
  <c r="AC608" i="9"/>
  <c r="AH608" i="9" s="1"/>
  <c r="AC631" i="9"/>
  <c r="AH631" i="9" s="1"/>
  <c r="AC649" i="9"/>
  <c r="AH649" i="9" s="1"/>
  <c r="AC672" i="9"/>
  <c r="AH672" i="9" s="1"/>
  <c r="AC689" i="9"/>
  <c r="AH689" i="9" s="1"/>
  <c r="AC711" i="9"/>
  <c r="AH711" i="9" s="1"/>
  <c r="AC727" i="9"/>
  <c r="AH727" i="9" s="1"/>
  <c r="AC743" i="9"/>
  <c r="AH743" i="9" s="1"/>
  <c r="AC759" i="9"/>
  <c r="AH759" i="9" s="1"/>
  <c r="AC775" i="9"/>
  <c r="AH775" i="9" s="1"/>
  <c r="AC791" i="9"/>
  <c r="AH791" i="9" s="1"/>
  <c r="AC807" i="9"/>
  <c r="AH807" i="9" s="1"/>
  <c r="AC823" i="9"/>
  <c r="AH823" i="9" s="1"/>
  <c r="AC839" i="9"/>
  <c r="AH839" i="9" s="1"/>
  <c r="AC855" i="9"/>
  <c r="AH855" i="9" s="1"/>
  <c r="AC871" i="9"/>
  <c r="AH871" i="9" s="1"/>
  <c r="AC887" i="9"/>
  <c r="AH887" i="9" s="1"/>
  <c r="AC903" i="9"/>
  <c r="AH903" i="9" s="1"/>
  <c r="AC919" i="9"/>
  <c r="AH919" i="9" s="1"/>
  <c r="AC935" i="9"/>
  <c r="AH935" i="9" s="1"/>
  <c r="AC951" i="9"/>
  <c r="AH951" i="9" s="1"/>
  <c r="AC967" i="9"/>
  <c r="AH967" i="9" s="1"/>
  <c r="AC983" i="9"/>
  <c r="AH983" i="9" s="1"/>
  <c r="AC999" i="9"/>
  <c r="AH999" i="9" s="1"/>
  <c r="AC33" i="9"/>
  <c r="AH33" i="9" s="1"/>
  <c r="AC545" i="9"/>
  <c r="AH545" i="9" s="1"/>
  <c r="AC655" i="9"/>
  <c r="AH655" i="9" s="1"/>
  <c r="AC728" i="9"/>
  <c r="AH728" i="9" s="1"/>
  <c r="AC792" i="9"/>
  <c r="AH792" i="9" s="1"/>
  <c r="AC872" i="9"/>
  <c r="AH872" i="9" s="1"/>
  <c r="AC920" i="9"/>
  <c r="AH920" i="9" s="1"/>
  <c r="AC968" i="9"/>
  <c r="AH968" i="9" s="1"/>
  <c r="AC793" i="9"/>
  <c r="AH793" i="9" s="1"/>
  <c r="AC289" i="9"/>
  <c r="AH289" i="9" s="1"/>
  <c r="AC824" i="9"/>
  <c r="AH824" i="9" s="1"/>
  <c r="AC16" i="9"/>
  <c r="AH16" i="9" s="1"/>
  <c r="AC39" i="9"/>
  <c r="AH39" i="9" s="1"/>
  <c r="AC57" i="9"/>
  <c r="AH57" i="9" s="1"/>
  <c r="AC80" i="9"/>
  <c r="AH80" i="9" s="1"/>
  <c r="AC103" i="9"/>
  <c r="AH103" i="9" s="1"/>
  <c r="AC121" i="9"/>
  <c r="AH121" i="9" s="1"/>
  <c r="AC144" i="9"/>
  <c r="AH144" i="9" s="1"/>
  <c r="AC167" i="9"/>
  <c r="AH167" i="9" s="1"/>
  <c r="AC185" i="9"/>
  <c r="AH185" i="9" s="1"/>
  <c r="AC208" i="9"/>
  <c r="AH208" i="9" s="1"/>
  <c r="AC231" i="9"/>
  <c r="AH231" i="9" s="1"/>
  <c r="AC249" i="9"/>
  <c r="AH249" i="9" s="1"/>
  <c r="AC272" i="9"/>
  <c r="AH272" i="9" s="1"/>
  <c r="AC295" i="9"/>
  <c r="AH295" i="9" s="1"/>
  <c r="AC313" i="9"/>
  <c r="AH313" i="9" s="1"/>
  <c r="AC336" i="9"/>
  <c r="AH336" i="9" s="1"/>
  <c r="AC359" i="9"/>
  <c r="AH359" i="9" s="1"/>
  <c r="AC377" i="9"/>
  <c r="AH377" i="9" s="1"/>
  <c r="AC400" i="9"/>
  <c r="AH400" i="9" s="1"/>
  <c r="AC423" i="9"/>
  <c r="AH423" i="9" s="1"/>
  <c r="AC441" i="9"/>
  <c r="AH441" i="9" s="1"/>
  <c r="AC464" i="9"/>
  <c r="AH464" i="9" s="1"/>
  <c r="AC487" i="9"/>
  <c r="AH487" i="9" s="1"/>
  <c r="AC505" i="9"/>
  <c r="AH505" i="9" s="1"/>
  <c r="AC528" i="9"/>
  <c r="AH528" i="9" s="1"/>
  <c r="AC551" i="9"/>
  <c r="AH551" i="9" s="1"/>
  <c r="AC592" i="9"/>
  <c r="AH592" i="9" s="1"/>
  <c r="AC615" i="9"/>
  <c r="AH615" i="9" s="1"/>
  <c r="AC633" i="9"/>
  <c r="AH633" i="9" s="1"/>
  <c r="AC656" i="9"/>
  <c r="AH656" i="9" s="1"/>
  <c r="AC679" i="9"/>
  <c r="AH679" i="9" s="1"/>
  <c r="AC696" i="9"/>
  <c r="AH696" i="9" s="1"/>
  <c r="AC713" i="9"/>
  <c r="AH713" i="9" s="1"/>
  <c r="AC729" i="9"/>
  <c r="AH729" i="9" s="1"/>
  <c r="AC745" i="9"/>
  <c r="AH745" i="9" s="1"/>
  <c r="AC761" i="9"/>
  <c r="AH761" i="9" s="1"/>
  <c r="AC825" i="9"/>
  <c r="AH825" i="9" s="1"/>
  <c r="AC841" i="9"/>
  <c r="AH841" i="9" s="1"/>
  <c r="AC857" i="9"/>
  <c r="AH857" i="9" s="1"/>
  <c r="AC873" i="9"/>
  <c r="AH873" i="9" s="1"/>
  <c r="AC889" i="9"/>
  <c r="AH889" i="9" s="1"/>
  <c r="AC905" i="9"/>
  <c r="AH905" i="9" s="1"/>
  <c r="AC921" i="9"/>
  <c r="AH921" i="9" s="1"/>
  <c r="AC937" i="9"/>
  <c r="AH937" i="9" s="1"/>
  <c r="AC953" i="9"/>
  <c r="AH953" i="9" s="1"/>
  <c r="AC985" i="9"/>
  <c r="AH985" i="9" s="1"/>
  <c r="AC1001" i="9"/>
  <c r="AH1001" i="9" s="1"/>
  <c r="AC17" i="9"/>
  <c r="AH17" i="9" s="1"/>
  <c r="AC40" i="9"/>
  <c r="AH40" i="9" s="1"/>
  <c r="AC63" i="9"/>
  <c r="AH63" i="9" s="1"/>
  <c r="AC81" i="9"/>
  <c r="AH81" i="9" s="1"/>
  <c r="AC104" i="9"/>
  <c r="AH104" i="9" s="1"/>
  <c r="AC127" i="9"/>
  <c r="AH127" i="9" s="1"/>
  <c r="AC145" i="9"/>
  <c r="AH145" i="9" s="1"/>
  <c r="AC168" i="9"/>
  <c r="AH168" i="9" s="1"/>
  <c r="AC191" i="9"/>
  <c r="AH191" i="9" s="1"/>
  <c r="AC209" i="9"/>
  <c r="AH209" i="9" s="1"/>
  <c r="AC232" i="9"/>
  <c r="AH232" i="9" s="1"/>
  <c r="AC255" i="9"/>
  <c r="AH255" i="9" s="1"/>
  <c r="AC273" i="9"/>
  <c r="AH273" i="9" s="1"/>
  <c r="AC296" i="9"/>
  <c r="AH296" i="9" s="1"/>
  <c r="AC319" i="9"/>
  <c r="AH319" i="9" s="1"/>
  <c r="AC337" i="9"/>
  <c r="AH337" i="9" s="1"/>
  <c r="AC360" i="9"/>
  <c r="AH360" i="9" s="1"/>
  <c r="AC383" i="9"/>
  <c r="AH383" i="9" s="1"/>
  <c r="AC401" i="9"/>
  <c r="AH401" i="9" s="1"/>
  <c r="AC424" i="9"/>
  <c r="AH424" i="9" s="1"/>
  <c r="AC447" i="9"/>
  <c r="AH447" i="9" s="1"/>
  <c r="AC465" i="9"/>
  <c r="AH465" i="9" s="1"/>
  <c r="AC488" i="9"/>
  <c r="AH488" i="9" s="1"/>
  <c r="AC511" i="9"/>
  <c r="AH511" i="9" s="1"/>
  <c r="AC529" i="9"/>
  <c r="AH529" i="9" s="1"/>
  <c r="AC552" i="9"/>
  <c r="AH552" i="9" s="1"/>
  <c r="AC575" i="9"/>
  <c r="AH575" i="9" s="1"/>
  <c r="AC593" i="9"/>
  <c r="AH593" i="9" s="1"/>
  <c r="AC616" i="9"/>
  <c r="AH616" i="9" s="1"/>
  <c r="AC639" i="9"/>
  <c r="AH639" i="9" s="1"/>
  <c r="AC657" i="9"/>
  <c r="AH657" i="9" s="1"/>
  <c r="AC680" i="9"/>
  <c r="AH680" i="9" s="1"/>
  <c r="AC697" i="9"/>
  <c r="AH697" i="9" s="1"/>
  <c r="AC718" i="9"/>
  <c r="AH718" i="9" s="1"/>
  <c r="AC734" i="9"/>
  <c r="AH734" i="9" s="1"/>
  <c r="AC750" i="9"/>
  <c r="AH750" i="9" s="1"/>
  <c r="AC766" i="9"/>
  <c r="AH766" i="9" s="1"/>
  <c r="AC782" i="9"/>
  <c r="AH782" i="9" s="1"/>
  <c r="AC798" i="9"/>
  <c r="AH798" i="9" s="1"/>
  <c r="AC814" i="9"/>
  <c r="AH814" i="9" s="1"/>
  <c r="AC830" i="9"/>
  <c r="AH830" i="9" s="1"/>
  <c r="AC846" i="9"/>
  <c r="AH846" i="9" s="1"/>
  <c r="AC862" i="9"/>
  <c r="AH862" i="9" s="1"/>
  <c r="AC878" i="9"/>
  <c r="AH878" i="9" s="1"/>
  <c r="AC894" i="9"/>
  <c r="AH894" i="9" s="1"/>
  <c r="AC910" i="9"/>
  <c r="AH910" i="9" s="1"/>
  <c r="AC926" i="9"/>
  <c r="AH926" i="9" s="1"/>
  <c r="AC942" i="9"/>
  <c r="AH942" i="9" s="1"/>
  <c r="AC958" i="9"/>
  <c r="AH958" i="9" s="1"/>
  <c r="AC974" i="9"/>
  <c r="AH974" i="9" s="1"/>
  <c r="AC990" i="9"/>
  <c r="AH990" i="9" s="1"/>
  <c r="AC6" i="9"/>
  <c r="AH6" i="9" s="1"/>
  <c r="AC23" i="9"/>
  <c r="AH23" i="9" s="1"/>
  <c r="AC41" i="9"/>
  <c r="AH41" i="9" s="1"/>
  <c r="AC64" i="9"/>
  <c r="AH64" i="9" s="1"/>
  <c r="AC87" i="9"/>
  <c r="AH87" i="9" s="1"/>
  <c r="AC105" i="9"/>
  <c r="AH105" i="9" s="1"/>
  <c r="AC128" i="9"/>
  <c r="AH128" i="9" s="1"/>
  <c r="AC151" i="9"/>
  <c r="AH151" i="9" s="1"/>
  <c r="AC169" i="9"/>
  <c r="AH169" i="9" s="1"/>
  <c r="AC192" i="9"/>
  <c r="AH192" i="9" s="1"/>
  <c r="AC215" i="9"/>
  <c r="AH215" i="9" s="1"/>
  <c r="AC233" i="9"/>
  <c r="AH233" i="9" s="1"/>
  <c r="AC256" i="9"/>
  <c r="AH256" i="9" s="1"/>
  <c r="AC279" i="9"/>
  <c r="AH279" i="9" s="1"/>
  <c r="AC297" i="9"/>
  <c r="AH297" i="9" s="1"/>
  <c r="AC320" i="9"/>
  <c r="AH320" i="9" s="1"/>
  <c r="AC343" i="9"/>
  <c r="AH343" i="9" s="1"/>
  <c r="AC361" i="9"/>
  <c r="AH361" i="9" s="1"/>
  <c r="AC384" i="9"/>
  <c r="AH384" i="9" s="1"/>
  <c r="AC407" i="9"/>
  <c r="AH407" i="9" s="1"/>
  <c r="AC425" i="9"/>
  <c r="AH425" i="9" s="1"/>
  <c r="AC448" i="9"/>
  <c r="AH448" i="9" s="1"/>
  <c r="AC471" i="9"/>
  <c r="AH471" i="9" s="1"/>
  <c r="AC489" i="9"/>
  <c r="AH489" i="9" s="1"/>
  <c r="AC512" i="9"/>
  <c r="AH512" i="9" s="1"/>
  <c r="AC535" i="9"/>
  <c r="AH535" i="9" s="1"/>
  <c r="AC553" i="9"/>
  <c r="AH553" i="9" s="1"/>
  <c r="AC576" i="9"/>
  <c r="AH576" i="9" s="1"/>
  <c r="AC599" i="9"/>
  <c r="AH599" i="9" s="1"/>
  <c r="AC617" i="9"/>
  <c r="AH617" i="9" s="1"/>
  <c r="AC640" i="9"/>
  <c r="AH640" i="9" s="1"/>
  <c r="AC663" i="9"/>
  <c r="AH663" i="9" s="1"/>
  <c r="AC681" i="9"/>
  <c r="AH681" i="9" s="1"/>
  <c r="AC703" i="9"/>
  <c r="AH703" i="9" s="1"/>
  <c r="AC719" i="9"/>
  <c r="AH719" i="9" s="1"/>
  <c r="AC735" i="9"/>
  <c r="AH735" i="9" s="1"/>
  <c r="AC751" i="9"/>
  <c r="AH751" i="9" s="1"/>
  <c r="AC767" i="9"/>
  <c r="AH767" i="9" s="1"/>
  <c r="AC783" i="9"/>
  <c r="AH783" i="9" s="1"/>
  <c r="AC799" i="9"/>
  <c r="AH799" i="9" s="1"/>
  <c r="AC815" i="9"/>
  <c r="AH815" i="9" s="1"/>
  <c r="AC831" i="9"/>
  <c r="AH831" i="9" s="1"/>
  <c r="AC847" i="9"/>
  <c r="AH847" i="9" s="1"/>
  <c r="AC863" i="9"/>
  <c r="AH863" i="9" s="1"/>
  <c r="AC879" i="9"/>
  <c r="AH879" i="9" s="1"/>
  <c r="AC895" i="9"/>
  <c r="AH895" i="9" s="1"/>
  <c r="AC911" i="9"/>
  <c r="AH911" i="9" s="1"/>
  <c r="AC927" i="9"/>
  <c r="AH927" i="9" s="1"/>
  <c r="AC943" i="9"/>
  <c r="AH943" i="9" s="1"/>
  <c r="AC959" i="9"/>
  <c r="AH959" i="9" s="1"/>
  <c r="AC975" i="9"/>
  <c r="AH975" i="9" s="1"/>
  <c r="AC991" i="9"/>
  <c r="AH991" i="9" s="1"/>
  <c r="AC24" i="9"/>
  <c r="AH24" i="9" s="1"/>
  <c r="AC47" i="9"/>
  <c r="AH47" i="9" s="1"/>
  <c r="AC65" i="9"/>
  <c r="AH65" i="9" s="1"/>
  <c r="AC88" i="9"/>
  <c r="AH88" i="9" s="1"/>
  <c r="AC111" i="9"/>
  <c r="AH111" i="9" s="1"/>
  <c r="AC129" i="9"/>
  <c r="AH129" i="9" s="1"/>
  <c r="AC152" i="9"/>
  <c r="AH152" i="9" s="1"/>
  <c r="AC175" i="9"/>
  <c r="AH175" i="9" s="1"/>
  <c r="AC193" i="9"/>
  <c r="AH193" i="9" s="1"/>
  <c r="AC216" i="9"/>
  <c r="AH216" i="9" s="1"/>
  <c r="AC239" i="9"/>
  <c r="AH239" i="9" s="1"/>
  <c r="AC257" i="9"/>
  <c r="AH257" i="9" s="1"/>
  <c r="AC280" i="9"/>
  <c r="AH280" i="9" s="1"/>
  <c r="AC303" i="9"/>
  <c r="AH303" i="9" s="1"/>
  <c r="AC321" i="9"/>
  <c r="AH321" i="9" s="1"/>
  <c r="AC344" i="9"/>
  <c r="AH344" i="9" s="1"/>
  <c r="AC367" i="9"/>
  <c r="AH367" i="9" s="1"/>
  <c r="AC385" i="9"/>
  <c r="AH385" i="9" s="1"/>
  <c r="AC408" i="9"/>
  <c r="AH408" i="9" s="1"/>
  <c r="AC431" i="9"/>
  <c r="AH431" i="9" s="1"/>
  <c r="AC449" i="9"/>
  <c r="AH449" i="9" s="1"/>
  <c r="AC472" i="9"/>
  <c r="AH472" i="9" s="1"/>
  <c r="AC495" i="9"/>
  <c r="AH495" i="9" s="1"/>
  <c r="AC513" i="9"/>
  <c r="AH513" i="9" s="1"/>
  <c r="AC536" i="9"/>
  <c r="AH536" i="9" s="1"/>
  <c r="AC559" i="9"/>
  <c r="AH559" i="9" s="1"/>
  <c r="AC577" i="9"/>
  <c r="AH577" i="9" s="1"/>
  <c r="AC600" i="9"/>
  <c r="AH600" i="9" s="1"/>
  <c r="AC623" i="9"/>
  <c r="AH623" i="9" s="1"/>
  <c r="AC641" i="9"/>
  <c r="AH641" i="9" s="1"/>
  <c r="AC664" i="9"/>
  <c r="AH664" i="9" s="1"/>
  <c r="AC686" i="9"/>
  <c r="AH686" i="9" s="1"/>
  <c r="AC704" i="9"/>
  <c r="AH704" i="9" s="1"/>
  <c r="AC720" i="9"/>
  <c r="AH720" i="9" s="1"/>
  <c r="AC736" i="9"/>
  <c r="AH736" i="9" s="1"/>
  <c r="AC752" i="9"/>
  <c r="AH752" i="9" s="1"/>
  <c r="AC768" i="9"/>
  <c r="AH768" i="9" s="1"/>
  <c r="AC784" i="9"/>
  <c r="AH784" i="9" s="1"/>
  <c r="AC800" i="9"/>
  <c r="AH800" i="9" s="1"/>
  <c r="AC816" i="9"/>
  <c r="AH816" i="9" s="1"/>
  <c r="AC832" i="9"/>
  <c r="AH832" i="9" s="1"/>
  <c r="AC848" i="9"/>
  <c r="AH848" i="9" s="1"/>
  <c r="AC864" i="9"/>
  <c r="AH864" i="9" s="1"/>
  <c r="AC880" i="9"/>
  <c r="AH880" i="9" s="1"/>
  <c r="AC896" i="9"/>
  <c r="AH896" i="9" s="1"/>
  <c r="AC912" i="9"/>
  <c r="AH912" i="9" s="1"/>
  <c r="AC928" i="9"/>
  <c r="AH928" i="9" s="1"/>
  <c r="AC944" i="9"/>
  <c r="AH944" i="9" s="1"/>
  <c r="AC960" i="9"/>
  <c r="AH960" i="9" s="1"/>
  <c r="AC976" i="9"/>
  <c r="AH976" i="9" s="1"/>
  <c r="AC992" i="9"/>
  <c r="AH992" i="9" s="1"/>
  <c r="AC79" i="9"/>
  <c r="AH79" i="9" s="1"/>
  <c r="AC591" i="9"/>
  <c r="AH591" i="9" s="1"/>
  <c r="AC695" i="9"/>
  <c r="AH695" i="9" s="1"/>
  <c r="AC760" i="9"/>
  <c r="AH760" i="9" s="1"/>
  <c r="AC840" i="9"/>
  <c r="AH840" i="9" s="1"/>
  <c r="AC904" i="9"/>
  <c r="AH904" i="9" s="1"/>
  <c r="AC984" i="9"/>
  <c r="AH984" i="9" s="1"/>
  <c r="AC569" i="9"/>
  <c r="AH569" i="9" s="1"/>
  <c r="AC969" i="9"/>
  <c r="AH969" i="9" s="1"/>
  <c r="N9" i="9"/>
  <c r="N10" i="9" s="1"/>
  <c r="N11" i="9" s="1"/>
  <c r="N13" i="9" s="1"/>
  <c r="L9" i="9"/>
  <c r="L10" i="9" s="1"/>
  <c r="M6" i="9"/>
  <c r="M9" i="9" s="1"/>
  <c r="M10" i="9" s="1"/>
  <c r="M11" i="9" s="1"/>
  <c r="M13" i="9" s="1"/>
  <c r="D7" i="11" l="1"/>
  <c r="M15" i="9"/>
  <c r="E7" i="11"/>
  <c r="N15" i="9"/>
  <c r="R25" i="9"/>
  <c r="L11" i="9"/>
  <c r="L13" i="9" s="1"/>
  <c r="L15" i="9" l="1"/>
  <c r="R26" i="9"/>
  <c r="AD14" i="9"/>
  <c r="AI14" i="9" s="1"/>
  <c r="AD22" i="9"/>
  <c r="AI22" i="9" s="1"/>
  <c r="AD30" i="9"/>
  <c r="AI30" i="9" s="1"/>
  <c r="AD38" i="9"/>
  <c r="AI38" i="9" s="1"/>
  <c r="AD46" i="9"/>
  <c r="AI46" i="9" s="1"/>
  <c r="AD54" i="9"/>
  <c r="AI54" i="9" s="1"/>
  <c r="AD62" i="9"/>
  <c r="AI62" i="9" s="1"/>
  <c r="AD70" i="9"/>
  <c r="AI70" i="9" s="1"/>
  <c r="AD78" i="9"/>
  <c r="AI78" i="9" s="1"/>
  <c r="AD86" i="9"/>
  <c r="AI86" i="9" s="1"/>
  <c r="AD94" i="9"/>
  <c r="AI94" i="9" s="1"/>
  <c r="AD102" i="9"/>
  <c r="AI102" i="9" s="1"/>
  <c r="AD110" i="9"/>
  <c r="AI110" i="9" s="1"/>
  <c r="AD118" i="9"/>
  <c r="AI118" i="9" s="1"/>
  <c r="AD126" i="9"/>
  <c r="AI126" i="9" s="1"/>
  <c r="AD134" i="9"/>
  <c r="AI134" i="9" s="1"/>
  <c r="AD142" i="9"/>
  <c r="AI142" i="9" s="1"/>
  <c r="AD150" i="9"/>
  <c r="AI150" i="9" s="1"/>
  <c r="AD158" i="9"/>
  <c r="AI158" i="9" s="1"/>
  <c r="AD166" i="9"/>
  <c r="AI166" i="9" s="1"/>
  <c r="AD174" i="9"/>
  <c r="AI174" i="9" s="1"/>
  <c r="AD182" i="9"/>
  <c r="AI182" i="9" s="1"/>
  <c r="AD190" i="9"/>
  <c r="AI190" i="9" s="1"/>
  <c r="AD198" i="9"/>
  <c r="AI198" i="9" s="1"/>
  <c r="AD206" i="9"/>
  <c r="AI206" i="9" s="1"/>
  <c r="AD214" i="9"/>
  <c r="AI214" i="9" s="1"/>
  <c r="AD222" i="9"/>
  <c r="AI222" i="9" s="1"/>
  <c r="AD230" i="9"/>
  <c r="AI230" i="9" s="1"/>
  <c r="AD238" i="9"/>
  <c r="AI238" i="9" s="1"/>
  <c r="AD246" i="9"/>
  <c r="AI246" i="9" s="1"/>
  <c r="AD254" i="9"/>
  <c r="AI254" i="9" s="1"/>
  <c r="AD262" i="9"/>
  <c r="AI262" i="9" s="1"/>
  <c r="AD270" i="9"/>
  <c r="AI270" i="9" s="1"/>
  <c r="AD278" i="9"/>
  <c r="AI278" i="9" s="1"/>
  <c r="AD286" i="9"/>
  <c r="AI286" i="9" s="1"/>
  <c r="AD294" i="9"/>
  <c r="AI294" i="9" s="1"/>
  <c r="AD302" i="9"/>
  <c r="AI302" i="9" s="1"/>
  <c r="AD310" i="9"/>
  <c r="AI310" i="9" s="1"/>
  <c r="AD318" i="9"/>
  <c r="AI318" i="9" s="1"/>
  <c r="AD326" i="9"/>
  <c r="AI326" i="9" s="1"/>
  <c r="AD334" i="9"/>
  <c r="AI334" i="9" s="1"/>
  <c r="AD342" i="9"/>
  <c r="AI342" i="9" s="1"/>
  <c r="AD9" i="9"/>
  <c r="AI9" i="9" s="1"/>
  <c r="AD17" i="9"/>
  <c r="AI17" i="9" s="1"/>
  <c r="AD25" i="9"/>
  <c r="AI25" i="9" s="1"/>
  <c r="AD33" i="9"/>
  <c r="AI33" i="9" s="1"/>
  <c r="AD41" i="9"/>
  <c r="AI41" i="9" s="1"/>
  <c r="AD49" i="9"/>
  <c r="AI49" i="9" s="1"/>
  <c r="AD57" i="9"/>
  <c r="AI57" i="9" s="1"/>
  <c r="AD65" i="9"/>
  <c r="AI65" i="9" s="1"/>
  <c r="AD73" i="9"/>
  <c r="AI73" i="9" s="1"/>
  <c r="AD81" i="9"/>
  <c r="AI81" i="9" s="1"/>
  <c r="AD89" i="9"/>
  <c r="AI89" i="9" s="1"/>
  <c r="AD97" i="9"/>
  <c r="AI97" i="9" s="1"/>
  <c r="AD105" i="9"/>
  <c r="AI105" i="9" s="1"/>
  <c r="AD113" i="9"/>
  <c r="AI113" i="9" s="1"/>
  <c r="AD121" i="9"/>
  <c r="AI121" i="9" s="1"/>
  <c r="AD129" i="9"/>
  <c r="AI129" i="9" s="1"/>
  <c r="AD137" i="9"/>
  <c r="AI137" i="9" s="1"/>
  <c r="AD145" i="9"/>
  <c r="AI145" i="9" s="1"/>
  <c r="AD153" i="9"/>
  <c r="AI153" i="9" s="1"/>
  <c r="AD161" i="9"/>
  <c r="AI161" i="9" s="1"/>
  <c r="AD169" i="9"/>
  <c r="AI169" i="9" s="1"/>
  <c r="AD177" i="9"/>
  <c r="AI177" i="9" s="1"/>
  <c r="AD185" i="9"/>
  <c r="AI185" i="9" s="1"/>
  <c r="AD193" i="9"/>
  <c r="AI193" i="9" s="1"/>
  <c r="AD201" i="9"/>
  <c r="AI201" i="9" s="1"/>
  <c r="AD209" i="9"/>
  <c r="AI209" i="9" s="1"/>
  <c r="AD217" i="9"/>
  <c r="AI217" i="9" s="1"/>
  <c r="AD225" i="9"/>
  <c r="AI225" i="9" s="1"/>
  <c r="AD233" i="9"/>
  <c r="AI233" i="9" s="1"/>
  <c r="AD241" i="9"/>
  <c r="AI241" i="9" s="1"/>
  <c r="AD249" i="9"/>
  <c r="AI249" i="9" s="1"/>
  <c r="AD257" i="9"/>
  <c r="AI257" i="9" s="1"/>
  <c r="AD265" i="9"/>
  <c r="AI265" i="9" s="1"/>
  <c r="AD273" i="9"/>
  <c r="AI273" i="9" s="1"/>
  <c r="AD281" i="9"/>
  <c r="AI281" i="9" s="1"/>
  <c r="AD289" i="9"/>
  <c r="AI289" i="9" s="1"/>
  <c r="AD297" i="9"/>
  <c r="AI297" i="9" s="1"/>
  <c r="AD305" i="9"/>
  <c r="AI305" i="9" s="1"/>
  <c r="AD313" i="9"/>
  <c r="AI313" i="9" s="1"/>
  <c r="AD321" i="9"/>
  <c r="AI321" i="9" s="1"/>
  <c r="AD329" i="9"/>
  <c r="AI329" i="9" s="1"/>
  <c r="AD12" i="9"/>
  <c r="AI12" i="9" s="1"/>
  <c r="AD20" i="9"/>
  <c r="AI20" i="9" s="1"/>
  <c r="AD28" i="9"/>
  <c r="AI28" i="9" s="1"/>
  <c r="AD36" i="9"/>
  <c r="AI36" i="9" s="1"/>
  <c r="AD44" i="9"/>
  <c r="AI44" i="9" s="1"/>
  <c r="AD52" i="9"/>
  <c r="AI52" i="9" s="1"/>
  <c r="AD60" i="9"/>
  <c r="AI60" i="9" s="1"/>
  <c r="AD68" i="9"/>
  <c r="AI68" i="9" s="1"/>
  <c r="AD76" i="9"/>
  <c r="AI76" i="9" s="1"/>
  <c r="AD84" i="9"/>
  <c r="AI84" i="9" s="1"/>
  <c r="AD92" i="9"/>
  <c r="AI92" i="9" s="1"/>
  <c r="AD100" i="9"/>
  <c r="AI100" i="9" s="1"/>
  <c r="AD108" i="9"/>
  <c r="AI108" i="9" s="1"/>
  <c r="AD116" i="9"/>
  <c r="AI116" i="9" s="1"/>
  <c r="AD124" i="9"/>
  <c r="AI124" i="9" s="1"/>
  <c r="AD132" i="9"/>
  <c r="AI132" i="9" s="1"/>
  <c r="AD140" i="9"/>
  <c r="AI140" i="9" s="1"/>
  <c r="AD148" i="9"/>
  <c r="AI148" i="9" s="1"/>
  <c r="AD156" i="9"/>
  <c r="AI156" i="9" s="1"/>
  <c r="AD164" i="9"/>
  <c r="AI164" i="9" s="1"/>
  <c r="AD172" i="9"/>
  <c r="AI172" i="9" s="1"/>
  <c r="AD180" i="9"/>
  <c r="AI180" i="9" s="1"/>
  <c r="AD188" i="9"/>
  <c r="AI188" i="9" s="1"/>
  <c r="AD196" i="9"/>
  <c r="AI196" i="9" s="1"/>
  <c r="AD204" i="9"/>
  <c r="AI204" i="9" s="1"/>
  <c r="AD212" i="9"/>
  <c r="AI212" i="9" s="1"/>
  <c r="AD220" i="9"/>
  <c r="AI220" i="9" s="1"/>
  <c r="AD228" i="9"/>
  <c r="AI228" i="9" s="1"/>
  <c r="AD236" i="9"/>
  <c r="AI236" i="9" s="1"/>
  <c r="AD244" i="9"/>
  <c r="AI244" i="9" s="1"/>
  <c r="AD7" i="9"/>
  <c r="AI7" i="9" s="1"/>
  <c r="AD15" i="9"/>
  <c r="AI15" i="9" s="1"/>
  <c r="AD23" i="9"/>
  <c r="AI23" i="9" s="1"/>
  <c r="AD31" i="9"/>
  <c r="AI31" i="9" s="1"/>
  <c r="AD8" i="9"/>
  <c r="AI8" i="9" s="1"/>
  <c r="AD11" i="9"/>
  <c r="AI11" i="9" s="1"/>
  <c r="AD19" i="9"/>
  <c r="AI19" i="9" s="1"/>
  <c r="AD27" i="9"/>
  <c r="AI27" i="9" s="1"/>
  <c r="AD35" i="9"/>
  <c r="AI35" i="9" s="1"/>
  <c r="AD43" i="9"/>
  <c r="AI43" i="9" s="1"/>
  <c r="AD51" i="9"/>
  <c r="AI51" i="9" s="1"/>
  <c r="AD59" i="9"/>
  <c r="AI59" i="9" s="1"/>
  <c r="AD67" i="9"/>
  <c r="AI67" i="9" s="1"/>
  <c r="AD75" i="9"/>
  <c r="AI75" i="9" s="1"/>
  <c r="AD83" i="9"/>
  <c r="AI83" i="9" s="1"/>
  <c r="AD91" i="9"/>
  <c r="AI91" i="9" s="1"/>
  <c r="AD99" i="9"/>
  <c r="AI99" i="9" s="1"/>
  <c r="AD107" i="9"/>
  <c r="AI107" i="9" s="1"/>
  <c r="AD115" i="9"/>
  <c r="AI115" i="9" s="1"/>
  <c r="AD123" i="9"/>
  <c r="AI123" i="9" s="1"/>
  <c r="AD131" i="9"/>
  <c r="AI131" i="9" s="1"/>
  <c r="AD139" i="9"/>
  <c r="AI139" i="9" s="1"/>
  <c r="AD147" i="9"/>
  <c r="AI147" i="9" s="1"/>
  <c r="AD155" i="9"/>
  <c r="AI155" i="9" s="1"/>
  <c r="AD163" i="9"/>
  <c r="AI163" i="9" s="1"/>
  <c r="AD171" i="9"/>
  <c r="AI171" i="9" s="1"/>
  <c r="AD179" i="9"/>
  <c r="AI179" i="9" s="1"/>
  <c r="AD187" i="9"/>
  <c r="AI187" i="9" s="1"/>
  <c r="AD195" i="9"/>
  <c r="AI195" i="9" s="1"/>
  <c r="AD203" i="9"/>
  <c r="AI203" i="9" s="1"/>
  <c r="AD211" i="9"/>
  <c r="AI211" i="9" s="1"/>
  <c r="AD219" i="9"/>
  <c r="AI219" i="9" s="1"/>
  <c r="AD227" i="9"/>
  <c r="AI227" i="9" s="1"/>
  <c r="AD235" i="9"/>
  <c r="AI235" i="9" s="1"/>
  <c r="AD243" i="9"/>
  <c r="AI243" i="9" s="1"/>
  <c r="AD251" i="9"/>
  <c r="AI251" i="9" s="1"/>
  <c r="AD259" i="9"/>
  <c r="AI259" i="9" s="1"/>
  <c r="AD16" i="9"/>
  <c r="AI16" i="9" s="1"/>
  <c r="AD21" i="9"/>
  <c r="AI21" i="9" s="1"/>
  <c r="AD250" i="9"/>
  <c r="AI250" i="9" s="1"/>
  <c r="AD264" i="9"/>
  <c r="AI264" i="9" s="1"/>
  <c r="AD271" i="9"/>
  <c r="AI271" i="9" s="1"/>
  <c r="AD274" i="9"/>
  <c r="AI274" i="9" s="1"/>
  <c r="AD277" i="9"/>
  <c r="AI277" i="9" s="1"/>
  <c r="AD287" i="9"/>
  <c r="AI287" i="9" s="1"/>
  <c r="AD290" i="9"/>
  <c r="AI290" i="9" s="1"/>
  <c r="AD293" i="9"/>
  <c r="AI293" i="9" s="1"/>
  <c r="AD303" i="9"/>
  <c r="AI303" i="9" s="1"/>
  <c r="AD306" i="9"/>
  <c r="AI306" i="9" s="1"/>
  <c r="AD309" i="9"/>
  <c r="AI309" i="9" s="1"/>
  <c r="AD319" i="9"/>
  <c r="AI319" i="9" s="1"/>
  <c r="AD322" i="9"/>
  <c r="AI322" i="9" s="1"/>
  <c r="AD325" i="9"/>
  <c r="AI325" i="9" s="1"/>
  <c r="AD335" i="9"/>
  <c r="AI335" i="9" s="1"/>
  <c r="AD352" i="9"/>
  <c r="AI352" i="9" s="1"/>
  <c r="AD360" i="9"/>
  <c r="AI360" i="9" s="1"/>
  <c r="AD368" i="9"/>
  <c r="AI368" i="9" s="1"/>
  <c r="AD376" i="9"/>
  <c r="AI376" i="9" s="1"/>
  <c r="AD384" i="9"/>
  <c r="AI384" i="9" s="1"/>
  <c r="AD392" i="9"/>
  <c r="AI392" i="9" s="1"/>
  <c r="AD400" i="9"/>
  <c r="AI400" i="9" s="1"/>
  <c r="AD408" i="9"/>
  <c r="AI408" i="9" s="1"/>
  <c r="AD416" i="9"/>
  <c r="AI416" i="9" s="1"/>
  <c r="AD424" i="9"/>
  <c r="AI424" i="9" s="1"/>
  <c r="AD432" i="9"/>
  <c r="AI432" i="9" s="1"/>
  <c r="AD440" i="9"/>
  <c r="AI440" i="9" s="1"/>
  <c r="AD448" i="9"/>
  <c r="AI448" i="9" s="1"/>
  <c r="AD456" i="9"/>
  <c r="AI456" i="9" s="1"/>
  <c r="AD464" i="9"/>
  <c r="AI464" i="9" s="1"/>
  <c r="AD472" i="9"/>
  <c r="AI472" i="9" s="1"/>
  <c r="AD480" i="9"/>
  <c r="AI480" i="9" s="1"/>
  <c r="AD488" i="9"/>
  <c r="AI488" i="9" s="1"/>
  <c r="AD26" i="9"/>
  <c r="AI26" i="9" s="1"/>
  <c r="AD39" i="9"/>
  <c r="AI39" i="9" s="1"/>
  <c r="AD47" i="9"/>
  <c r="AI47" i="9" s="1"/>
  <c r="AD55" i="9"/>
  <c r="AI55" i="9" s="1"/>
  <c r="AD63" i="9"/>
  <c r="AI63" i="9" s="1"/>
  <c r="AD71" i="9"/>
  <c r="AI71" i="9" s="1"/>
  <c r="AD79" i="9"/>
  <c r="AI79" i="9" s="1"/>
  <c r="AD87" i="9"/>
  <c r="AI87" i="9" s="1"/>
  <c r="AD95" i="9"/>
  <c r="AI95" i="9" s="1"/>
  <c r="AD103" i="9"/>
  <c r="AI103" i="9" s="1"/>
  <c r="AD111" i="9"/>
  <c r="AI111" i="9" s="1"/>
  <c r="AD119" i="9"/>
  <c r="AI119" i="9" s="1"/>
  <c r="AD127" i="9"/>
  <c r="AI127" i="9" s="1"/>
  <c r="AD135" i="9"/>
  <c r="AI135" i="9" s="1"/>
  <c r="AD143" i="9"/>
  <c r="AI143" i="9" s="1"/>
  <c r="AD151" i="9"/>
  <c r="AI151" i="9" s="1"/>
  <c r="AD159" i="9"/>
  <c r="AI159" i="9" s="1"/>
  <c r="AD167" i="9"/>
  <c r="AI167" i="9" s="1"/>
  <c r="AD175" i="9"/>
  <c r="AI175" i="9" s="1"/>
  <c r="AD183" i="9"/>
  <c r="AI183" i="9" s="1"/>
  <c r="AD191" i="9"/>
  <c r="AI191" i="9" s="1"/>
  <c r="AD199" i="9"/>
  <c r="AI199" i="9" s="1"/>
  <c r="AD207" i="9"/>
  <c r="AI207" i="9" s="1"/>
  <c r="AD215" i="9"/>
  <c r="AI215" i="9" s="1"/>
  <c r="AD223" i="9"/>
  <c r="AI223" i="9" s="1"/>
  <c r="AD231" i="9"/>
  <c r="AI231" i="9" s="1"/>
  <c r="AD239" i="9"/>
  <c r="AI239" i="9" s="1"/>
  <c r="AD247" i="9"/>
  <c r="AI247" i="9" s="1"/>
  <c r="AD261" i="9"/>
  <c r="AI261" i="9" s="1"/>
  <c r="AD268" i="9"/>
  <c r="AI268" i="9" s="1"/>
  <c r="AD284" i="9"/>
  <c r="AI284" i="9" s="1"/>
  <c r="AD300" i="9"/>
  <c r="AI300" i="9" s="1"/>
  <c r="AD316" i="9"/>
  <c r="AI316" i="9" s="1"/>
  <c r="AD332" i="9"/>
  <c r="AI332" i="9" s="1"/>
  <c r="AD338" i="9"/>
  <c r="AI338" i="9" s="1"/>
  <c r="AD341" i="9"/>
  <c r="AI341" i="9" s="1"/>
  <c r="AD344" i="9"/>
  <c r="AI344" i="9" s="1"/>
  <c r="AD355" i="9"/>
  <c r="AI355" i="9" s="1"/>
  <c r="AD363" i="9"/>
  <c r="AI363" i="9" s="1"/>
  <c r="AD371" i="9"/>
  <c r="AI371" i="9" s="1"/>
  <c r="AD379" i="9"/>
  <c r="AI379" i="9" s="1"/>
  <c r="AD387" i="9"/>
  <c r="AI387" i="9" s="1"/>
  <c r="AD395" i="9"/>
  <c r="AI395" i="9" s="1"/>
  <c r="AD403" i="9"/>
  <c r="AI403" i="9" s="1"/>
  <c r="AD411" i="9"/>
  <c r="AI411" i="9" s="1"/>
  <c r="AD419" i="9"/>
  <c r="AI419" i="9" s="1"/>
  <c r="AD427" i="9"/>
  <c r="AI427" i="9" s="1"/>
  <c r="AD435" i="9"/>
  <c r="AI435" i="9" s="1"/>
  <c r="AD443" i="9"/>
  <c r="AI443" i="9" s="1"/>
  <c r="AD451" i="9"/>
  <c r="AI451" i="9" s="1"/>
  <c r="AD459" i="9"/>
  <c r="AI459" i="9" s="1"/>
  <c r="AD467" i="9"/>
  <c r="AI467" i="9" s="1"/>
  <c r="AD475" i="9"/>
  <c r="AI475" i="9" s="1"/>
  <c r="AD13" i="9"/>
  <c r="AI13" i="9" s="1"/>
  <c r="AD258" i="9"/>
  <c r="AI258" i="9" s="1"/>
  <c r="AD347" i="9"/>
  <c r="AI347" i="9" s="1"/>
  <c r="AD350" i="9"/>
  <c r="AI350" i="9" s="1"/>
  <c r="AD358" i="9"/>
  <c r="AI358" i="9" s="1"/>
  <c r="AD366" i="9"/>
  <c r="AI366" i="9" s="1"/>
  <c r="AD374" i="9"/>
  <c r="AI374" i="9" s="1"/>
  <c r="AD382" i="9"/>
  <c r="AI382" i="9" s="1"/>
  <c r="AD390" i="9"/>
  <c r="AI390" i="9" s="1"/>
  <c r="AD398" i="9"/>
  <c r="AI398" i="9" s="1"/>
  <c r="AD406" i="9"/>
  <c r="AI406" i="9" s="1"/>
  <c r="AD414" i="9"/>
  <c r="AI414" i="9" s="1"/>
  <c r="AD422" i="9"/>
  <c r="AI422" i="9" s="1"/>
  <c r="AD430" i="9"/>
  <c r="AI430" i="9" s="1"/>
  <c r="AD438" i="9"/>
  <c r="AI438" i="9" s="1"/>
  <c r="AD446" i="9"/>
  <c r="AI446" i="9" s="1"/>
  <c r="AD454" i="9"/>
  <c r="AI454" i="9" s="1"/>
  <c r="AD462" i="9"/>
  <c r="AI462" i="9" s="1"/>
  <c r="AD470" i="9"/>
  <c r="AI470" i="9" s="1"/>
  <c r="AD478" i="9"/>
  <c r="AI478" i="9" s="1"/>
  <c r="AD486" i="9"/>
  <c r="AI486" i="9" s="1"/>
  <c r="AD18" i="9"/>
  <c r="AI18" i="9" s="1"/>
  <c r="AD255" i="9"/>
  <c r="AI255" i="9" s="1"/>
  <c r="AD272" i="9"/>
  <c r="AI272" i="9" s="1"/>
  <c r="AD275" i="9"/>
  <c r="AI275" i="9" s="1"/>
  <c r="AD288" i="9"/>
  <c r="AI288" i="9" s="1"/>
  <c r="AD291" i="9"/>
  <c r="AI291" i="9" s="1"/>
  <c r="AD304" i="9"/>
  <c r="AI304" i="9" s="1"/>
  <c r="AD307" i="9"/>
  <c r="AI307" i="9" s="1"/>
  <c r="AD320" i="9"/>
  <c r="AI320" i="9" s="1"/>
  <c r="AD323" i="9"/>
  <c r="AI323" i="9" s="1"/>
  <c r="AD336" i="9"/>
  <c r="AI336" i="9" s="1"/>
  <c r="AD353" i="9"/>
  <c r="AI353" i="9" s="1"/>
  <c r="AD361" i="9"/>
  <c r="AI361" i="9" s="1"/>
  <c r="AD369" i="9"/>
  <c r="AI369" i="9" s="1"/>
  <c r="AD377" i="9"/>
  <c r="AI377" i="9" s="1"/>
  <c r="AD385" i="9"/>
  <c r="AI385" i="9" s="1"/>
  <c r="AD393" i="9"/>
  <c r="AI393" i="9" s="1"/>
  <c r="AD401" i="9"/>
  <c r="AI401" i="9" s="1"/>
  <c r="AD409" i="9"/>
  <c r="AI409" i="9" s="1"/>
  <c r="AD32" i="9"/>
  <c r="AI32" i="9" s="1"/>
  <c r="AD40" i="9"/>
  <c r="AI40" i="9" s="1"/>
  <c r="AD48" i="9"/>
  <c r="AI48" i="9" s="1"/>
  <c r="AD56" i="9"/>
  <c r="AI56" i="9" s="1"/>
  <c r="AD64" i="9"/>
  <c r="AI64" i="9" s="1"/>
  <c r="AD72" i="9"/>
  <c r="AI72" i="9" s="1"/>
  <c r="AD80" i="9"/>
  <c r="AI80" i="9" s="1"/>
  <c r="AD88" i="9"/>
  <c r="AI88" i="9" s="1"/>
  <c r="AD96" i="9"/>
  <c r="AI96" i="9" s="1"/>
  <c r="AD104" i="9"/>
  <c r="AI104" i="9" s="1"/>
  <c r="AD112" i="9"/>
  <c r="AI112" i="9" s="1"/>
  <c r="AD120" i="9"/>
  <c r="AI120" i="9" s="1"/>
  <c r="AD128" i="9"/>
  <c r="AI128" i="9" s="1"/>
  <c r="AD136" i="9"/>
  <c r="AI136" i="9" s="1"/>
  <c r="AD144" i="9"/>
  <c r="AI144" i="9" s="1"/>
  <c r="AD152" i="9"/>
  <c r="AI152" i="9" s="1"/>
  <c r="AD160" i="9"/>
  <c r="AI160" i="9" s="1"/>
  <c r="AD168" i="9"/>
  <c r="AI168" i="9" s="1"/>
  <c r="AD176" i="9"/>
  <c r="AI176" i="9" s="1"/>
  <c r="AD184" i="9"/>
  <c r="AI184" i="9" s="1"/>
  <c r="AD192" i="9"/>
  <c r="AI192" i="9" s="1"/>
  <c r="AD200" i="9"/>
  <c r="AI200" i="9" s="1"/>
  <c r="AD208" i="9"/>
  <c r="AI208" i="9" s="1"/>
  <c r="AD216" i="9"/>
  <c r="AI216" i="9" s="1"/>
  <c r="AD224" i="9"/>
  <c r="AI224" i="9" s="1"/>
  <c r="AD232" i="9"/>
  <c r="AI232" i="9" s="1"/>
  <c r="AD240" i="9"/>
  <c r="AI240" i="9" s="1"/>
  <c r="AD248" i="9"/>
  <c r="AI248" i="9" s="1"/>
  <c r="AD252" i="9"/>
  <c r="AI252" i="9" s="1"/>
  <c r="AD266" i="9"/>
  <c r="AI266" i="9" s="1"/>
  <c r="AD269" i="9"/>
  <c r="AI269" i="9" s="1"/>
  <c r="AD279" i="9"/>
  <c r="AI279" i="9" s="1"/>
  <c r="AD282" i="9"/>
  <c r="AI282" i="9" s="1"/>
  <c r="AD285" i="9"/>
  <c r="AI285" i="9" s="1"/>
  <c r="AD295" i="9"/>
  <c r="AI295" i="9" s="1"/>
  <c r="AD298" i="9"/>
  <c r="AI298" i="9" s="1"/>
  <c r="AD301" i="9"/>
  <c r="AI301" i="9" s="1"/>
  <c r="AD311" i="9"/>
  <c r="AI311" i="9" s="1"/>
  <c r="AD314" i="9"/>
  <c r="AI314" i="9" s="1"/>
  <c r="AD317" i="9"/>
  <c r="AI317" i="9" s="1"/>
  <c r="AD327" i="9"/>
  <c r="AI327" i="9" s="1"/>
  <c r="AD330" i="9"/>
  <c r="AI330" i="9" s="1"/>
  <c r="AD333" i="9"/>
  <c r="AI333" i="9" s="1"/>
  <c r="AD339" i="9"/>
  <c r="AI339" i="9" s="1"/>
  <c r="AD345" i="9"/>
  <c r="AI345" i="9" s="1"/>
  <c r="AD348" i="9"/>
  <c r="AI348" i="9" s="1"/>
  <c r="AD356" i="9"/>
  <c r="AI356" i="9" s="1"/>
  <c r="AD364" i="9"/>
  <c r="AI364" i="9" s="1"/>
  <c r="AD372" i="9"/>
  <c r="AI372" i="9" s="1"/>
  <c r="AD380" i="9"/>
  <c r="AI380" i="9" s="1"/>
  <c r="AD388" i="9"/>
  <c r="AI388" i="9" s="1"/>
  <c r="AD396" i="9"/>
  <c r="AI396" i="9" s="1"/>
  <c r="AD404" i="9"/>
  <c r="AI404" i="9" s="1"/>
  <c r="AD412" i="9"/>
  <c r="AI412" i="9" s="1"/>
  <c r="AD420" i="9"/>
  <c r="AI420" i="9" s="1"/>
  <c r="AD428" i="9"/>
  <c r="AI428" i="9" s="1"/>
  <c r="AD436" i="9"/>
  <c r="AI436" i="9" s="1"/>
  <c r="AD37" i="9"/>
  <c r="AI37" i="9" s="1"/>
  <c r="AD45" i="9"/>
  <c r="AI45" i="9" s="1"/>
  <c r="AD53" i="9"/>
  <c r="AI53" i="9" s="1"/>
  <c r="AD61" i="9"/>
  <c r="AI61" i="9" s="1"/>
  <c r="AD69" i="9"/>
  <c r="AI69" i="9" s="1"/>
  <c r="AD77" i="9"/>
  <c r="AI77" i="9" s="1"/>
  <c r="AD85" i="9"/>
  <c r="AI85" i="9" s="1"/>
  <c r="AD93" i="9"/>
  <c r="AI93" i="9" s="1"/>
  <c r="AD101" i="9"/>
  <c r="AI101" i="9" s="1"/>
  <c r="AD109" i="9"/>
  <c r="AI109" i="9" s="1"/>
  <c r="AD117" i="9"/>
  <c r="AI117" i="9" s="1"/>
  <c r="AD125" i="9"/>
  <c r="AI125" i="9" s="1"/>
  <c r="AD133" i="9"/>
  <c r="AI133" i="9" s="1"/>
  <c r="AD141" i="9"/>
  <c r="AI141" i="9" s="1"/>
  <c r="AD149" i="9"/>
  <c r="AI149" i="9" s="1"/>
  <c r="AD157" i="9"/>
  <c r="AI157" i="9" s="1"/>
  <c r="AD165" i="9"/>
  <c r="AI165" i="9" s="1"/>
  <c r="AD173" i="9"/>
  <c r="AI173" i="9" s="1"/>
  <c r="AD181" i="9"/>
  <c r="AI181" i="9" s="1"/>
  <c r="AD189" i="9"/>
  <c r="AI189" i="9" s="1"/>
  <c r="AD197" i="9"/>
  <c r="AI197" i="9" s="1"/>
  <c r="AD205" i="9"/>
  <c r="AI205" i="9" s="1"/>
  <c r="AD213" i="9"/>
  <c r="AI213" i="9" s="1"/>
  <c r="AD221" i="9"/>
  <c r="AI221" i="9" s="1"/>
  <c r="AD229" i="9"/>
  <c r="AI229" i="9" s="1"/>
  <c r="AD237" i="9"/>
  <c r="AI237" i="9" s="1"/>
  <c r="AD245" i="9"/>
  <c r="AI245" i="9" s="1"/>
  <c r="AD263" i="9"/>
  <c r="AI263" i="9" s="1"/>
  <c r="AD276" i="9"/>
  <c r="AI276" i="9" s="1"/>
  <c r="AD292" i="9"/>
  <c r="AI292" i="9" s="1"/>
  <c r="AD308" i="9"/>
  <c r="AI308" i="9" s="1"/>
  <c r="AD324" i="9"/>
  <c r="AI324" i="9" s="1"/>
  <c r="AD351" i="9"/>
  <c r="AI351" i="9" s="1"/>
  <c r="AD359" i="9"/>
  <c r="AI359" i="9" s="1"/>
  <c r="AD367" i="9"/>
  <c r="AI367" i="9" s="1"/>
  <c r="AD375" i="9"/>
  <c r="AI375" i="9" s="1"/>
  <c r="AD383" i="9"/>
  <c r="AI383" i="9" s="1"/>
  <c r="AD391" i="9"/>
  <c r="AI391" i="9" s="1"/>
  <c r="AD10" i="9"/>
  <c r="AI10" i="9" s="1"/>
  <c r="AD24" i="9"/>
  <c r="AI24" i="9" s="1"/>
  <c r="AD29" i="9"/>
  <c r="AI29" i="9" s="1"/>
  <c r="AD256" i="9"/>
  <c r="AI256" i="9" s="1"/>
  <c r="AD260" i="9"/>
  <c r="AI260" i="9" s="1"/>
  <c r="AD337" i="9"/>
  <c r="AI337" i="9" s="1"/>
  <c r="AD340" i="9"/>
  <c r="AI340" i="9" s="1"/>
  <c r="AD343" i="9"/>
  <c r="AI343" i="9" s="1"/>
  <c r="AD354" i="9"/>
  <c r="AI354" i="9" s="1"/>
  <c r="AD362" i="9"/>
  <c r="AI362" i="9" s="1"/>
  <c r="AD370" i="9"/>
  <c r="AI370" i="9" s="1"/>
  <c r="AD378" i="9"/>
  <c r="AI378" i="9" s="1"/>
  <c r="AD386" i="9"/>
  <c r="AI386" i="9" s="1"/>
  <c r="AD394" i="9"/>
  <c r="AI394" i="9" s="1"/>
  <c r="AD402" i="9"/>
  <c r="AI402" i="9" s="1"/>
  <c r="AD410" i="9"/>
  <c r="AI410" i="9" s="1"/>
  <c r="AD418" i="9"/>
  <c r="AI418" i="9" s="1"/>
  <c r="AD426" i="9"/>
  <c r="AI426" i="9" s="1"/>
  <c r="AD42" i="9"/>
  <c r="AI42" i="9" s="1"/>
  <c r="AD106" i="9"/>
  <c r="AI106" i="9" s="1"/>
  <c r="AD170" i="9"/>
  <c r="AI170" i="9" s="1"/>
  <c r="AD234" i="9"/>
  <c r="AI234" i="9" s="1"/>
  <c r="AD346" i="9"/>
  <c r="AI346" i="9" s="1"/>
  <c r="AD365" i="9"/>
  <c r="AI365" i="9" s="1"/>
  <c r="AD407" i="9"/>
  <c r="AI407" i="9" s="1"/>
  <c r="AD431" i="9"/>
  <c r="AI431" i="9" s="1"/>
  <c r="AD439" i="9"/>
  <c r="AI439" i="9" s="1"/>
  <c r="AD450" i="9"/>
  <c r="AI450" i="9" s="1"/>
  <c r="AD468" i="9"/>
  <c r="AI468" i="9" s="1"/>
  <c r="AD482" i="9"/>
  <c r="AI482" i="9" s="1"/>
  <c r="AD485" i="9"/>
  <c r="AI485" i="9" s="1"/>
  <c r="AD497" i="9"/>
  <c r="AI497" i="9" s="1"/>
  <c r="AD505" i="9"/>
  <c r="AI505" i="9" s="1"/>
  <c r="AD513" i="9"/>
  <c r="AI513" i="9" s="1"/>
  <c r="AD521" i="9"/>
  <c r="AI521" i="9" s="1"/>
  <c r="AD529" i="9"/>
  <c r="AI529" i="9" s="1"/>
  <c r="AD537" i="9"/>
  <c r="AI537" i="9" s="1"/>
  <c r="AD545" i="9"/>
  <c r="AI545" i="9" s="1"/>
  <c r="AD553" i="9"/>
  <c r="AI553" i="9" s="1"/>
  <c r="AD561" i="9"/>
  <c r="AI561" i="9" s="1"/>
  <c r="AD569" i="9"/>
  <c r="AI569" i="9" s="1"/>
  <c r="AD577" i="9"/>
  <c r="AI577" i="9" s="1"/>
  <c r="AD585" i="9"/>
  <c r="AI585" i="9" s="1"/>
  <c r="AD593" i="9"/>
  <c r="AI593" i="9" s="1"/>
  <c r="AD601" i="9"/>
  <c r="AI601" i="9" s="1"/>
  <c r="AD609" i="9"/>
  <c r="AI609" i="9" s="1"/>
  <c r="AD617" i="9"/>
  <c r="AI617" i="9" s="1"/>
  <c r="AD625" i="9"/>
  <c r="AI625" i="9" s="1"/>
  <c r="AD633" i="9"/>
  <c r="AI633" i="9" s="1"/>
  <c r="AD641" i="9"/>
  <c r="AI641" i="9" s="1"/>
  <c r="AD649" i="9"/>
  <c r="AI649" i="9" s="1"/>
  <c r="AD657" i="9"/>
  <c r="AI657" i="9" s="1"/>
  <c r="AD665" i="9"/>
  <c r="AI665" i="9" s="1"/>
  <c r="AD673" i="9"/>
  <c r="AI673" i="9" s="1"/>
  <c r="AD681" i="9"/>
  <c r="AI681" i="9" s="1"/>
  <c r="AD689" i="9"/>
  <c r="AI689" i="9" s="1"/>
  <c r="AD697" i="9"/>
  <c r="AI697" i="9" s="1"/>
  <c r="AD705" i="9"/>
  <c r="AI705" i="9" s="1"/>
  <c r="AD713" i="9"/>
  <c r="AI713" i="9" s="1"/>
  <c r="AD721" i="9"/>
  <c r="AI721" i="9" s="1"/>
  <c r="AD729" i="9"/>
  <c r="AI729" i="9" s="1"/>
  <c r="AD737" i="9"/>
  <c r="AI737" i="9" s="1"/>
  <c r="AD745" i="9"/>
  <c r="AI745" i="9" s="1"/>
  <c r="AD753" i="9"/>
  <c r="AI753" i="9" s="1"/>
  <c r="AD761" i="9"/>
  <c r="AI761" i="9" s="1"/>
  <c r="AD769" i="9"/>
  <c r="AI769" i="9" s="1"/>
  <c r="AD777" i="9"/>
  <c r="AI777" i="9" s="1"/>
  <c r="AD785" i="9"/>
  <c r="AI785" i="9" s="1"/>
  <c r="AD793" i="9"/>
  <c r="AI793" i="9" s="1"/>
  <c r="AD801" i="9"/>
  <c r="AI801" i="9" s="1"/>
  <c r="AD809" i="9"/>
  <c r="AI809" i="9" s="1"/>
  <c r="AD817" i="9"/>
  <c r="AI817" i="9" s="1"/>
  <c r="AD825" i="9"/>
  <c r="AI825" i="9" s="1"/>
  <c r="AD833" i="9"/>
  <c r="AI833" i="9" s="1"/>
  <c r="AD50" i="9"/>
  <c r="AI50" i="9" s="1"/>
  <c r="AD114" i="9"/>
  <c r="AI114" i="9" s="1"/>
  <c r="AD178" i="9"/>
  <c r="AI178" i="9" s="1"/>
  <c r="AD242" i="9"/>
  <c r="AI242" i="9" s="1"/>
  <c r="AD299" i="9"/>
  <c r="AI299" i="9" s="1"/>
  <c r="AD328" i="9"/>
  <c r="AI328" i="9" s="1"/>
  <c r="AD397" i="9"/>
  <c r="AI397" i="9" s="1"/>
  <c r="AD413" i="9"/>
  <c r="AI413" i="9" s="1"/>
  <c r="AD447" i="9"/>
  <c r="AI447" i="9" s="1"/>
  <c r="AD461" i="9"/>
  <c r="AI461" i="9" s="1"/>
  <c r="AD465" i="9"/>
  <c r="AI465" i="9" s="1"/>
  <c r="AD479" i="9"/>
  <c r="AI479" i="9" s="1"/>
  <c r="AD489" i="9"/>
  <c r="AI489" i="9" s="1"/>
  <c r="AD492" i="9"/>
  <c r="AI492" i="9" s="1"/>
  <c r="AD500" i="9"/>
  <c r="AI500" i="9" s="1"/>
  <c r="AD508" i="9"/>
  <c r="AI508" i="9" s="1"/>
  <c r="AD516" i="9"/>
  <c r="AI516" i="9" s="1"/>
  <c r="AD524" i="9"/>
  <c r="AI524" i="9" s="1"/>
  <c r="AD532" i="9"/>
  <c r="AI532" i="9" s="1"/>
  <c r="AD540" i="9"/>
  <c r="AI540" i="9" s="1"/>
  <c r="AD548" i="9"/>
  <c r="AI548" i="9" s="1"/>
  <c r="AD556" i="9"/>
  <c r="AI556" i="9" s="1"/>
  <c r="AD564" i="9"/>
  <c r="AI564" i="9" s="1"/>
  <c r="AD572" i="9"/>
  <c r="AI572" i="9" s="1"/>
  <c r="AD580" i="9"/>
  <c r="AI580" i="9" s="1"/>
  <c r="AD588" i="9"/>
  <c r="AI588" i="9" s="1"/>
  <c r="AD596" i="9"/>
  <c r="AI596" i="9" s="1"/>
  <c r="AD604" i="9"/>
  <c r="AI604" i="9" s="1"/>
  <c r="AD612" i="9"/>
  <c r="AI612" i="9" s="1"/>
  <c r="AD620" i="9"/>
  <c r="AI620" i="9" s="1"/>
  <c r="AD628" i="9"/>
  <c r="AI628" i="9" s="1"/>
  <c r="AD636" i="9"/>
  <c r="AI636" i="9" s="1"/>
  <c r="AD644" i="9"/>
  <c r="AI644" i="9" s="1"/>
  <c r="AD652" i="9"/>
  <c r="AI652" i="9" s="1"/>
  <c r="AD660" i="9"/>
  <c r="AI660" i="9" s="1"/>
  <c r="AD668" i="9"/>
  <c r="AI668" i="9" s="1"/>
  <c r="AD676" i="9"/>
  <c r="AI676" i="9" s="1"/>
  <c r="AD684" i="9"/>
  <c r="AI684" i="9" s="1"/>
  <c r="AD692" i="9"/>
  <c r="AI692" i="9" s="1"/>
  <c r="AD700" i="9"/>
  <c r="AI700" i="9" s="1"/>
  <c r="AD708" i="9"/>
  <c r="AI708" i="9" s="1"/>
  <c r="AD716" i="9"/>
  <c r="AI716" i="9" s="1"/>
  <c r="AD724" i="9"/>
  <c r="AI724" i="9" s="1"/>
  <c r="AD732" i="9"/>
  <c r="AI732" i="9" s="1"/>
  <c r="AD740" i="9"/>
  <c r="AI740" i="9" s="1"/>
  <c r="AD748" i="9"/>
  <c r="AI748" i="9" s="1"/>
  <c r="AD756" i="9"/>
  <c r="AI756" i="9" s="1"/>
  <c r="AD58" i="9"/>
  <c r="AI58" i="9" s="1"/>
  <c r="AD122" i="9"/>
  <c r="AI122" i="9" s="1"/>
  <c r="AD186" i="9"/>
  <c r="AI186" i="9" s="1"/>
  <c r="AD373" i="9"/>
  <c r="AI373" i="9" s="1"/>
  <c r="AD423" i="9"/>
  <c r="AI423" i="9" s="1"/>
  <c r="AD444" i="9"/>
  <c r="AI444" i="9" s="1"/>
  <c r="AD458" i="9"/>
  <c r="AI458" i="9" s="1"/>
  <c r="AD476" i="9"/>
  <c r="AI476" i="9" s="1"/>
  <c r="AD495" i="9"/>
  <c r="AI495" i="9" s="1"/>
  <c r="AD503" i="9"/>
  <c r="AI503" i="9" s="1"/>
  <c r="AD511" i="9"/>
  <c r="AI511" i="9" s="1"/>
  <c r="AD519" i="9"/>
  <c r="AI519" i="9" s="1"/>
  <c r="AD527" i="9"/>
  <c r="AI527" i="9" s="1"/>
  <c r="AD535" i="9"/>
  <c r="AI535" i="9" s="1"/>
  <c r="AD543" i="9"/>
  <c r="AI543" i="9" s="1"/>
  <c r="AD551" i="9"/>
  <c r="AI551" i="9" s="1"/>
  <c r="AD559" i="9"/>
  <c r="AI559" i="9" s="1"/>
  <c r="AD567" i="9"/>
  <c r="AI567" i="9" s="1"/>
  <c r="AD575" i="9"/>
  <c r="AI575" i="9" s="1"/>
  <c r="AD583" i="9"/>
  <c r="AI583" i="9" s="1"/>
  <c r="AD591" i="9"/>
  <c r="AI591" i="9" s="1"/>
  <c r="AD599" i="9"/>
  <c r="AI599" i="9" s="1"/>
  <c r="AD607" i="9"/>
  <c r="AI607" i="9" s="1"/>
  <c r="AD615" i="9"/>
  <c r="AI615" i="9" s="1"/>
  <c r="AD623" i="9"/>
  <c r="AI623" i="9" s="1"/>
  <c r="AD631" i="9"/>
  <c r="AI631" i="9" s="1"/>
  <c r="AD639" i="9"/>
  <c r="AI639" i="9" s="1"/>
  <c r="AD647" i="9"/>
  <c r="AI647" i="9" s="1"/>
  <c r="AD655" i="9"/>
  <c r="AI655" i="9" s="1"/>
  <c r="AD663" i="9"/>
  <c r="AI663" i="9" s="1"/>
  <c r="AD671" i="9"/>
  <c r="AI671" i="9" s="1"/>
  <c r="AD679" i="9"/>
  <c r="AI679" i="9" s="1"/>
  <c r="AD687" i="9"/>
  <c r="AI687" i="9" s="1"/>
  <c r="AD695" i="9"/>
  <c r="AI695" i="9" s="1"/>
  <c r="AD703" i="9"/>
  <c r="AI703" i="9" s="1"/>
  <c r="AD711" i="9"/>
  <c r="AI711" i="9" s="1"/>
  <c r="AD719" i="9"/>
  <c r="AI719" i="9" s="1"/>
  <c r="AD727" i="9"/>
  <c r="AI727" i="9" s="1"/>
  <c r="AD735" i="9"/>
  <c r="AI735" i="9" s="1"/>
  <c r="AD743" i="9"/>
  <c r="AI743" i="9" s="1"/>
  <c r="AD751" i="9"/>
  <c r="AI751" i="9" s="1"/>
  <c r="AD759" i="9"/>
  <c r="AI759" i="9" s="1"/>
  <c r="AD66" i="9"/>
  <c r="AI66" i="9" s="1"/>
  <c r="AD130" i="9"/>
  <c r="AI130" i="9" s="1"/>
  <c r="AD194" i="9"/>
  <c r="AI194" i="9" s="1"/>
  <c r="AD280" i="9"/>
  <c r="AI280" i="9" s="1"/>
  <c r="AD315" i="9"/>
  <c r="AI315" i="9" s="1"/>
  <c r="AD455" i="9"/>
  <c r="AI455" i="9" s="1"/>
  <c r="AD469" i="9"/>
  <c r="AI469" i="9" s="1"/>
  <c r="AD473" i="9"/>
  <c r="AI473" i="9" s="1"/>
  <c r="AD483" i="9"/>
  <c r="AI483" i="9" s="1"/>
  <c r="AD498" i="9"/>
  <c r="AI498" i="9" s="1"/>
  <c r="AD506" i="9"/>
  <c r="AI506" i="9" s="1"/>
  <c r="AD514" i="9"/>
  <c r="AI514" i="9" s="1"/>
  <c r="AD522" i="9"/>
  <c r="AI522" i="9" s="1"/>
  <c r="AD530" i="9"/>
  <c r="AI530" i="9" s="1"/>
  <c r="AD538" i="9"/>
  <c r="AI538" i="9" s="1"/>
  <c r="AD546" i="9"/>
  <c r="AI546" i="9" s="1"/>
  <c r="AD554" i="9"/>
  <c r="AI554" i="9" s="1"/>
  <c r="AD562" i="9"/>
  <c r="AI562" i="9" s="1"/>
  <c r="AD570" i="9"/>
  <c r="AI570" i="9" s="1"/>
  <c r="AD578" i="9"/>
  <c r="AI578" i="9" s="1"/>
  <c r="AD586" i="9"/>
  <c r="AI586" i="9" s="1"/>
  <c r="AD594" i="9"/>
  <c r="AI594" i="9" s="1"/>
  <c r="AD602" i="9"/>
  <c r="AI602" i="9" s="1"/>
  <c r="AD610" i="9"/>
  <c r="AI610" i="9" s="1"/>
  <c r="AD618" i="9"/>
  <c r="AI618" i="9" s="1"/>
  <c r="AD626" i="9"/>
  <c r="AI626" i="9" s="1"/>
  <c r="AD634" i="9"/>
  <c r="AI634" i="9" s="1"/>
  <c r="AD642" i="9"/>
  <c r="AI642" i="9" s="1"/>
  <c r="AD650" i="9"/>
  <c r="AI650" i="9" s="1"/>
  <c r="AD658" i="9"/>
  <c r="AI658" i="9" s="1"/>
  <c r="AD666" i="9"/>
  <c r="AI666" i="9" s="1"/>
  <c r="AD674" i="9"/>
  <c r="AI674" i="9" s="1"/>
  <c r="AD682" i="9"/>
  <c r="AI682" i="9" s="1"/>
  <c r="AD690" i="9"/>
  <c r="AI690" i="9" s="1"/>
  <c r="AD698" i="9"/>
  <c r="AI698" i="9" s="1"/>
  <c r="AD706" i="9"/>
  <c r="AI706" i="9" s="1"/>
  <c r="AD714" i="9"/>
  <c r="AI714" i="9" s="1"/>
  <c r="AD722" i="9"/>
  <c r="AI722" i="9" s="1"/>
  <c r="AD730" i="9"/>
  <c r="AI730" i="9" s="1"/>
  <c r="AD738" i="9"/>
  <c r="AI738" i="9" s="1"/>
  <c r="AD746" i="9"/>
  <c r="AI746" i="9" s="1"/>
  <c r="AD74" i="9"/>
  <c r="AI74" i="9" s="1"/>
  <c r="AD138" i="9"/>
  <c r="AI138" i="9" s="1"/>
  <c r="AD202" i="9"/>
  <c r="AI202" i="9" s="1"/>
  <c r="AD349" i="9"/>
  <c r="AI349" i="9" s="1"/>
  <c r="AD381" i="9"/>
  <c r="AI381" i="9" s="1"/>
  <c r="AD399" i="9"/>
  <c r="AI399" i="9" s="1"/>
  <c r="AD415" i="9"/>
  <c r="AI415" i="9" s="1"/>
  <c r="AD429" i="9"/>
  <c r="AI429" i="9" s="1"/>
  <c r="AD433" i="9"/>
  <c r="AI433" i="9" s="1"/>
  <c r="AD437" i="9"/>
  <c r="AI437" i="9" s="1"/>
  <c r="AD441" i="9"/>
  <c r="AI441" i="9" s="1"/>
  <c r="AD452" i="9"/>
  <c r="AI452" i="9" s="1"/>
  <c r="AD466" i="9"/>
  <c r="AI466" i="9" s="1"/>
  <c r="AD487" i="9"/>
  <c r="AI487" i="9" s="1"/>
  <c r="AD490" i="9"/>
  <c r="AI490" i="9" s="1"/>
  <c r="AD493" i="9"/>
  <c r="AI493" i="9" s="1"/>
  <c r="AD501" i="9"/>
  <c r="AI501" i="9" s="1"/>
  <c r="AD509" i="9"/>
  <c r="AI509" i="9" s="1"/>
  <c r="AD517" i="9"/>
  <c r="AI517" i="9" s="1"/>
  <c r="AD525" i="9"/>
  <c r="AI525" i="9" s="1"/>
  <c r="AD533" i="9"/>
  <c r="AI533" i="9" s="1"/>
  <c r="AD541" i="9"/>
  <c r="AI541" i="9" s="1"/>
  <c r="AD549" i="9"/>
  <c r="AI549" i="9" s="1"/>
  <c r="AD557" i="9"/>
  <c r="AI557" i="9" s="1"/>
  <c r="AD565" i="9"/>
  <c r="AI565" i="9" s="1"/>
  <c r="AD573" i="9"/>
  <c r="AI573" i="9" s="1"/>
  <c r="AD581" i="9"/>
  <c r="AI581" i="9" s="1"/>
  <c r="AD589" i="9"/>
  <c r="AI589" i="9" s="1"/>
  <c r="AD597" i="9"/>
  <c r="AI597" i="9" s="1"/>
  <c r="AD605" i="9"/>
  <c r="AI605" i="9" s="1"/>
  <c r="AD613" i="9"/>
  <c r="AI613" i="9" s="1"/>
  <c r="AD621" i="9"/>
  <c r="AI621" i="9" s="1"/>
  <c r="AD629" i="9"/>
  <c r="AI629" i="9" s="1"/>
  <c r="AD637" i="9"/>
  <c r="AI637" i="9" s="1"/>
  <c r="AD645" i="9"/>
  <c r="AI645" i="9" s="1"/>
  <c r="AD653" i="9"/>
  <c r="AI653" i="9" s="1"/>
  <c r="AD661" i="9"/>
  <c r="AI661" i="9" s="1"/>
  <c r="AD82" i="9"/>
  <c r="AI82" i="9" s="1"/>
  <c r="AD146" i="9"/>
  <c r="AI146" i="9" s="1"/>
  <c r="AD210" i="9"/>
  <c r="AI210" i="9" s="1"/>
  <c r="AD253" i="9"/>
  <c r="AI253" i="9" s="1"/>
  <c r="AD267" i="9"/>
  <c r="AI267" i="9" s="1"/>
  <c r="AD296" i="9"/>
  <c r="AI296" i="9" s="1"/>
  <c r="AD331" i="9"/>
  <c r="AI331" i="9" s="1"/>
  <c r="AD405" i="9"/>
  <c r="AI405" i="9" s="1"/>
  <c r="AD425" i="9"/>
  <c r="AI425" i="9" s="1"/>
  <c r="AD445" i="9"/>
  <c r="AI445" i="9" s="1"/>
  <c r="AD449" i="9"/>
  <c r="AI449" i="9" s="1"/>
  <c r="AD463" i="9"/>
  <c r="AI463" i="9" s="1"/>
  <c r="AD477" i="9"/>
  <c r="AI477" i="9" s="1"/>
  <c r="AD481" i="9"/>
  <c r="AI481" i="9" s="1"/>
  <c r="AD484" i="9"/>
  <c r="AI484" i="9" s="1"/>
  <c r="AD496" i="9"/>
  <c r="AI496" i="9" s="1"/>
  <c r="AD504" i="9"/>
  <c r="AI504" i="9" s="1"/>
  <c r="AD512" i="9"/>
  <c r="AI512" i="9" s="1"/>
  <c r="AD520" i="9"/>
  <c r="AI520" i="9" s="1"/>
  <c r="AD528" i="9"/>
  <c r="AI528" i="9" s="1"/>
  <c r="AD536" i="9"/>
  <c r="AI536" i="9" s="1"/>
  <c r="AD544" i="9"/>
  <c r="AI544" i="9" s="1"/>
  <c r="AD552" i="9"/>
  <c r="AI552" i="9" s="1"/>
  <c r="AD560" i="9"/>
  <c r="AI560" i="9" s="1"/>
  <c r="AD568" i="9"/>
  <c r="AI568" i="9" s="1"/>
  <c r="AD576" i="9"/>
  <c r="AI576" i="9" s="1"/>
  <c r="AD584" i="9"/>
  <c r="AI584" i="9" s="1"/>
  <c r="AD592" i="9"/>
  <c r="AI592" i="9" s="1"/>
  <c r="AD600" i="9"/>
  <c r="AI600" i="9" s="1"/>
  <c r="AD608" i="9"/>
  <c r="AI608" i="9" s="1"/>
  <c r="AD616" i="9"/>
  <c r="AI616" i="9" s="1"/>
  <c r="AD624" i="9"/>
  <c r="AI624" i="9" s="1"/>
  <c r="AD632" i="9"/>
  <c r="AI632" i="9" s="1"/>
  <c r="AD640" i="9"/>
  <c r="AI640" i="9" s="1"/>
  <c r="AD648" i="9"/>
  <c r="AI648" i="9" s="1"/>
  <c r="AD656" i="9"/>
  <c r="AI656" i="9" s="1"/>
  <c r="AD664" i="9"/>
  <c r="AI664" i="9" s="1"/>
  <c r="AD90" i="9"/>
  <c r="AI90" i="9" s="1"/>
  <c r="AD154" i="9"/>
  <c r="AI154" i="9" s="1"/>
  <c r="AD218" i="9"/>
  <c r="AI218" i="9" s="1"/>
  <c r="AD357" i="9"/>
  <c r="AI357" i="9" s="1"/>
  <c r="AD389" i="9"/>
  <c r="AI389" i="9" s="1"/>
  <c r="AD421" i="9"/>
  <c r="AI421" i="9" s="1"/>
  <c r="AD434" i="9"/>
  <c r="AI434" i="9" s="1"/>
  <c r="AD442" i="9"/>
  <c r="AI442" i="9" s="1"/>
  <c r="AD460" i="9"/>
  <c r="AI460" i="9" s="1"/>
  <c r="AD474" i="9"/>
  <c r="AI474" i="9" s="1"/>
  <c r="AD499" i="9"/>
  <c r="AI499" i="9" s="1"/>
  <c r="AD507" i="9"/>
  <c r="AI507" i="9" s="1"/>
  <c r="AD515" i="9"/>
  <c r="AI515" i="9" s="1"/>
  <c r="AD523" i="9"/>
  <c r="AI523" i="9" s="1"/>
  <c r="AD531" i="9"/>
  <c r="AI531" i="9" s="1"/>
  <c r="AD539" i="9"/>
  <c r="AI539" i="9" s="1"/>
  <c r="AD162" i="9"/>
  <c r="AI162" i="9" s="1"/>
  <c r="AD752" i="9"/>
  <c r="AI752" i="9" s="1"/>
  <c r="AD774" i="9"/>
  <c r="AI774" i="9" s="1"/>
  <c r="AD780" i="9"/>
  <c r="AI780" i="9" s="1"/>
  <c r="AD783" i="9"/>
  <c r="AI783" i="9" s="1"/>
  <c r="AD786" i="9"/>
  <c r="AI786" i="9" s="1"/>
  <c r="AD806" i="9"/>
  <c r="AI806" i="9" s="1"/>
  <c r="AD812" i="9"/>
  <c r="AI812" i="9" s="1"/>
  <c r="AD815" i="9"/>
  <c r="AI815" i="9" s="1"/>
  <c r="AD818" i="9"/>
  <c r="AI818" i="9" s="1"/>
  <c r="AD838" i="9"/>
  <c r="AI838" i="9" s="1"/>
  <c r="AD841" i="9"/>
  <c r="AI841" i="9" s="1"/>
  <c r="AD849" i="9"/>
  <c r="AI849" i="9" s="1"/>
  <c r="AD857" i="9"/>
  <c r="AI857" i="9" s="1"/>
  <c r="AD865" i="9"/>
  <c r="AI865" i="9" s="1"/>
  <c r="AD873" i="9"/>
  <c r="AI873" i="9" s="1"/>
  <c r="AD881" i="9"/>
  <c r="AI881" i="9" s="1"/>
  <c r="AD889" i="9"/>
  <c r="AI889" i="9" s="1"/>
  <c r="AD897" i="9"/>
  <c r="AI897" i="9" s="1"/>
  <c r="AD905" i="9"/>
  <c r="AI905" i="9" s="1"/>
  <c r="AD913" i="9"/>
  <c r="AI913" i="9" s="1"/>
  <c r="AD921" i="9"/>
  <c r="AI921" i="9" s="1"/>
  <c r="AD929" i="9"/>
  <c r="AI929" i="9" s="1"/>
  <c r="AD937" i="9"/>
  <c r="AI937" i="9" s="1"/>
  <c r="AD945" i="9"/>
  <c r="AI945" i="9" s="1"/>
  <c r="AD953" i="9"/>
  <c r="AI953" i="9" s="1"/>
  <c r="AD961" i="9"/>
  <c r="AI961" i="9" s="1"/>
  <c r="AD969" i="9"/>
  <c r="AI969" i="9" s="1"/>
  <c r="AD977" i="9"/>
  <c r="AI977" i="9" s="1"/>
  <c r="AD985" i="9"/>
  <c r="AI985" i="9" s="1"/>
  <c r="AD993" i="9"/>
  <c r="AI993" i="9" s="1"/>
  <c r="AD1001" i="9"/>
  <c r="AI1001" i="9" s="1"/>
  <c r="AD226" i="9"/>
  <c r="AI226" i="9" s="1"/>
  <c r="AD312" i="9"/>
  <c r="AI312" i="9" s="1"/>
  <c r="AD502" i="9"/>
  <c r="AI502" i="9" s="1"/>
  <c r="AD534" i="9"/>
  <c r="AI534" i="9" s="1"/>
  <c r="AD677" i="9"/>
  <c r="AI677" i="9" s="1"/>
  <c r="AD685" i="9"/>
  <c r="AI685" i="9" s="1"/>
  <c r="AD693" i="9"/>
  <c r="AI693" i="9" s="1"/>
  <c r="AD701" i="9"/>
  <c r="AI701" i="9" s="1"/>
  <c r="AD709" i="9"/>
  <c r="AI709" i="9" s="1"/>
  <c r="AD717" i="9"/>
  <c r="AI717" i="9" s="1"/>
  <c r="AD725" i="9"/>
  <c r="AI725" i="9" s="1"/>
  <c r="AD733" i="9"/>
  <c r="AI733" i="9" s="1"/>
  <c r="AD741" i="9"/>
  <c r="AI741" i="9" s="1"/>
  <c r="AD749" i="9"/>
  <c r="AI749" i="9" s="1"/>
  <c r="AD763" i="9"/>
  <c r="AI763" i="9" s="1"/>
  <c r="AD789" i="9"/>
  <c r="AI789" i="9" s="1"/>
  <c r="AD792" i="9"/>
  <c r="AI792" i="9" s="1"/>
  <c r="AD795" i="9"/>
  <c r="AI795" i="9" s="1"/>
  <c r="AD821" i="9"/>
  <c r="AI821" i="9" s="1"/>
  <c r="AD824" i="9"/>
  <c r="AI824" i="9" s="1"/>
  <c r="AD827" i="9"/>
  <c r="AI827" i="9" s="1"/>
  <c r="AD844" i="9"/>
  <c r="AI844" i="9" s="1"/>
  <c r="AD852" i="9"/>
  <c r="AI852" i="9" s="1"/>
  <c r="AD860" i="9"/>
  <c r="AI860" i="9" s="1"/>
  <c r="AD868" i="9"/>
  <c r="AI868" i="9" s="1"/>
  <c r="AD876" i="9"/>
  <c r="AI876" i="9" s="1"/>
  <c r="AD884" i="9"/>
  <c r="AI884" i="9" s="1"/>
  <c r="AD892" i="9"/>
  <c r="AI892" i="9" s="1"/>
  <c r="AD900" i="9"/>
  <c r="AI900" i="9" s="1"/>
  <c r="AD908" i="9"/>
  <c r="AI908" i="9" s="1"/>
  <c r="AD916" i="9"/>
  <c r="AI916" i="9" s="1"/>
  <c r="AD924" i="9"/>
  <c r="AI924" i="9" s="1"/>
  <c r="AD932" i="9"/>
  <c r="AI932" i="9" s="1"/>
  <c r="AD940" i="9"/>
  <c r="AI940" i="9" s="1"/>
  <c r="AD948" i="9"/>
  <c r="AI948" i="9" s="1"/>
  <c r="AD956" i="9"/>
  <c r="AI956" i="9" s="1"/>
  <c r="AD964" i="9"/>
  <c r="AI964" i="9" s="1"/>
  <c r="AD972" i="9"/>
  <c r="AI972" i="9" s="1"/>
  <c r="AD980" i="9"/>
  <c r="AI980" i="9" s="1"/>
  <c r="AD988" i="9"/>
  <c r="AI988" i="9" s="1"/>
  <c r="AD996" i="9"/>
  <c r="AI996" i="9" s="1"/>
  <c r="AD1004" i="9"/>
  <c r="AI1004" i="9" s="1"/>
  <c r="AD547" i="9"/>
  <c r="AI547" i="9" s="1"/>
  <c r="AD563" i="9"/>
  <c r="AI563" i="9" s="1"/>
  <c r="AD579" i="9"/>
  <c r="AI579" i="9" s="1"/>
  <c r="AD595" i="9"/>
  <c r="AI595" i="9" s="1"/>
  <c r="AD611" i="9"/>
  <c r="AI611" i="9" s="1"/>
  <c r="AD627" i="9"/>
  <c r="AI627" i="9" s="1"/>
  <c r="AD643" i="9"/>
  <c r="AI643" i="9" s="1"/>
  <c r="AD659" i="9"/>
  <c r="AI659" i="9" s="1"/>
  <c r="AD669" i="9"/>
  <c r="AI669" i="9" s="1"/>
  <c r="AD760" i="9"/>
  <c r="AI760" i="9" s="1"/>
  <c r="AD766" i="9"/>
  <c r="AI766" i="9" s="1"/>
  <c r="AD772" i="9"/>
  <c r="AI772" i="9" s="1"/>
  <c r="AD775" i="9"/>
  <c r="AI775" i="9" s="1"/>
  <c r="AD778" i="9"/>
  <c r="AI778" i="9" s="1"/>
  <c r="AD798" i="9"/>
  <c r="AI798" i="9" s="1"/>
  <c r="AD804" i="9"/>
  <c r="AI804" i="9" s="1"/>
  <c r="AD807" i="9"/>
  <c r="AI807" i="9" s="1"/>
  <c r="AD810" i="9"/>
  <c r="AI810" i="9" s="1"/>
  <c r="AD830" i="9"/>
  <c r="AI830" i="9" s="1"/>
  <c r="AD836" i="9"/>
  <c r="AI836" i="9" s="1"/>
  <c r="AD839" i="9"/>
  <c r="AI839" i="9" s="1"/>
  <c r="AD847" i="9"/>
  <c r="AI847" i="9" s="1"/>
  <c r="AD855" i="9"/>
  <c r="AI855" i="9" s="1"/>
  <c r="AD863" i="9"/>
  <c r="AI863" i="9" s="1"/>
  <c r="AD871" i="9"/>
  <c r="AI871" i="9" s="1"/>
  <c r="AD879" i="9"/>
  <c r="AI879" i="9" s="1"/>
  <c r="AD887" i="9"/>
  <c r="AI887" i="9" s="1"/>
  <c r="AD895" i="9"/>
  <c r="AI895" i="9" s="1"/>
  <c r="AD903" i="9"/>
  <c r="AI903" i="9" s="1"/>
  <c r="AD911" i="9"/>
  <c r="AI911" i="9" s="1"/>
  <c r="AD919" i="9"/>
  <c r="AI919" i="9" s="1"/>
  <c r="AD927" i="9"/>
  <c r="AI927" i="9" s="1"/>
  <c r="AD935" i="9"/>
  <c r="AI935" i="9" s="1"/>
  <c r="AD943" i="9"/>
  <c r="AI943" i="9" s="1"/>
  <c r="AD951" i="9"/>
  <c r="AI951" i="9" s="1"/>
  <c r="AD959" i="9"/>
  <c r="AI959" i="9" s="1"/>
  <c r="AD967" i="9"/>
  <c r="AI967" i="9" s="1"/>
  <c r="AD975" i="9"/>
  <c r="AI975" i="9" s="1"/>
  <c r="AD983" i="9"/>
  <c r="AI983" i="9" s="1"/>
  <c r="AD991" i="9"/>
  <c r="AI991" i="9" s="1"/>
  <c r="AD999" i="9"/>
  <c r="AI999" i="9" s="1"/>
  <c r="AD283" i="9"/>
  <c r="AI283" i="9" s="1"/>
  <c r="AD457" i="9"/>
  <c r="AI457" i="9" s="1"/>
  <c r="AD471" i="9"/>
  <c r="AI471" i="9" s="1"/>
  <c r="AD491" i="9"/>
  <c r="AI491" i="9" s="1"/>
  <c r="AD510" i="9"/>
  <c r="AI510" i="9" s="1"/>
  <c r="AD542" i="9"/>
  <c r="AI542" i="9" s="1"/>
  <c r="AD558" i="9"/>
  <c r="AI558" i="9" s="1"/>
  <c r="AD574" i="9"/>
  <c r="AI574" i="9" s="1"/>
  <c r="AD590" i="9"/>
  <c r="AI590" i="9" s="1"/>
  <c r="AD606" i="9"/>
  <c r="AI606" i="9" s="1"/>
  <c r="AD622" i="9"/>
  <c r="AI622" i="9" s="1"/>
  <c r="AD638" i="9"/>
  <c r="AI638" i="9" s="1"/>
  <c r="AD654" i="9"/>
  <c r="AI654" i="9" s="1"/>
  <c r="AD757" i="9"/>
  <c r="AI757" i="9" s="1"/>
  <c r="AD781" i="9"/>
  <c r="AI781" i="9" s="1"/>
  <c r="AD784" i="9"/>
  <c r="AI784" i="9" s="1"/>
  <c r="AD787" i="9"/>
  <c r="AI787" i="9" s="1"/>
  <c r="AD813" i="9"/>
  <c r="AI813" i="9" s="1"/>
  <c r="AD816" i="9"/>
  <c r="AI816" i="9" s="1"/>
  <c r="AD819" i="9"/>
  <c r="AI819" i="9" s="1"/>
  <c r="AD842" i="9"/>
  <c r="AI842" i="9" s="1"/>
  <c r="AD850" i="9"/>
  <c r="AI850" i="9" s="1"/>
  <c r="AD858" i="9"/>
  <c r="AI858" i="9" s="1"/>
  <c r="AD866" i="9"/>
  <c r="AI866" i="9" s="1"/>
  <c r="AD874" i="9"/>
  <c r="AI874" i="9" s="1"/>
  <c r="AD882" i="9"/>
  <c r="AI882" i="9" s="1"/>
  <c r="AD890" i="9"/>
  <c r="AI890" i="9" s="1"/>
  <c r="AD898" i="9"/>
  <c r="AI898" i="9" s="1"/>
  <c r="AD906" i="9"/>
  <c r="AI906" i="9" s="1"/>
  <c r="AD914" i="9"/>
  <c r="AI914" i="9" s="1"/>
  <c r="AD922" i="9"/>
  <c r="AI922" i="9" s="1"/>
  <c r="AD930" i="9"/>
  <c r="AI930" i="9" s="1"/>
  <c r="AD938" i="9"/>
  <c r="AI938" i="9" s="1"/>
  <c r="AD946" i="9"/>
  <c r="AI946" i="9" s="1"/>
  <c r="AD954" i="9"/>
  <c r="AI954" i="9" s="1"/>
  <c r="AD962" i="9"/>
  <c r="AI962" i="9" s="1"/>
  <c r="AD970" i="9"/>
  <c r="AI970" i="9" s="1"/>
  <c r="AD978" i="9"/>
  <c r="AI978" i="9" s="1"/>
  <c r="AD986" i="9"/>
  <c r="AI986" i="9" s="1"/>
  <c r="AD670" i="9"/>
  <c r="AI670" i="9" s="1"/>
  <c r="AD678" i="9"/>
  <c r="AI678" i="9" s="1"/>
  <c r="AD686" i="9"/>
  <c r="AI686" i="9" s="1"/>
  <c r="AD694" i="9"/>
  <c r="AI694" i="9" s="1"/>
  <c r="AD702" i="9"/>
  <c r="AI702" i="9" s="1"/>
  <c r="AD710" i="9"/>
  <c r="AI710" i="9" s="1"/>
  <c r="AD718" i="9"/>
  <c r="AI718" i="9" s="1"/>
  <c r="AD726" i="9"/>
  <c r="AI726" i="9" s="1"/>
  <c r="AD734" i="9"/>
  <c r="AI734" i="9" s="1"/>
  <c r="AD742" i="9"/>
  <c r="AI742" i="9" s="1"/>
  <c r="AD750" i="9"/>
  <c r="AI750" i="9" s="1"/>
  <c r="AD754" i="9"/>
  <c r="AI754" i="9" s="1"/>
  <c r="AD764" i="9"/>
  <c r="AI764" i="9" s="1"/>
  <c r="AD767" i="9"/>
  <c r="AI767" i="9" s="1"/>
  <c r="AD770" i="9"/>
  <c r="AI770" i="9" s="1"/>
  <c r="AD790" i="9"/>
  <c r="AI790" i="9" s="1"/>
  <c r="AD796" i="9"/>
  <c r="AI796" i="9" s="1"/>
  <c r="AD799" i="9"/>
  <c r="AI799" i="9" s="1"/>
  <c r="AD802" i="9"/>
  <c r="AI802" i="9" s="1"/>
  <c r="AD822" i="9"/>
  <c r="AI822" i="9" s="1"/>
  <c r="AD828" i="9"/>
  <c r="AI828" i="9" s="1"/>
  <c r="AD831" i="9"/>
  <c r="AI831" i="9" s="1"/>
  <c r="AD834" i="9"/>
  <c r="AI834" i="9" s="1"/>
  <c r="AD845" i="9"/>
  <c r="AI845" i="9" s="1"/>
  <c r="AD853" i="9"/>
  <c r="AI853" i="9" s="1"/>
  <c r="AD861" i="9"/>
  <c r="AI861" i="9" s="1"/>
  <c r="AD869" i="9"/>
  <c r="AI869" i="9" s="1"/>
  <c r="AD877" i="9"/>
  <c r="AI877" i="9" s="1"/>
  <c r="AD885" i="9"/>
  <c r="AI885" i="9" s="1"/>
  <c r="AD893" i="9"/>
  <c r="AI893" i="9" s="1"/>
  <c r="AD901" i="9"/>
  <c r="AI901" i="9" s="1"/>
  <c r="AD909" i="9"/>
  <c r="AI909" i="9" s="1"/>
  <c r="AD917" i="9"/>
  <c r="AI917" i="9" s="1"/>
  <c r="AD925" i="9"/>
  <c r="AI925" i="9" s="1"/>
  <c r="AD933" i="9"/>
  <c r="AI933" i="9" s="1"/>
  <c r="AD941" i="9"/>
  <c r="AI941" i="9" s="1"/>
  <c r="AD949" i="9"/>
  <c r="AI949" i="9" s="1"/>
  <c r="AD957" i="9"/>
  <c r="AI957" i="9" s="1"/>
  <c r="AD965" i="9"/>
  <c r="AI965" i="9" s="1"/>
  <c r="AD973" i="9"/>
  <c r="AI973" i="9" s="1"/>
  <c r="AD981" i="9"/>
  <c r="AI981" i="9" s="1"/>
  <c r="AD989" i="9"/>
  <c r="AI989" i="9" s="1"/>
  <c r="AD997" i="9"/>
  <c r="AI997" i="9" s="1"/>
  <c r="AD1005" i="9"/>
  <c r="AI1005" i="9" s="1"/>
  <c r="AD417" i="9"/>
  <c r="AI417" i="9" s="1"/>
  <c r="AD518" i="9"/>
  <c r="AI518" i="9" s="1"/>
  <c r="AD675" i="9"/>
  <c r="AI675" i="9" s="1"/>
  <c r="AD683" i="9"/>
  <c r="AI683" i="9" s="1"/>
  <c r="AD691" i="9"/>
  <c r="AI691" i="9" s="1"/>
  <c r="AD699" i="9"/>
  <c r="AI699" i="9" s="1"/>
  <c r="AD707" i="9"/>
  <c r="AI707" i="9" s="1"/>
  <c r="AD715" i="9"/>
  <c r="AI715" i="9" s="1"/>
  <c r="AD723" i="9"/>
  <c r="AI723" i="9" s="1"/>
  <c r="AD731" i="9"/>
  <c r="AI731" i="9" s="1"/>
  <c r="AD739" i="9"/>
  <c r="AI739" i="9" s="1"/>
  <c r="AD747" i="9"/>
  <c r="AI747" i="9" s="1"/>
  <c r="AD773" i="9"/>
  <c r="AI773" i="9" s="1"/>
  <c r="AD776" i="9"/>
  <c r="AI776" i="9" s="1"/>
  <c r="AD779" i="9"/>
  <c r="AI779" i="9" s="1"/>
  <c r="AD805" i="9"/>
  <c r="AI805" i="9" s="1"/>
  <c r="AD808" i="9"/>
  <c r="AI808" i="9" s="1"/>
  <c r="AD811" i="9"/>
  <c r="AI811" i="9" s="1"/>
  <c r="AD837" i="9"/>
  <c r="AI837" i="9" s="1"/>
  <c r="AD840" i="9"/>
  <c r="AI840" i="9" s="1"/>
  <c r="AD848" i="9"/>
  <c r="AI848" i="9" s="1"/>
  <c r="AD856" i="9"/>
  <c r="AI856" i="9" s="1"/>
  <c r="AD864" i="9"/>
  <c r="AI864" i="9" s="1"/>
  <c r="AD872" i="9"/>
  <c r="AI872" i="9" s="1"/>
  <c r="AD880" i="9"/>
  <c r="AI880" i="9" s="1"/>
  <c r="AD888" i="9"/>
  <c r="AI888" i="9" s="1"/>
  <c r="AD896" i="9"/>
  <c r="AI896" i="9" s="1"/>
  <c r="AD904" i="9"/>
  <c r="AI904" i="9" s="1"/>
  <c r="AD912" i="9"/>
  <c r="AI912" i="9" s="1"/>
  <c r="AD920" i="9"/>
  <c r="AI920" i="9" s="1"/>
  <c r="AD928" i="9"/>
  <c r="AI928" i="9" s="1"/>
  <c r="AD936" i="9"/>
  <c r="AI936" i="9" s="1"/>
  <c r="AD944" i="9"/>
  <c r="AI944" i="9" s="1"/>
  <c r="AD952" i="9"/>
  <c r="AI952" i="9" s="1"/>
  <c r="AD960" i="9"/>
  <c r="AI960" i="9" s="1"/>
  <c r="AD968" i="9"/>
  <c r="AI968" i="9" s="1"/>
  <c r="AD976" i="9"/>
  <c r="AI976" i="9" s="1"/>
  <c r="AD984" i="9"/>
  <c r="AI984" i="9" s="1"/>
  <c r="AD992" i="9"/>
  <c r="AI992" i="9" s="1"/>
  <c r="AD1000" i="9"/>
  <c r="AI1000" i="9" s="1"/>
  <c r="AD34" i="9"/>
  <c r="AI34" i="9" s="1"/>
  <c r="AD453" i="9"/>
  <c r="AI453" i="9" s="1"/>
  <c r="AD555" i="9"/>
  <c r="AI555" i="9" s="1"/>
  <c r="AD571" i="9"/>
  <c r="AI571" i="9" s="1"/>
  <c r="AD587" i="9"/>
  <c r="AI587" i="9" s="1"/>
  <c r="AD603" i="9"/>
  <c r="AI603" i="9" s="1"/>
  <c r="AD619" i="9"/>
  <c r="AI619" i="9" s="1"/>
  <c r="AD635" i="9"/>
  <c r="AI635" i="9" s="1"/>
  <c r="AD651" i="9"/>
  <c r="AI651" i="9" s="1"/>
  <c r="AD667" i="9"/>
  <c r="AI667" i="9" s="1"/>
  <c r="AD758" i="9"/>
  <c r="AI758" i="9" s="1"/>
  <c r="AD762" i="9"/>
  <c r="AI762" i="9" s="1"/>
  <c r="AD782" i="9"/>
  <c r="AI782" i="9" s="1"/>
  <c r="AD788" i="9"/>
  <c r="AI788" i="9" s="1"/>
  <c r="AD791" i="9"/>
  <c r="AI791" i="9" s="1"/>
  <c r="AD794" i="9"/>
  <c r="AI794" i="9" s="1"/>
  <c r="AD814" i="9"/>
  <c r="AI814" i="9" s="1"/>
  <c r="AD820" i="9"/>
  <c r="AI820" i="9" s="1"/>
  <c r="AD823" i="9"/>
  <c r="AI823" i="9" s="1"/>
  <c r="AD826" i="9"/>
  <c r="AI826" i="9" s="1"/>
  <c r="AD843" i="9"/>
  <c r="AI843" i="9" s="1"/>
  <c r="AD851" i="9"/>
  <c r="AI851" i="9" s="1"/>
  <c r="AD859" i="9"/>
  <c r="AI859" i="9" s="1"/>
  <c r="AD867" i="9"/>
  <c r="AI867" i="9" s="1"/>
  <c r="AD875" i="9"/>
  <c r="AI875" i="9" s="1"/>
  <c r="AD883" i="9"/>
  <c r="AI883" i="9" s="1"/>
  <c r="AD891" i="9"/>
  <c r="AI891" i="9" s="1"/>
  <c r="AD899" i="9"/>
  <c r="AI899" i="9" s="1"/>
  <c r="AD907" i="9"/>
  <c r="AI907" i="9" s="1"/>
  <c r="AD915" i="9"/>
  <c r="AI915" i="9" s="1"/>
  <c r="AD923" i="9"/>
  <c r="AI923" i="9" s="1"/>
  <c r="AD931" i="9"/>
  <c r="AI931" i="9" s="1"/>
  <c r="AD939" i="9"/>
  <c r="AI939" i="9" s="1"/>
  <c r="AD947" i="9"/>
  <c r="AI947" i="9" s="1"/>
  <c r="AD955" i="9"/>
  <c r="AI955" i="9" s="1"/>
  <c r="AD963" i="9"/>
  <c r="AI963" i="9" s="1"/>
  <c r="AD971" i="9"/>
  <c r="AI971" i="9" s="1"/>
  <c r="AD494" i="9"/>
  <c r="AI494" i="9" s="1"/>
  <c r="AD582" i="9"/>
  <c r="AI582" i="9" s="1"/>
  <c r="AD646" i="9"/>
  <c r="AI646" i="9" s="1"/>
  <c r="AD688" i="9"/>
  <c r="AI688" i="9" s="1"/>
  <c r="AD846" i="9"/>
  <c r="AI846" i="9" s="1"/>
  <c r="AD878" i="9"/>
  <c r="AI878" i="9" s="1"/>
  <c r="AD910" i="9"/>
  <c r="AI910" i="9" s="1"/>
  <c r="AD942" i="9"/>
  <c r="AI942" i="9" s="1"/>
  <c r="AD974" i="9"/>
  <c r="AI974" i="9" s="1"/>
  <c r="AD995" i="9"/>
  <c r="AI995" i="9" s="1"/>
  <c r="AD696" i="9"/>
  <c r="AI696" i="9" s="1"/>
  <c r="AD800" i="9"/>
  <c r="AI800" i="9" s="1"/>
  <c r="AD526" i="9"/>
  <c r="AI526" i="9" s="1"/>
  <c r="AD598" i="9"/>
  <c r="AI598" i="9" s="1"/>
  <c r="AD662" i="9"/>
  <c r="AI662" i="9" s="1"/>
  <c r="AD704" i="9"/>
  <c r="AI704" i="9" s="1"/>
  <c r="AD854" i="9"/>
  <c r="AI854" i="9" s="1"/>
  <c r="AD886" i="9"/>
  <c r="AI886" i="9" s="1"/>
  <c r="AD918" i="9"/>
  <c r="AI918" i="9" s="1"/>
  <c r="AD950" i="9"/>
  <c r="AI950" i="9" s="1"/>
  <c r="AD987" i="9"/>
  <c r="AI987" i="9" s="1"/>
  <c r="AD712" i="9"/>
  <c r="AI712" i="9" s="1"/>
  <c r="AD755" i="9"/>
  <c r="AI755" i="9" s="1"/>
  <c r="AD768" i="9"/>
  <c r="AI768" i="9" s="1"/>
  <c r="AD829" i="9"/>
  <c r="AI829" i="9" s="1"/>
  <c r="AD835" i="9"/>
  <c r="AI835" i="9" s="1"/>
  <c r="AD982" i="9"/>
  <c r="AI982" i="9" s="1"/>
  <c r="AD6" i="9"/>
  <c r="AI6" i="9" s="1"/>
  <c r="AD550" i="9"/>
  <c r="AI550" i="9" s="1"/>
  <c r="AD614" i="9"/>
  <c r="AI614" i="9" s="1"/>
  <c r="AD720" i="9"/>
  <c r="AI720" i="9" s="1"/>
  <c r="AD862" i="9"/>
  <c r="AI862" i="9" s="1"/>
  <c r="AD894" i="9"/>
  <c r="AI894" i="9" s="1"/>
  <c r="AD926" i="9"/>
  <c r="AI926" i="9" s="1"/>
  <c r="AD958" i="9"/>
  <c r="AI958" i="9" s="1"/>
  <c r="AD1002" i="9"/>
  <c r="AI1002" i="9" s="1"/>
  <c r="AD832" i="9"/>
  <c r="AI832" i="9" s="1"/>
  <c r="AD728" i="9"/>
  <c r="AI728" i="9" s="1"/>
  <c r="AD797" i="9"/>
  <c r="AI797" i="9" s="1"/>
  <c r="AD803" i="9"/>
  <c r="AI803" i="9" s="1"/>
  <c r="AD998" i="9"/>
  <c r="AI998" i="9" s="1"/>
  <c r="AD98" i="9"/>
  <c r="AI98" i="9" s="1"/>
  <c r="AD566" i="9"/>
  <c r="AI566" i="9" s="1"/>
  <c r="AD630" i="9"/>
  <c r="AI630" i="9" s="1"/>
  <c r="AD672" i="9"/>
  <c r="AI672" i="9" s="1"/>
  <c r="AD736" i="9"/>
  <c r="AI736" i="9" s="1"/>
  <c r="AD870" i="9"/>
  <c r="AI870" i="9" s="1"/>
  <c r="AD902" i="9"/>
  <c r="AI902" i="9" s="1"/>
  <c r="AD934" i="9"/>
  <c r="AI934" i="9" s="1"/>
  <c r="AD966" i="9"/>
  <c r="AI966" i="9" s="1"/>
  <c r="AD979" i="9"/>
  <c r="AI979" i="9" s="1"/>
  <c r="AD994" i="9"/>
  <c r="AI994" i="9" s="1"/>
  <c r="AD1003" i="9"/>
  <c r="AI1003" i="9" s="1"/>
  <c r="AD680" i="9"/>
  <c r="AI680" i="9" s="1"/>
  <c r="AD744" i="9"/>
  <c r="AI744" i="9" s="1"/>
  <c r="AD765" i="9"/>
  <c r="AI765" i="9" s="1"/>
  <c r="AD771" i="9"/>
  <c r="AI771" i="9" s="1"/>
  <c r="AD990" i="9"/>
  <c r="AI990" i="9" s="1"/>
  <c r="C7" i="11"/>
  <c r="S26" i="9"/>
  <c r="U216" i="13" l="1"/>
  <c r="U189" i="13"/>
  <c r="U158" i="13"/>
  <c r="U127" i="13"/>
  <c r="U94" i="13"/>
  <c r="U77" i="13"/>
  <c r="U58" i="13"/>
  <c r="U20" i="13"/>
  <c r="U41" i="13"/>
  <c r="U148" i="13"/>
  <c r="U243" i="13"/>
  <c r="U147" i="13"/>
  <c r="U114" i="13"/>
  <c r="U89" i="13"/>
  <c r="U25" i="13"/>
  <c r="U242" i="13"/>
  <c r="U204" i="13"/>
  <c r="U172" i="13"/>
  <c r="U113" i="13"/>
  <c r="U71" i="13"/>
  <c r="U52" i="13"/>
  <c r="U28" i="13"/>
  <c r="U240" i="13"/>
  <c r="U171" i="13"/>
  <c r="U144" i="13"/>
  <c r="U112" i="13"/>
  <c r="U87" i="13"/>
  <c r="U70" i="13"/>
  <c r="U50" i="13"/>
  <c r="U239" i="13"/>
  <c r="U200" i="13"/>
  <c r="U111" i="13"/>
  <c r="U86" i="13"/>
  <c r="U69" i="13"/>
  <c r="U49" i="13"/>
  <c r="U30" i="13"/>
  <c r="U237" i="13"/>
  <c r="U110" i="13"/>
  <c r="U48" i="13"/>
  <c r="U196" i="13"/>
  <c r="U109" i="13"/>
  <c r="U84" i="13"/>
  <c r="U47" i="13"/>
  <c r="U164" i="13"/>
  <c r="U9" i="13"/>
  <c r="U131" i="13"/>
  <c r="U221" i="13"/>
  <c r="U160" i="13"/>
  <c r="U79" i="13"/>
  <c r="U17" i="13"/>
  <c r="U159" i="13"/>
  <c r="U96" i="13"/>
  <c r="U40" i="13"/>
  <c r="U251" i="13"/>
  <c r="U215" i="13"/>
  <c r="U188" i="13"/>
  <c r="U154" i="13"/>
  <c r="U124" i="13"/>
  <c r="U93" i="13"/>
  <c r="U76" i="13"/>
  <c r="U57" i="13"/>
  <c r="U21" i="13"/>
  <c r="U42" i="13"/>
  <c r="U248" i="13"/>
  <c r="U213" i="13"/>
  <c r="U151" i="13"/>
  <c r="U123" i="13"/>
  <c r="U92" i="13"/>
  <c r="U75" i="13"/>
  <c r="U56" i="13"/>
  <c r="U22" i="13"/>
  <c r="U43" i="13"/>
  <c r="U246" i="13"/>
  <c r="U210" i="13"/>
  <c r="U180" i="13"/>
  <c r="U150" i="13"/>
  <c r="U122" i="13"/>
  <c r="U91" i="13"/>
  <c r="U74" i="13"/>
  <c r="U55" i="13"/>
  <c r="U23" i="13"/>
  <c r="U44" i="13"/>
  <c r="U245" i="13"/>
  <c r="U208" i="13"/>
  <c r="U177" i="13"/>
  <c r="U115" i="13"/>
  <c r="U90" i="13"/>
  <c r="U73" i="13"/>
  <c r="U54" i="13"/>
  <c r="U45" i="13"/>
  <c r="U205" i="13"/>
  <c r="U72" i="13"/>
  <c r="U146" i="13"/>
  <c r="U201" i="13"/>
  <c r="U143" i="13"/>
  <c r="U167" i="13"/>
  <c r="U85" i="13"/>
  <c r="U32" i="13"/>
  <c r="U138" i="13"/>
  <c r="U135" i="13"/>
  <c r="U64" i="13"/>
  <c r="U224" i="13"/>
  <c r="U132" i="13"/>
  <c r="U81" i="13"/>
  <c r="U36" i="13"/>
  <c r="U193" i="13"/>
  <c r="U80" i="13"/>
  <c r="U37" i="13"/>
  <c r="U130" i="13"/>
  <c r="U191" i="13"/>
  <c r="U128" i="13"/>
  <c r="U60" i="13"/>
  <c r="U18" i="13"/>
  <c r="U184" i="13"/>
  <c r="U24" i="13"/>
  <c r="U176" i="13"/>
  <c r="U53" i="13"/>
  <c r="U88" i="13"/>
  <c r="U139" i="13"/>
  <c r="U232" i="13"/>
  <c r="U65" i="13"/>
  <c r="U195" i="13"/>
  <c r="U83" i="13"/>
  <c r="U35" i="13"/>
  <c r="U194" i="13"/>
  <c r="U63" i="13"/>
  <c r="U222" i="13"/>
  <c r="U102" i="13"/>
  <c r="U192" i="13"/>
  <c r="U61" i="13"/>
  <c r="U29" i="13"/>
  <c r="U170" i="13"/>
  <c r="U197" i="13"/>
  <c r="U68" i="13"/>
  <c r="U166" i="13"/>
  <c r="U33" i="13"/>
  <c r="U229" i="13"/>
  <c r="U107" i="13"/>
  <c r="U163" i="13"/>
  <c r="U13" i="13"/>
  <c r="U15" i="13"/>
  <c r="U162" i="13"/>
  <c r="U62" i="13"/>
  <c r="U16" i="13"/>
  <c r="U98" i="13"/>
  <c r="U38" i="13"/>
  <c r="U218" i="13"/>
  <c r="U78" i="13"/>
  <c r="U105" i="13"/>
  <c r="U120" i="13"/>
  <c r="U182" i="13"/>
  <c r="U227" i="13"/>
  <c r="U5" i="13"/>
  <c r="U34" i="13"/>
  <c r="U186" i="13"/>
  <c r="U187" i="13"/>
  <c r="U153" i="13"/>
  <c r="U116" i="13"/>
  <c r="U247" i="13"/>
  <c r="U142" i="13"/>
  <c r="U199" i="13"/>
  <c r="U149" i="13"/>
  <c r="U155" i="13"/>
  <c r="U207" i="13"/>
  <c r="U14" i="13"/>
  <c r="U51" i="13"/>
  <c r="U39" i="13"/>
  <c r="U6" i="13"/>
  <c r="U100" i="13"/>
  <c r="U121" i="13"/>
  <c r="U157" i="13"/>
  <c r="U212" i="13"/>
  <c r="U141" i="13"/>
  <c r="U178" i="13"/>
  <c r="U174" i="13"/>
  <c r="U26" i="13"/>
  <c r="U211" i="13"/>
  <c r="U226" i="13"/>
  <c r="U136" i="13"/>
  <c r="U179" i="13"/>
  <c r="U66" i="13"/>
  <c r="U220" i="13"/>
  <c r="U106" i="13"/>
  <c r="U183" i="13"/>
  <c r="U185" i="13"/>
  <c r="U190" i="13"/>
  <c r="U99" i="13"/>
  <c r="U156" i="13"/>
  <c r="U152" i="13"/>
  <c r="U19" i="13"/>
  <c r="U241" i="13"/>
  <c r="U7" i="13"/>
  <c r="U59" i="13"/>
  <c r="U161" i="13"/>
  <c r="U129" i="13"/>
  <c r="U104" i="13"/>
  <c r="U101" i="13"/>
  <c r="U118" i="13"/>
  <c r="U165" i="13"/>
  <c r="U198" i="13"/>
  <c r="U209" i="13"/>
  <c r="U230" i="13"/>
  <c r="U206" i="13"/>
  <c r="U137" i="13"/>
  <c r="U244" i="13"/>
  <c r="U181" i="13"/>
  <c r="U108" i="13"/>
  <c r="U82" i="13"/>
  <c r="U10" i="13"/>
  <c r="U214" i="13"/>
  <c r="U217" i="13"/>
  <c r="U202" i="13"/>
  <c r="U117" i="13"/>
  <c r="U169" i="13"/>
  <c r="U97" i="13"/>
  <c r="U233" i="13"/>
  <c r="U234" i="13"/>
  <c r="U235" i="13"/>
  <c r="U175" i="13"/>
  <c r="U12" i="13"/>
  <c r="U125" i="13"/>
  <c r="U225" i="13"/>
  <c r="U236" i="13"/>
  <c r="U223" i="13"/>
  <c r="U228" i="13"/>
  <c r="U11" i="13"/>
  <c r="U103" i="13"/>
  <c r="U31" i="13"/>
  <c r="U67" i="13"/>
  <c r="U231" i="13"/>
  <c r="U145" i="13"/>
  <c r="U250" i="13"/>
  <c r="U46" i="13"/>
  <c r="U134" i="13"/>
  <c r="U119" i="13"/>
  <c r="U140" i="13"/>
  <c r="U27" i="13"/>
  <c r="U238" i="13"/>
  <c r="U95" i="13"/>
  <c r="U133" i="13"/>
  <c r="U219" i="13"/>
  <c r="U249" i="13"/>
  <c r="U173" i="13"/>
  <c r="U168" i="13"/>
  <c r="U203" i="13"/>
  <c r="U8" i="13"/>
  <c r="U126" i="13"/>
  <c r="U4" i="13"/>
  <c r="AE11" i="9"/>
  <c r="AJ11" i="9" s="1"/>
  <c r="AE19" i="9"/>
  <c r="AJ19" i="9" s="1"/>
  <c r="AE27" i="9"/>
  <c r="AJ27" i="9" s="1"/>
  <c r="AE35" i="9"/>
  <c r="AJ35" i="9" s="1"/>
  <c r="AE43" i="9"/>
  <c r="AJ43" i="9" s="1"/>
  <c r="AE51" i="9"/>
  <c r="AJ51" i="9" s="1"/>
  <c r="AE59" i="9"/>
  <c r="AJ59" i="9" s="1"/>
  <c r="AE67" i="9"/>
  <c r="AJ67" i="9" s="1"/>
  <c r="AE75" i="9"/>
  <c r="AJ75" i="9" s="1"/>
  <c r="AE83" i="9"/>
  <c r="AJ83" i="9" s="1"/>
  <c r="AE91" i="9"/>
  <c r="AJ91" i="9" s="1"/>
  <c r="AE99" i="9"/>
  <c r="AJ99" i="9" s="1"/>
  <c r="AE107" i="9"/>
  <c r="AJ107" i="9" s="1"/>
  <c r="AE115" i="9"/>
  <c r="AJ115" i="9" s="1"/>
  <c r="AE123" i="9"/>
  <c r="AJ123" i="9" s="1"/>
  <c r="AE131" i="9"/>
  <c r="AJ131" i="9" s="1"/>
  <c r="AE139" i="9"/>
  <c r="AJ139" i="9" s="1"/>
  <c r="AE147" i="9"/>
  <c r="AJ147" i="9" s="1"/>
  <c r="AE155" i="9"/>
  <c r="AJ155" i="9" s="1"/>
  <c r="AE163" i="9"/>
  <c r="AJ163" i="9" s="1"/>
  <c r="AE171" i="9"/>
  <c r="AJ171" i="9" s="1"/>
  <c r="AE179" i="9"/>
  <c r="AJ179" i="9" s="1"/>
  <c r="AE187" i="9"/>
  <c r="AJ187" i="9" s="1"/>
  <c r="AE195" i="9"/>
  <c r="AJ195" i="9" s="1"/>
  <c r="AE203" i="9"/>
  <c r="AJ203" i="9" s="1"/>
  <c r="AE211" i="9"/>
  <c r="AJ211" i="9" s="1"/>
  <c r="AE219" i="9"/>
  <c r="AJ219" i="9" s="1"/>
  <c r="AE227" i="9"/>
  <c r="AJ227" i="9" s="1"/>
  <c r="AE235" i="9"/>
  <c r="AJ235" i="9" s="1"/>
  <c r="AE243" i="9"/>
  <c r="AJ243" i="9" s="1"/>
  <c r="AE251" i="9"/>
  <c r="AJ251" i="9" s="1"/>
  <c r="AE259" i="9"/>
  <c r="AJ259" i="9" s="1"/>
  <c r="AE267" i="9"/>
  <c r="AJ267" i="9" s="1"/>
  <c r="AE275" i="9"/>
  <c r="AJ275" i="9" s="1"/>
  <c r="AE283" i="9"/>
  <c r="AJ283" i="9" s="1"/>
  <c r="AE291" i="9"/>
  <c r="AJ291" i="9" s="1"/>
  <c r="AE299" i="9"/>
  <c r="AJ299" i="9" s="1"/>
  <c r="AE307" i="9"/>
  <c r="AJ307" i="9" s="1"/>
  <c r="AE315" i="9"/>
  <c r="AJ315" i="9" s="1"/>
  <c r="AE323" i="9"/>
  <c r="AJ323" i="9" s="1"/>
  <c r="AE331" i="9"/>
  <c r="AJ331" i="9" s="1"/>
  <c r="AE339" i="9"/>
  <c r="AJ339" i="9" s="1"/>
  <c r="AE347" i="9"/>
  <c r="AJ347" i="9" s="1"/>
  <c r="AE14" i="9"/>
  <c r="AJ14" i="9" s="1"/>
  <c r="AE22" i="9"/>
  <c r="AJ22" i="9" s="1"/>
  <c r="AE30" i="9"/>
  <c r="AJ30" i="9" s="1"/>
  <c r="AE38" i="9"/>
  <c r="AJ38" i="9" s="1"/>
  <c r="AE46" i="9"/>
  <c r="AJ46" i="9" s="1"/>
  <c r="AE54" i="9"/>
  <c r="AJ54" i="9" s="1"/>
  <c r="AE62" i="9"/>
  <c r="AJ62" i="9" s="1"/>
  <c r="AE70" i="9"/>
  <c r="AJ70" i="9" s="1"/>
  <c r="AE78" i="9"/>
  <c r="AJ78" i="9" s="1"/>
  <c r="AE86" i="9"/>
  <c r="AJ86" i="9" s="1"/>
  <c r="AE94" i="9"/>
  <c r="AJ94" i="9" s="1"/>
  <c r="AE102" i="9"/>
  <c r="AJ102" i="9" s="1"/>
  <c r="AE110" i="9"/>
  <c r="AJ110" i="9" s="1"/>
  <c r="AE118" i="9"/>
  <c r="AJ118" i="9" s="1"/>
  <c r="AE126" i="9"/>
  <c r="AJ126" i="9" s="1"/>
  <c r="AE134" i="9"/>
  <c r="AJ134" i="9" s="1"/>
  <c r="AE142" i="9"/>
  <c r="AJ142" i="9" s="1"/>
  <c r="AE150" i="9"/>
  <c r="AJ150" i="9" s="1"/>
  <c r="AE158" i="9"/>
  <c r="AJ158" i="9" s="1"/>
  <c r="AE166" i="9"/>
  <c r="AJ166" i="9" s="1"/>
  <c r="AE174" i="9"/>
  <c r="AJ174" i="9" s="1"/>
  <c r="AE182" i="9"/>
  <c r="AJ182" i="9" s="1"/>
  <c r="AE190" i="9"/>
  <c r="AJ190" i="9" s="1"/>
  <c r="AE198" i="9"/>
  <c r="AJ198" i="9" s="1"/>
  <c r="AE206" i="9"/>
  <c r="AJ206" i="9" s="1"/>
  <c r="AE214" i="9"/>
  <c r="AJ214" i="9" s="1"/>
  <c r="AE222" i="9"/>
  <c r="AJ222" i="9" s="1"/>
  <c r="AE230" i="9"/>
  <c r="AJ230" i="9" s="1"/>
  <c r="AE238" i="9"/>
  <c r="AJ238" i="9" s="1"/>
  <c r="AE246" i="9"/>
  <c r="AJ246" i="9" s="1"/>
  <c r="AE254" i="9"/>
  <c r="AJ254" i="9" s="1"/>
  <c r="AE262" i="9"/>
  <c r="AJ262" i="9" s="1"/>
  <c r="AE270" i="9"/>
  <c r="AJ270" i="9" s="1"/>
  <c r="AE278" i="9"/>
  <c r="AJ278" i="9" s="1"/>
  <c r="AE286" i="9"/>
  <c r="AJ286" i="9" s="1"/>
  <c r="AE294" i="9"/>
  <c r="AJ294" i="9" s="1"/>
  <c r="AE302" i="9"/>
  <c r="AJ302" i="9" s="1"/>
  <c r="AE310" i="9"/>
  <c r="AJ310" i="9" s="1"/>
  <c r="AE318" i="9"/>
  <c r="AJ318" i="9" s="1"/>
  <c r="AE326" i="9"/>
  <c r="AJ326" i="9" s="1"/>
  <c r="AE334" i="9"/>
  <c r="AJ334" i="9" s="1"/>
  <c r="AE9" i="9"/>
  <c r="AJ9" i="9" s="1"/>
  <c r="AE17" i="9"/>
  <c r="AJ17" i="9" s="1"/>
  <c r="AE25" i="9"/>
  <c r="AJ25" i="9" s="1"/>
  <c r="AE33" i="9"/>
  <c r="AJ33" i="9" s="1"/>
  <c r="AE41" i="9"/>
  <c r="AJ41" i="9" s="1"/>
  <c r="AE49" i="9"/>
  <c r="AJ49" i="9" s="1"/>
  <c r="AE57" i="9"/>
  <c r="AJ57" i="9" s="1"/>
  <c r="AE65" i="9"/>
  <c r="AJ65" i="9" s="1"/>
  <c r="AE73" i="9"/>
  <c r="AJ73" i="9" s="1"/>
  <c r="AE81" i="9"/>
  <c r="AJ81" i="9" s="1"/>
  <c r="AE89" i="9"/>
  <c r="AJ89" i="9" s="1"/>
  <c r="AE97" i="9"/>
  <c r="AJ97" i="9" s="1"/>
  <c r="AE105" i="9"/>
  <c r="AJ105" i="9" s="1"/>
  <c r="AE113" i="9"/>
  <c r="AJ113" i="9" s="1"/>
  <c r="AE121" i="9"/>
  <c r="AJ121" i="9" s="1"/>
  <c r="AE129" i="9"/>
  <c r="AJ129" i="9" s="1"/>
  <c r="AE137" i="9"/>
  <c r="AJ137" i="9" s="1"/>
  <c r="AE145" i="9"/>
  <c r="AJ145" i="9" s="1"/>
  <c r="AE153" i="9"/>
  <c r="AJ153" i="9" s="1"/>
  <c r="AE161" i="9"/>
  <c r="AJ161" i="9" s="1"/>
  <c r="AE169" i="9"/>
  <c r="AJ169" i="9" s="1"/>
  <c r="AE177" i="9"/>
  <c r="AJ177" i="9" s="1"/>
  <c r="AE185" i="9"/>
  <c r="AJ185" i="9" s="1"/>
  <c r="AE193" i="9"/>
  <c r="AJ193" i="9" s="1"/>
  <c r="AE201" i="9"/>
  <c r="AJ201" i="9" s="1"/>
  <c r="AE209" i="9"/>
  <c r="AJ209" i="9" s="1"/>
  <c r="AE217" i="9"/>
  <c r="AJ217" i="9" s="1"/>
  <c r="AE225" i="9"/>
  <c r="AJ225" i="9" s="1"/>
  <c r="AE233" i="9"/>
  <c r="AJ233" i="9" s="1"/>
  <c r="AE241" i="9"/>
  <c r="AJ241" i="9" s="1"/>
  <c r="AE12" i="9"/>
  <c r="AJ12" i="9" s="1"/>
  <c r="AE20" i="9"/>
  <c r="AJ20" i="9" s="1"/>
  <c r="AE28" i="9"/>
  <c r="AJ28" i="9" s="1"/>
  <c r="AE7" i="9"/>
  <c r="AJ7" i="9" s="1"/>
  <c r="AE10" i="9"/>
  <c r="AJ10" i="9" s="1"/>
  <c r="AE8" i="9"/>
  <c r="AJ8" i="9" s="1"/>
  <c r="AE16" i="9"/>
  <c r="AJ16" i="9" s="1"/>
  <c r="AE24" i="9"/>
  <c r="AJ24" i="9" s="1"/>
  <c r="AE32" i="9"/>
  <c r="AJ32" i="9" s="1"/>
  <c r="AE40" i="9"/>
  <c r="AJ40" i="9" s="1"/>
  <c r="AE48" i="9"/>
  <c r="AJ48" i="9" s="1"/>
  <c r="AE56" i="9"/>
  <c r="AJ56" i="9" s="1"/>
  <c r="AE64" i="9"/>
  <c r="AJ64" i="9" s="1"/>
  <c r="AE72" i="9"/>
  <c r="AJ72" i="9" s="1"/>
  <c r="AE80" i="9"/>
  <c r="AJ80" i="9" s="1"/>
  <c r="AE88" i="9"/>
  <c r="AJ88" i="9" s="1"/>
  <c r="AE96" i="9"/>
  <c r="AJ96" i="9" s="1"/>
  <c r="AE104" i="9"/>
  <c r="AJ104" i="9" s="1"/>
  <c r="AE112" i="9"/>
  <c r="AJ112" i="9" s="1"/>
  <c r="AE120" i="9"/>
  <c r="AJ120" i="9" s="1"/>
  <c r="AE128" i="9"/>
  <c r="AJ128" i="9" s="1"/>
  <c r="AE136" i="9"/>
  <c r="AJ136" i="9" s="1"/>
  <c r="AE144" i="9"/>
  <c r="AJ144" i="9" s="1"/>
  <c r="AE152" i="9"/>
  <c r="AJ152" i="9" s="1"/>
  <c r="AE160" i="9"/>
  <c r="AJ160" i="9" s="1"/>
  <c r="AE168" i="9"/>
  <c r="AJ168" i="9" s="1"/>
  <c r="AE176" i="9"/>
  <c r="AJ176" i="9" s="1"/>
  <c r="AE184" i="9"/>
  <c r="AJ184" i="9" s="1"/>
  <c r="AE192" i="9"/>
  <c r="AJ192" i="9" s="1"/>
  <c r="AE200" i="9"/>
  <c r="AJ200" i="9" s="1"/>
  <c r="AE208" i="9"/>
  <c r="AJ208" i="9" s="1"/>
  <c r="AE216" i="9"/>
  <c r="AJ216" i="9" s="1"/>
  <c r="AE224" i="9"/>
  <c r="AJ224" i="9" s="1"/>
  <c r="AE232" i="9"/>
  <c r="AJ232" i="9" s="1"/>
  <c r="AE240" i="9"/>
  <c r="AJ240" i="9" s="1"/>
  <c r="AE248" i="9"/>
  <c r="AJ248" i="9" s="1"/>
  <c r="AE256" i="9"/>
  <c r="AJ256" i="9" s="1"/>
  <c r="AE264" i="9"/>
  <c r="AJ264" i="9" s="1"/>
  <c r="AE34" i="9"/>
  <c r="AJ34" i="9" s="1"/>
  <c r="AE42" i="9"/>
  <c r="AJ42" i="9" s="1"/>
  <c r="AE50" i="9"/>
  <c r="AJ50" i="9" s="1"/>
  <c r="AE58" i="9"/>
  <c r="AJ58" i="9" s="1"/>
  <c r="AE66" i="9"/>
  <c r="AJ66" i="9" s="1"/>
  <c r="AE74" i="9"/>
  <c r="AJ74" i="9" s="1"/>
  <c r="AE82" i="9"/>
  <c r="AJ82" i="9" s="1"/>
  <c r="AE90" i="9"/>
  <c r="AJ90" i="9" s="1"/>
  <c r="AE98" i="9"/>
  <c r="AJ98" i="9" s="1"/>
  <c r="AE106" i="9"/>
  <c r="AJ106" i="9" s="1"/>
  <c r="AE114" i="9"/>
  <c r="AJ114" i="9" s="1"/>
  <c r="AE122" i="9"/>
  <c r="AJ122" i="9" s="1"/>
  <c r="AE130" i="9"/>
  <c r="AJ130" i="9" s="1"/>
  <c r="AE138" i="9"/>
  <c r="AJ138" i="9" s="1"/>
  <c r="AE146" i="9"/>
  <c r="AJ146" i="9" s="1"/>
  <c r="AE154" i="9"/>
  <c r="AJ154" i="9" s="1"/>
  <c r="AE162" i="9"/>
  <c r="AJ162" i="9" s="1"/>
  <c r="AE170" i="9"/>
  <c r="AJ170" i="9" s="1"/>
  <c r="AE178" i="9"/>
  <c r="AJ178" i="9" s="1"/>
  <c r="AE186" i="9"/>
  <c r="AJ186" i="9" s="1"/>
  <c r="AE194" i="9"/>
  <c r="AJ194" i="9" s="1"/>
  <c r="AE202" i="9"/>
  <c r="AJ202" i="9" s="1"/>
  <c r="AE210" i="9"/>
  <c r="AJ210" i="9" s="1"/>
  <c r="AE218" i="9"/>
  <c r="AJ218" i="9" s="1"/>
  <c r="AE226" i="9"/>
  <c r="AJ226" i="9" s="1"/>
  <c r="AE234" i="9"/>
  <c r="AJ234" i="9" s="1"/>
  <c r="AE242" i="9"/>
  <c r="AJ242" i="9" s="1"/>
  <c r="AE253" i="9"/>
  <c r="AJ253" i="9" s="1"/>
  <c r="AE257" i="9"/>
  <c r="AJ257" i="9" s="1"/>
  <c r="AE280" i="9"/>
  <c r="AJ280" i="9" s="1"/>
  <c r="AE296" i="9"/>
  <c r="AJ296" i="9" s="1"/>
  <c r="AE312" i="9"/>
  <c r="AJ312" i="9" s="1"/>
  <c r="AE328" i="9"/>
  <c r="AJ328" i="9" s="1"/>
  <c r="AE346" i="9"/>
  <c r="AJ346" i="9" s="1"/>
  <c r="AE349" i="9"/>
  <c r="AJ349" i="9" s="1"/>
  <c r="AE357" i="9"/>
  <c r="AJ357" i="9" s="1"/>
  <c r="AE365" i="9"/>
  <c r="AJ365" i="9" s="1"/>
  <c r="AE373" i="9"/>
  <c r="AJ373" i="9" s="1"/>
  <c r="AE381" i="9"/>
  <c r="AJ381" i="9" s="1"/>
  <c r="AE389" i="9"/>
  <c r="AJ389" i="9" s="1"/>
  <c r="AE397" i="9"/>
  <c r="AJ397" i="9" s="1"/>
  <c r="AE405" i="9"/>
  <c r="AJ405" i="9" s="1"/>
  <c r="AE413" i="9"/>
  <c r="AJ413" i="9" s="1"/>
  <c r="AE421" i="9"/>
  <c r="AJ421" i="9" s="1"/>
  <c r="AE429" i="9"/>
  <c r="AJ429" i="9" s="1"/>
  <c r="AE437" i="9"/>
  <c r="AJ437" i="9" s="1"/>
  <c r="AE445" i="9"/>
  <c r="AJ445" i="9" s="1"/>
  <c r="AE453" i="9"/>
  <c r="AJ453" i="9" s="1"/>
  <c r="AE461" i="9"/>
  <c r="AJ461" i="9" s="1"/>
  <c r="AE469" i="9"/>
  <c r="AJ469" i="9" s="1"/>
  <c r="AE477" i="9"/>
  <c r="AJ477" i="9" s="1"/>
  <c r="AE485" i="9"/>
  <c r="AJ485" i="9" s="1"/>
  <c r="AE21" i="9"/>
  <c r="AJ21" i="9" s="1"/>
  <c r="AE250" i="9"/>
  <c r="AJ250" i="9" s="1"/>
  <c r="AE271" i="9"/>
  <c r="AJ271" i="9" s="1"/>
  <c r="AE274" i="9"/>
  <c r="AJ274" i="9" s="1"/>
  <c r="AE277" i="9"/>
  <c r="AJ277" i="9" s="1"/>
  <c r="AE287" i="9"/>
  <c r="AJ287" i="9" s="1"/>
  <c r="AE290" i="9"/>
  <c r="AJ290" i="9" s="1"/>
  <c r="AE293" i="9"/>
  <c r="AJ293" i="9" s="1"/>
  <c r="AE303" i="9"/>
  <c r="AJ303" i="9" s="1"/>
  <c r="AE306" i="9"/>
  <c r="AJ306" i="9" s="1"/>
  <c r="AE309" i="9"/>
  <c r="AJ309" i="9" s="1"/>
  <c r="AE319" i="9"/>
  <c r="AJ319" i="9" s="1"/>
  <c r="AE322" i="9"/>
  <c r="AJ322" i="9" s="1"/>
  <c r="AE325" i="9"/>
  <c r="AJ325" i="9" s="1"/>
  <c r="AE335" i="9"/>
  <c r="AJ335" i="9" s="1"/>
  <c r="AE352" i="9"/>
  <c r="AJ352" i="9" s="1"/>
  <c r="AE360" i="9"/>
  <c r="AJ360" i="9" s="1"/>
  <c r="AE368" i="9"/>
  <c r="AJ368" i="9" s="1"/>
  <c r="AE376" i="9"/>
  <c r="AJ376" i="9" s="1"/>
  <c r="AE384" i="9"/>
  <c r="AJ384" i="9" s="1"/>
  <c r="AE392" i="9"/>
  <c r="AJ392" i="9" s="1"/>
  <c r="AE400" i="9"/>
  <c r="AJ400" i="9" s="1"/>
  <c r="AE408" i="9"/>
  <c r="AJ408" i="9" s="1"/>
  <c r="AE416" i="9"/>
  <c r="AJ416" i="9" s="1"/>
  <c r="AE424" i="9"/>
  <c r="AJ424" i="9" s="1"/>
  <c r="AE432" i="9"/>
  <c r="AJ432" i="9" s="1"/>
  <c r="AE440" i="9"/>
  <c r="AJ440" i="9" s="1"/>
  <c r="AE448" i="9"/>
  <c r="AJ448" i="9" s="1"/>
  <c r="AE456" i="9"/>
  <c r="AJ456" i="9" s="1"/>
  <c r="AE464" i="9"/>
  <c r="AJ464" i="9" s="1"/>
  <c r="AE472" i="9"/>
  <c r="AJ472" i="9" s="1"/>
  <c r="AE480" i="9"/>
  <c r="AJ480" i="9" s="1"/>
  <c r="AE26" i="9"/>
  <c r="AJ26" i="9" s="1"/>
  <c r="AE31" i="9"/>
  <c r="AJ31" i="9" s="1"/>
  <c r="AE39" i="9"/>
  <c r="AJ39" i="9" s="1"/>
  <c r="AE47" i="9"/>
  <c r="AJ47" i="9" s="1"/>
  <c r="AE55" i="9"/>
  <c r="AJ55" i="9" s="1"/>
  <c r="AE63" i="9"/>
  <c r="AJ63" i="9" s="1"/>
  <c r="AE71" i="9"/>
  <c r="AJ71" i="9" s="1"/>
  <c r="AE79" i="9"/>
  <c r="AJ79" i="9" s="1"/>
  <c r="AE87" i="9"/>
  <c r="AJ87" i="9" s="1"/>
  <c r="AE95" i="9"/>
  <c r="AJ95" i="9" s="1"/>
  <c r="AE103" i="9"/>
  <c r="AJ103" i="9" s="1"/>
  <c r="AE111" i="9"/>
  <c r="AJ111" i="9" s="1"/>
  <c r="AE119" i="9"/>
  <c r="AJ119" i="9" s="1"/>
  <c r="AE127" i="9"/>
  <c r="AJ127" i="9" s="1"/>
  <c r="AE135" i="9"/>
  <c r="AJ135" i="9" s="1"/>
  <c r="AE143" i="9"/>
  <c r="AJ143" i="9" s="1"/>
  <c r="AE151" i="9"/>
  <c r="AJ151" i="9" s="1"/>
  <c r="AE159" i="9"/>
  <c r="AJ159" i="9" s="1"/>
  <c r="AE167" i="9"/>
  <c r="AJ167" i="9" s="1"/>
  <c r="AE175" i="9"/>
  <c r="AJ175" i="9" s="1"/>
  <c r="AE183" i="9"/>
  <c r="AJ183" i="9" s="1"/>
  <c r="AE191" i="9"/>
  <c r="AJ191" i="9" s="1"/>
  <c r="AE199" i="9"/>
  <c r="AJ199" i="9" s="1"/>
  <c r="AE207" i="9"/>
  <c r="AJ207" i="9" s="1"/>
  <c r="AE215" i="9"/>
  <c r="AJ215" i="9" s="1"/>
  <c r="AE223" i="9"/>
  <c r="AJ223" i="9" s="1"/>
  <c r="AE231" i="9"/>
  <c r="AJ231" i="9" s="1"/>
  <c r="AE239" i="9"/>
  <c r="AJ239" i="9" s="1"/>
  <c r="AE247" i="9"/>
  <c r="AJ247" i="9" s="1"/>
  <c r="AE261" i="9"/>
  <c r="AJ261" i="9" s="1"/>
  <c r="AE265" i="9"/>
  <c r="AJ265" i="9" s="1"/>
  <c r="AE268" i="9"/>
  <c r="AJ268" i="9" s="1"/>
  <c r="AE281" i="9"/>
  <c r="AJ281" i="9" s="1"/>
  <c r="AE284" i="9"/>
  <c r="AJ284" i="9" s="1"/>
  <c r="AE297" i="9"/>
  <c r="AJ297" i="9" s="1"/>
  <c r="AE300" i="9"/>
  <c r="AJ300" i="9" s="1"/>
  <c r="AE313" i="9"/>
  <c r="AJ313" i="9" s="1"/>
  <c r="AE316" i="9"/>
  <c r="AJ316" i="9" s="1"/>
  <c r="AE329" i="9"/>
  <c r="AJ329" i="9" s="1"/>
  <c r="AE332" i="9"/>
  <c r="AJ332" i="9" s="1"/>
  <c r="AE338" i="9"/>
  <c r="AJ338" i="9" s="1"/>
  <c r="AE341" i="9"/>
  <c r="AJ341" i="9" s="1"/>
  <c r="AE344" i="9"/>
  <c r="AJ344" i="9" s="1"/>
  <c r="AE355" i="9"/>
  <c r="AJ355" i="9" s="1"/>
  <c r="AE363" i="9"/>
  <c r="AJ363" i="9" s="1"/>
  <c r="AE371" i="9"/>
  <c r="AJ371" i="9" s="1"/>
  <c r="AE379" i="9"/>
  <c r="AJ379" i="9" s="1"/>
  <c r="AE387" i="9"/>
  <c r="AJ387" i="9" s="1"/>
  <c r="AE395" i="9"/>
  <c r="AJ395" i="9" s="1"/>
  <c r="AE403" i="9"/>
  <c r="AJ403" i="9" s="1"/>
  <c r="AE411" i="9"/>
  <c r="AJ411" i="9" s="1"/>
  <c r="AE419" i="9"/>
  <c r="AJ419" i="9" s="1"/>
  <c r="AE427" i="9"/>
  <c r="AJ427" i="9" s="1"/>
  <c r="AE435" i="9"/>
  <c r="AJ435" i="9" s="1"/>
  <c r="AE443" i="9"/>
  <c r="AJ443" i="9" s="1"/>
  <c r="AE451" i="9"/>
  <c r="AJ451" i="9" s="1"/>
  <c r="AE459" i="9"/>
  <c r="AJ459" i="9" s="1"/>
  <c r="AE467" i="9"/>
  <c r="AJ467" i="9" s="1"/>
  <c r="AE475" i="9"/>
  <c r="AJ475" i="9" s="1"/>
  <c r="AE483" i="9"/>
  <c r="AJ483" i="9" s="1"/>
  <c r="AE491" i="9"/>
  <c r="AJ491" i="9" s="1"/>
  <c r="AE13" i="9"/>
  <c r="AJ13" i="9" s="1"/>
  <c r="AE36" i="9"/>
  <c r="AJ36" i="9" s="1"/>
  <c r="AE44" i="9"/>
  <c r="AJ44" i="9" s="1"/>
  <c r="AE52" i="9"/>
  <c r="AJ52" i="9" s="1"/>
  <c r="AE60" i="9"/>
  <c r="AJ60" i="9" s="1"/>
  <c r="AE68" i="9"/>
  <c r="AJ68" i="9" s="1"/>
  <c r="AE76" i="9"/>
  <c r="AJ76" i="9" s="1"/>
  <c r="AE84" i="9"/>
  <c r="AJ84" i="9" s="1"/>
  <c r="AE92" i="9"/>
  <c r="AJ92" i="9" s="1"/>
  <c r="AE100" i="9"/>
  <c r="AJ100" i="9" s="1"/>
  <c r="AE108" i="9"/>
  <c r="AJ108" i="9" s="1"/>
  <c r="AE116" i="9"/>
  <c r="AJ116" i="9" s="1"/>
  <c r="AE124" i="9"/>
  <c r="AJ124" i="9" s="1"/>
  <c r="AE132" i="9"/>
  <c r="AJ132" i="9" s="1"/>
  <c r="AE140" i="9"/>
  <c r="AJ140" i="9" s="1"/>
  <c r="AE148" i="9"/>
  <c r="AJ148" i="9" s="1"/>
  <c r="AE156" i="9"/>
  <c r="AJ156" i="9" s="1"/>
  <c r="AE164" i="9"/>
  <c r="AJ164" i="9" s="1"/>
  <c r="AE172" i="9"/>
  <c r="AJ172" i="9" s="1"/>
  <c r="AE180" i="9"/>
  <c r="AJ180" i="9" s="1"/>
  <c r="AE188" i="9"/>
  <c r="AJ188" i="9" s="1"/>
  <c r="AE196" i="9"/>
  <c r="AJ196" i="9" s="1"/>
  <c r="AE204" i="9"/>
  <c r="AJ204" i="9" s="1"/>
  <c r="AE212" i="9"/>
  <c r="AJ212" i="9" s="1"/>
  <c r="AE220" i="9"/>
  <c r="AJ220" i="9" s="1"/>
  <c r="AE228" i="9"/>
  <c r="AJ228" i="9" s="1"/>
  <c r="AE236" i="9"/>
  <c r="AJ236" i="9" s="1"/>
  <c r="AE244" i="9"/>
  <c r="AJ244" i="9" s="1"/>
  <c r="AE258" i="9"/>
  <c r="AJ258" i="9" s="1"/>
  <c r="AE350" i="9"/>
  <c r="AJ350" i="9" s="1"/>
  <c r="AE358" i="9"/>
  <c r="AJ358" i="9" s="1"/>
  <c r="AE366" i="9"/>
  <c r="AJ366" i="9" s="1"/>
  <c r="AE374" i="9"/>
  <c r="AJ374" i="9" s="1"/>
  <c r="AE382" i="9"/>
  <c r="AJ382" i="9" s="1"/>
  <c r="AE390" i="9"/>
  <c r="AJ390" i="9" s="1"/>
  <c r="AE398" i="9"/>
  <c r="AJ398" i="9" s="1"/>
  <c r="AE406" i="9"/>
  <c r="AJ406" i="9" s="1"/>
  <c r="AE414" i="9"/>
  <c r="AJ414" i="9" s="1"/>
  <c r="AE18" i="9"/>
  <c r="AJ18" i="9" s="1"/>
  <c r="AE23" i="9"/>
  <c r="AJ23" i="9" s="1"/>
  <c r="AE255" i="9"/>
  <c r="AJ255" i="9" s="1"/>
  <c r="AE272" i="9"/>
  <c r="AJ272" i="9" s="1"/>
  <c r="AE288" i="9"/>
  <c r="AJ288" i="9" s="1"/>
  <c r="AE304" i="9"/>
  <c r="AJ304" i="9" s="1"/>
  <c r="AE320" i="9"/>
  <c r="AJ320" i="9" s="1"/>
  <c r="AE336" i="9"/>
  <c r="AJ336" i="9" s="1"/>
  <c r="AE342" i="9"/>
  <c r="AJ342" i="9" s="1"/>
  <c r="AE353" i="9"/>
  <c r="AJ353" i="9" s="1"/>
  <c r="AE361" i="9"/>
  <c r="AJ361" i="9" s="1"/>
  <c r="AE369" i="9"/>
  <c r="AJ369" i="9" s="1"/>
  <c r="AE377" i="9"/>
  <c r="AJ377" i="9" s="1"/>
  <c r="AE385" i="9"/>
  <c r="AJ385" i="9" s="1"/>
  <c r="AE393" i="9"/>
  <c r="AJ393" i="9" s="1"/>
  <c r="AE401" i="9"/>
  <c r="AJ401" i="9" s="1"/>
  <c r="AE409" i="9"/>
  <c r="AJ409" i="9" s="1"/>
  <c r="AE417" i="9"/>
  <c r="AJ417" i="9" s="1"/>
  <c r="AE425" i="9"/>
  <c r="AJ425" i="9" s="1"/>
  <c r="AE433" i="9"/>
  <c r="AJ433" i="9" s="1"/>
  <c r="AE441" i="9"/>
  <c r="AJ441" i="9" s="1"/>
  <c r="AE252" i="9"/>
  <c r="AJ252" i="9" s="1"/>
  <c r="AE266" i="9"/>
  <c r="AJ266" i="9" s="1"/>
  <c r="AE269" i="9"/>
  <c r="AJ269" i="9" s="1"/>
  <c r="AE279" i="9"/>
  <c r="AJ279" i="9" s="1"/>
  <c r="AE282" i="9"/>
  <c r="AJ282" i="9" s="1"/>
  <c r="AE285" i="9"/>
  <c r="AJ285" i="9" s="1"/>
  <c r="AE295" i="9"/>
  <c r="AJ295" i="9" s="1"/>
  <c r="AE298" i="9"/>
  <c r="AJ298" i="9" s="1"/>
  <c r="AE301" i="9"/>
  <c r="AJ301" i="9" s="1"/>
  <c r="AE311" i="9"/>
  <c r="AJ311" i="9" s="1"/>
  <c r="AE314" i="9"/>
  <c r="AJ314" i="9" s="1"/>
  <c r="AE317" i="9"/>
  <c r="AJ317" i="9" s="1"/>
  <c r="AE327" i="9"/>
  <c r="AJ327" i="9" s="1"/>
  <c r="AE330" i="9"/>
  <c r="AJ330" i="9" s="1"/>
  <c r="AE333" i="9"/>
  <c r="AJ333" i="9" s="1"/>
  <c r="AE345" i="9"/>
  <c r="AJ345" i="9" s="1"/>
  <c r="AE348" i="9"/>
  <c r="AJ348" i="9" s="1"/>
  <c r="AE356" i="9"/>
  <c r="AJ356" i="9" s="1"/>
  <c r="AE364" i="9"/>
  <c r="AJ364" i="9" s="1"/>
  <c r="AE372" i="9"/>
  <c r="AJ372" i="9" s="1"/>
  <c r="AE380" i="9"/>
  <c r="AJ380" i="9" s="1"/>
  <c r="AE388" i="9"/>
  <c r="AJ388" i="9" s="1"/>
  <c r="AE15" i="9"/>
  <c r="AJ15" i="9" s="1"/>
  <c r="AE37" i="9"/>
  <c r="AJ37" i="9" s="1"/>
  <c r="AE45" i="9"/>
  <c r="AJ45" i="9" s="1"/>
  <c r="AE53" i="9"/>
  <c r="AJ53" i="9" s="1"/>
  <c r="AE61" i="9"/>
  <c r="AJ61" i="9" s="1"/>
  <c r="AE69" i="9"/>
  <c r="AJ69" i="9" s="1"/>
  <c r="AE77" i="9"/>
  <c r="AJ77" i="9" s="1"/>
  <c r="AE85" i="9"/>
  <c r="AJ85" i="9" s="1"/>
  <c r="AE93" i="9"/>
  <c r="AJ93" i="9" s="1"/>
  <c r="AE101" i="9"/>
  <c r="AJ101" i="9" s="1"/>
  <c r="AE109" i="9"/>
  <c r="AJ109" i="9" s="1"/>
  <c r="AE117" i="9"/>
  <c r="AJ117" i="9" s="1"/>
  <c r="AE125" i="9"/>
  <c r="AJ125" i="9" s="1"/>
  <c r="AE133" i="9"/>
  <c r="AJ133" i="9" s="1"/>
  <c r="AE141" i="9"/>
  <c r="AJ141" i="9" s="1"/>
  <c r="AE149" i="9"/>
  <c r="AJ149" i="9" s="1"/>
  <c r="AE157" i="9"/>
  <c r="AJ157" i="9" s="1"/>
  <c r="AE165" i="9"/>
  <c r="AJ165" i="9" s="1"/>
  <c r="AE173" i="9"/>
  <c r="AJ173" i="9" s="1"/>
  <c r="AE181" i="9"/>
  <c r="AJ181" i="9" s="1"/>
  <c r="AE189" i="9"/>
  <c r="AJ189" i="9" s="1"/>
  <c r="AE197" i="9"/>
  <c r="AJ197" i="9" s="1"/>
  <c r="AE205" i="9"/>
  <c r="AJ205" i="9" s="1"/>
  <c r="AE213" i="9"/>
  <c r="AJ213" i="9" s="1"/>
  <c r="AE221" i="9"/>
  <c r="AJ221" i="9" s="1"/>
  <c r="AE229" i="9"/>
  <c r="AJ229" i="9" s="1"/>
  <c r="AE237" i="9"/>
  <c r="AJ237" i="9" s="1"/>
  <c r="AE245" i="9"/>
  <c r="AJ245" i="9" s="1"/>
  <c r="AE249" i="9"/>
  <c r="AJ249" i="9" s="1"/>
  <c r="AE263" i="9"/>
  <c r="AJ263" i="9" s="1"/>
  <c r="AE273" i="9"/>
  <c r="AJ273" i="9" s="1"/>
  <c r="AE276" i="9"/>
  <c r="AJ276" i="9" s="1"/>
  <c r="AE289" i="9"/>
  <c r="AJ289" i="9" s="1"/>
  <c r="AE292" i="9"/>
  <c r="AJ292" i="9" s="1"/>
  <c r="AE305" i="9"/>
  <c r="AJ305" i="9" s="1"/>
  <c r="AE308" i="9"/>
  <c r="AJ308" i="9" s="1"/>
  <c r="AE321" i="9"/>
  <c r="AJ321" i="9" s="1"/>
  <c r="AE324" i="9"/>
  <c r="AJ324" i="9" s="1"/>
  <c r="AE351" i="9"/>
  <c r="AJ351" i="9" s="1"/>
  <c r="AE359" i="9"/>
  <c r="AJ359" i="9" s="1"/>
  <c r="AE367" i="9"/>
  <c r="AJ367" i="9" s="1"/>
  <c r="AE375" i="9"/>
  <c r="AJ375" i="9" s="1"/>
  <c r="AE383" i="9"/>
  <c r="AJ383" i="9" s="1"/>
  <c r="AE391" i="9"/>
  <c r="AJ391" i="9" s="1"/>
  <c r="AE399" i="9"/>
  <c r="AJ399" i="9" s="1"/>
  <c r="AE407" i="9"/>
  <c r="AJ407" i="9" s="1"/>
  <c r="AE415" i="9"/>
  <c r="AJ415" i="9" s="1"/>
  <c r="AE423" i="9"/>
  <c r="AJ423" i="9" s="1"/>
  <c r="AE340" i="9"/>
  <c r="AJ340" i="9" s="1"/>
  <c r="AE378" i="9"/>
  <c r="AJ378" i="9" s="1"/>
  <c r="AE402" i="9"/>
  <c r="AJ402" i="9" s="1"/>
  <c r="AE422" i="9"/>
  <c r="AJ422" i="9" s="1"/>
  <c r="AE457" i="9"/>
  <c r="AJ457" i="9" s="1"/>
  <c r="AE471" i="9"/>
  <c r="AJ471" i="9" s="1"/>
  <c r="AE494" i="9"/>
  <c r="AJ494" i="9" s="1"/>
  <c r="AE502" i="9"/>
  <c r="AJ502" i="9" s="1"/>
  <c r="AE510" i="9"/>
  <c r="AJ510" i="9" s="1"/>
  <c r="AE518" i="9"/>
  <c r="AJ518" i="9" s="1"/>
  <c r="AE526" i="9"/>
  <c r="AJ526" i="9" s="1"/>
  <c r="AE534" i="9"/>
  <c r="AJ534" i="9" s="1"/>
  <c r="AE542" i="9"/>
  <c r="AJ542" i="9" s="1"/>
  <c r="AE550" i="9"/>
  <c r="AJ550" i="9" s="1"/>
  <c r="AE558" i="9"/>
  <c r="AJ558" i="9" s="1"/>
  <c r="AE566" i="9"/>
  <c r="AJ566" i="9" s="1"/>
  <c r="AE574" i="9"/>
  <c r="AJ574" i="9" s="1"/>
  <c r="AE582" i="9"/>
  <c r="AJ582" i="9" s="1"/>
  <c r="AE590" i="9"/>
  <c r="AJ590" i="9" s="1"/>
  <c r="AE598" i="9"/>
  <c r="AJ598" i="9" s="1"/>
  <c r="AE606" i="9"/>
  <c r="AJ606" i="9" s="1"/>
  <c r="AE614" i="9"/>
  <c r="AJ614" i="9" s="1"/>
  <c r="AE622" i="9"/>
  <c r="AJ622" i="9" s="1"/>
  <c r="AE630" i="9"/>
  <c r="AJ630" i="9" s="1"/>
  <c r="AE638" i="9"/>
  <c r="AJ638" i="9" s="1"/>
  <c r="AE646" i="9"/>
  <c r="AJ646" i="9" s="1"/>
  <c r="AE654" i="9"/>
  <c r="AJ654" i="9" s="1"/>
  <c r="AE662" i="9"/>
  <c r="AJ662" i="9" s="1"/>
  <c r="AE670" i="9"/>
  <c r="AJ670" i="9" s="1"/>
  <c r="AE678" i="9"/>
  <c r="AJ678" i="9" s="1"/>
  <c r="AE686" i="9"/>
  <c r="AJ686" i="9" s="1"/>
  <c r="AE694" i="9"/>
  <c r="AJ694" i="9" s="1"/>
  <c r="AE702" i="9"/>
  <c r="AJ702" i="9" s="1"/>
  <c r="AE710" i="9"/>
  <c r="AJ710" i="9" s="1"/>
  <c r="AE718" i="9"/>
  <c r="AJ718" i="9" s="1"/>
  <c r="AE726" i="9"/>
  <c r="AJ726" i="9" s="1"/>
  <c r="AE734" i="9"/>
  <c r="AJ734" i="9" s="1"/>
  <c r="AE742" i="9"/>
  <c r="AJ742" i="9" s="1"/>
  <c r="AE750" i="9"/>
  <c r="AJ750" i="9" s="1"/>
  <c r="AE758" i="9"/>
  <c r="AJ758" i="9" s="1"/>
  <c r="AE766" i="9"/>
  <c r="AJ766" i="9" s="1"/>
  <c r="AE774" i="9"/>
  <c r="AJ774" i="9" s="1"/>
  <c r="AE782" i="9"/>
  <c r="AJ782" i="9" s="1"/>
  <c r="AE790" i="9"/>
  <c r="AJ790" i="9" s="1"/>
  <c r="AE798" i="9"/>
  <c r="AJ798" i="9" s="1"/>
  <c r="AE806" i="9"/>
  <c r="AJ806" i="9" s="1"/>
  <c r="AE814" i="9"/>
  <c r="AJ814" i="9" s="1"/>
  <c r="AE822" i="9"/>
  <c r="AJ822" i="9" s="1"/>
  <c r="AE830" i="9"/>
  <c r="AJ830" i="9" s="1"/>
  <c r="AE838" i="9"/>
  <c r="AJ838" i="9" s="1"/>
  <c r="AE29" i="9"/>
  <c r="AJ29" i="9" s="1"/>
  <c r="AE418" i="9"/>
  <c r="AJ418" i="9" s="1"/>
  <c r="AE431" i="9"/>
  <c r="AJ431" i="9" s="1"/>
  <c r="AE439" i="9"/>
  <c r="AJ439" i="9" s="1"/>
  <c r="AE450" i="9"/>
  <c r="AJ450" i="9" s="1"/>
  <c r="AE454" i="9"/>
  <c r="AJ454" i="9" s="1"/>
  <c r="AE468" i="9"/>
  <c r="AJ468" i="9" s="1"/>
  <c r="AE482" i="9"/>
  <c r="AJ482" i="9" s="1"/>
  <c r="AE497" i="9"/>
  <c r="AJ497" i="9" s="1"/>
  <c r="AE505" i="9"/>
  <c r="AJ505" i="9" s="1"/>
  <c r="AE513" i="9"/>
  <c r="AJ513" i="9" s="1"/>
  <c r="AE521" i="9"/>
  <c r="AJ521" i="9" s="1"/>
  <c r="AE529" i="9"/>
  <c r="AJ529" i="9" s="1"/>
  <c r="AE537" i="9"/>
  <c r="AJ537" i="9" s="1"/>
  <c r="AE545" i="9"/>
  <c r="AJ545" i="9" s="1"/>
  <c r="AE553" i="9"/>
  <c r="AJ553" i="9" s="1"/>
  <c r="AE561" i="9"/>
  <c r="AJ561" i="9" s="1"/>
  <c r="AE569" i="9"/>
  <c r="AJ569" i="9" s="1"/>
  <c r="AE577" i="9"/>
  <c r="AJ577" i="9" s="1"/>
  <c r="AE585" i="9"/>
  <c r="AJ585" i="9" s="1"/>
  <c r="AE593" i="9"/>
  <c r="AJ593" i="9" s="1"/>
  <c r="AE601" i="9"/>
  <c r="AJ601" i="9" s="1"/>
  <c r="AE609" i="9"/>
  <c r="AJ609" i="9" s="1"/>
  <c r="AE617" i="9"/>
  <c r="AJ617" i="9" s="1"/>
  <c r="AE625" i="9"/>
  <c r="AJ625" i="9" s="1"/>
  <c r="AE633" i="9"/>
  <c r="AJ633" i="9" s="1"/>
  <c r="AE641" i="9"/>
  <c r="AJ641" i="9" s="1"/>
  <c r="AE649" i="9"/>
  <c r="AJ649" i="9" s="1"/>
  <c r="AE657" i="9"/>
  <c r="AJ657" i="9" s="1"/>
  <c r="AE665" i="9"/>
  <c r="AJ665" i="9" s="1"/>
  <c r="AE673" i="9"/>
  <c r="AJ673" i="9" s="1"/>
  <c r="AE681" i="9"/>
  <c r="AJ681" i="9" s="1"/>
  <c r="AE689" i="9"/>
  <c r="AJ689" i="9" s="1"/>
  <c r="AE697" i="9"/>
  <c r="AJ697" i="9" s="1"/>
  <c r="AE705" i="9"/>
  <c r="AJ705" i="9" s="1"/>
  <c r="AE713" i="9"/>
  <c r="AJ713" i="9" s="1"/>
  <c r="AE721" i="9"/>
  <c r="AJ721" i="9" s="1"/>
  <c r="AE729" i="9"/>
  <c r="AJ729" i="9" s="1"/>
  <c r="AE737" i="9"/>
  <c r="AJ737" i="9" s="1"/>
  <c r="AE745" i="9"/>
  <c r="AJ745" i="9" s="1"/>
  <c r="AE753" i="9"/>
  <c r="AJ753" i="9" s="1"/>
  <c r="AE761" i="9"/>
  <c r="AJ761" i="9" s="1"/>
  <c r="AE354" i="9"/>
  <c r="AJ354" i="9" s="1"/>
  <c r="AE386" i="9"/>
  <c r="AJ386" i="9" s="1"/>
  <c r="AE428" i="9"/>
  <c r="AJ428" i="9" s="1"/>
  <c r="AE436" i="9"/>
  <c r="AJ436" i="9" s="1"/>
  <c r="AE447" i="9"/>
  <c r="AJ447" i="9" s="1"/>
  <c r="AE465" i="9"/>
  <c r="AJ465" i="9" s="1"/>
  <c r="AE479" i="9"/>
  <c r="AJ479" i="9" s="1"/>
  <c r="AE486" i="9"/>
  <c r="AJ486" i="9" s="1"/>
  <c r="AE489" i="9"/>
  <c r="AJ489" i="9" s="1"/>
  <c r="AE492" i="9"/>
  <c r="AJ492" i="9" s="1"/>
  <c r="AE500" i="9"/>
  <c r="AJ500" i="9" s="1"/>
  <c r="AE508" i="9"/>
  <c r="AJ508" i="9" s="1"/>
  <c r="AE516" i="9"/>
  <c r="AJ516" i="9" s="1"/>
  <c r="AE524" i="9"/>
  <c r="AJ524" i="9" s="1"/>
  <c r="AE532" i="9"/>
  <c r="AJ532" i="9" s="1"/>
  <c r="AE540" i="9"/>
  <c r="AJ540" i="9" s="1"/>
  <c r="AE548" i="9"/>
  <c r="AJ548" i="9" s="1"/>
  <c r="AE556" i="9"/>
  <c r="AJ556" i="9" s="1"/>
  <c r="AE564" i="9"/>
  <c r="AJ564" i="9" s="1"/>
  <c r="AE572" i="9"/>
  <c r="AJ572" i="9" s="1"/>
  <c r="AE580" i="9"/>
  <c r="AJ580" i="9" s="1"/>
  <c r="AE588" i="9"/>
  <c r="AJ588" i="9" s="1"/>
  <c r="AE596" i="9"/>
  <c r="AJ596" i="9" s="1"/>
  <c r="AE604" i="9"/>
  <c r="AJ604" i="9" s="1"/>
  <c r="AE612" i="9"/>
  <c r="AJ612" i="9" s="1"/>
  <c r="AE620" i="9"/>
  <c r="AJ620" i="9" s="1"/>
  <c r="AE628" i="9"/>
  <c r="AJ628" i="9" s="1"/>
  <c r="AE636" i="9"/>
  <c r="AJ636" i="9" s="1"/>
  <c r="AE644" i="9"/>
  <c r="AJ644" i="9" s="1"/>
  <c r="AE652" i="9"/>
  <c r="AJ652" i="9" s="1"/>
  <c r="AE660" i="9"/>
  <c r="AJ660" i="9" s="1"/>
  <c r="AE668" i="9"/>
  <c r="AJ668" i="9" s="1"/>
  <c r="AE676" i="9"/>
  <c r="AJ676" i="9" s="1"/>
  <c r="AE684" i="9"/>
  <c r="AJ684" i="9" s="1"/>
  <c r="AE692" i="9"/>
  <c r="AJ692" i="9" s="1"/>
  <c r="AE700" i="9"/>
  <c r="AJ700" i="9" s="1"/>
  <c r="AE708" i="9"/>
  <c r="AJ708" i="9" s="1"/>
  <c r="AE716" i="9"/>
  <c r="AJ716" i="9" s="1"/>
  <c r="AE724" i="9"/>
  <c r="AJ724" i="9" s="1"/>
  <c r="AE732" i="9"/>
  <c r="AJ732" i="9" s="1"/>
  <c r="AE740" i="9"/>
  <c r="AJ740" i="9" s="1"/>
  <c r="AE748" i="9"/>
  <c r="AJ748" i="9" s="1"/>
  <c r="AE756" i="9"/>
  <c r="AJ756" i="9" s="1"/>
  <c r="AE404" i="9"/>
  <c r="AJ404" i="9" s="1"/>
  <c r="AE444" i="9"/>
  <c r="AJ444" i="9" s="1"/>
  <c r="AE458" i="9"/>
  <c r="AJ458" i="9" s="1"/>
  <c r="AE462" i="9"/>
  <c r="AJ462" i="9" s="1"/>
  <c r="AE476" i="9"/>
  <c r="AJ476" i="9" s="1"/>
  <c r="AE495" i="9"/>
  <c r="AJ495" i="9" s="1"/>
  <c r="AE503" i="9"/>
  <c r="AJ503" i="9" s="1"/>
  <c r="AE511" i="9"/>
  <c r="AJ511" i="9" s="1"/>
  <c r="AE519" i="9"/>
  <c r="AJ519" i="9" s="1"/>
  <c r="AE527" i="9"/>
  <c r="AJ527" i="9" s="1"/>
  <c r="AE535" i="9"/>
  <c r="AJ535" i="9" s="1"/>
  <c r="AE543" i="9"/>
  <c r="AJ543" i="9" s="1"/>
  <c r="AE551" i="9"/>
  <c r="AJ551" i="9" s="1"/>
  <c r="AE559" i="9"/>
  <c r="AJ559" i="9" s="1"/>
  <c r="AE567" i="9"/>
  <c r="AJ567" i="9" s="1"/>
  <c r="AE575" i="9"/>
  <c r="AJ575" i="9" s="1"/>
  <c r="AE583" i="9"/>
  <c r="AJ583" i="9" s="1"/>
  <c r="AE591" i="9"/>
  <c r="AJ591" i="9" s="1"/>
  <c r="AE599" i="9"/>
  <c r="AJ599" i="9" s="1"/>
  <c r="AE607" i="9"/>
  <c r="AJ607" i="9" s="1"/>
  <c r="AE615" i="9"/>
  <c r="AJ615" i="9" s="1"/>
  <c r="AE623" i="9"/>
  <c r="AJ623" i="9" s="1"/>
  <c r="AE631" i="9"/>
  <c r="AJ631" i="9" s="1"/>
  <c r="AE639" i="9"/>
  <c r="AJ639" i="9" s="1"/>
  <c r="AE647" i="9"/>
  <c r="AJ647" i="9" s="1"/>
  <c r="AE655" i="9"/>
  <c r="AJ655" i="9" s="1"/>
  <c r="AE663" i="9"/>
  <c r="AJ663" i="9" s="1"/>
  <c r="AE671" i="9"/>
  <c r="AJ671" i="9" s="1"/>
  <c r="AE679" i="9"/>
  <c r="AJ679" i="9" s="1"/>
  <c r="AE687" i="9"/>
  <c r="AJ687" i="9" s="1"/>
  <c r="AE695" i="9"/>
  <c r="AJ695" i="9" s="1"/>
  <c r="AE703" i="9"/>
  <c r="AJ703" i="9" s="1"/>
  <c r="AE711" i="9"/>
  <c r="AJ711" i="9" s="1"/>
  <c r="AE719" i="9"/>
  <c r="AJ719" i="9" s="1"/>
  <c r="AE727" i="9"/>
  <c r="AJ727" i="9" s="1"/>
  <c r="AE735" i="9"/>
  <c r="AJ735" i="9" s="1"/>
  <c r="AE743" i="9"/>
  <c r="AJ743" i="9" s="1"/>
  <c r="AE337" i="9"/>
  <c r="AJ337" i="9" s="1"/>
  <c r="AE343" i="9"/>
  <c r="AJ343" i="9" s="1"/>
  <c r="AE362" i="9"/>
  <c r="AJ362" i="9" s="1"/>
  <c r="AE394" i="9"/>
  <c r="AJ394" i="9" s="1"/>
  <c r="AE410" i="9"/>
  <c r="AJ410" i="9" s="1"/>
  <c r="AE420" i="9"/>
  <c r="AJ420" i="9" s="1"/>
  <c r="AE455" i="9"/>
  <c r="AJ455" i="9" s="1"/>
  <c r="AE473" i="9"/>
  <c r="AJ473" i="9" s="1"/>
  <c r="AE498" i="9"/>
  <c r="AJ498" i="9" s="1"/>
  <c r="AE506" i="9"/>
  <c r="AJ506" i="9" s="1"/>
  <c r="AE514" i="9"/>
  <c r="AJ514" i="9" s="1"/>
  <c r="AE522" i="9"/>
  <c r="AJ522" i="9" s="1"/>
  <c r="AE530" i="9"/>
  <c r="AJ530" i="9" s="1"/>
  <c r="AE538" i="9"/>
  <c r="AJ538" i="9" s="1"/>
  <c r="AE546" i="9"/>
  <c r="AJ546" i="9" s="1"/>
  <c r="AE554" i="9"/>
  <c r="AJ554" i="9" s="1"/>
  <c r="AE562" i="9"/>
  <c r="AJ562" i="9" s="1"/>
  <c r="AE570" i="9"/>
  <c r="AJ570" i="9" s="1"/>
  <c r="AE578" i="9"/>
  <c r="AJ578" i="9" s="1"/>
  <c r="AE586" i="9"/>
  <c r="AJ586" i="9" s="1"/>
  <c r="AE594" i="9"/>
  <c r="AJ594" i="9" s="1"/>
  <c r="AE602" i="9"/>
  <c r="AJ602" i="9" s="1"/>
  <c r="AE610" i="9"/>
  <c r="AJ610" i="9" s="1"/>
  <c r="AE618" i="9"/>
  <c r="AJ618" i="9" s="1"/>
  <c r="AE626" i="9"/>
  <c r="AJ626" i="9" s="1"/>
  <c r="AE634" i="9"/>
  <c r="AJ634" i="9" s="1"/>
  <c r="AE642" i="9"/>
  <c r="AJ642" i="9" s="1"/>
  <c r="AE650" i="9"/>
  <c r="AJ650" i="9" s="1"/>
  <c r="AE658" i="9"/>
  <c r="AJ658" i="9" s="1"/>
  <c r="AE666" i="9"/>
  <c r="AJ666" i="9" s="1"/>
  <c r="AE260" i="9"/>
  <c r="AJ260" i="9" s="1"/>
  <c r="AE452" i="9"/>
  <c r="AJ452" i="9" s="1"/>
  <c r="AE466" i="9"/>
  <c r="AJ466" i="9" s="1"/>
  <c r="AE470" i="9"/>
  <c r="AJ470" i="9" s="1"/>
  <c r="AE487" i="9"/>
  <c r="AJ487" i="9" s="1"/>
  <c r="AE490" i="9"/>
  <c r="AJ490" i="9" s="1"/>
  <c r="AE493" i="9"/>
  <c r="AJ493" i="9" s="1"/>
  <c r="AE501" i="9"/>
  <c r="AJ501" i="9" s="1"/>
  <c r="AE509" i="9"/>
  <c r="AJ509" i="9" s="1"/>
  <c r="AE517" i="9"/>
  <c r="AJ517" i="9" s="1"/>
  <c r="AE525" i="9"/>
  <c r="AJ525" i="9" s="1"/>
  <c r="AE533" i="9"/>
  <c r="AJ533" i="9" s="1"/>
  <c r="AE541" i="9"/>
  <c r="AJ541" i="9" s="1"/>
  <c r="AE549" i="9"/>
  <c r="AJ549" i="9" s="1"/>
  <c r="AE557" i="9"/>
  <c r="AJ557" i="9" s="1"/>
  <c r="AE565" i="9"/>
  <c r="AJ565" i="9" s="1"/>
  <c r="AE573" i="9"/>
  <c r="AJ573" i="9" s="1"/>
  <c r="AE581" i="9"/>
  <c r="AJ581" i="9" s="1"/>
  <c r="AE589" i="9"/>
  <c r="AJ589" i="9" s="1"/>
  <c r="AE597" i="9"/>
  <c r="AJ597" i="9" s="1"/>
  <c r="AE605" i="9"/>
  <c r="AJ605" i="9" s="1"/>
  <c r="AE613" i="9"/>
  <c r="AJ613" i="9" s="1"/>
  <c r="AE621" i="9"/>
  <c r="AJ621" i="9" s="1"/>
  <c r="AE629" i="9"/>
  <c r="AJ629" i="9" s="1"/>
  <c r="AE637" i="9"/>
  <c r="AJ637" i="9" s="1"/>
  <c r="AE645" i="9"/>
  <c r="AJ645" i="9" s="1"/>
  <c r="AE653" i="9"/>
  <c r="AJ653" i="9" s="1"/>
  <c r="AE661" i="9"/>
  <c r="AJ661" i="9" s="1"/>
  <c r="AE669" i="9"/>
  <c r="AJ669" i="9" s="1"/>
  <c r="AE370" i="9"/>
  <c r="AJ370" i="9" s="1"/>
  <c r="AE430" i="9"/>
  <c r="AJ430" i="9" s="1"/>
  <c r="AE438" i="9"/>
  <c r="AJ438" i="9" s="1"/>
  <c r="AE449" i="9"/>
  <c r="AJ449" i="9" s="1"/>
  <c r="AE463" i="9"/>
  <c r="AJ463" i="9" s="1"/>
  <c r="AE481" i="9"/>
  <c r="AJ481" i="9" s="1"/>
  <c r="AE484" i="9"/>
  <c r="AJ484" i="9" s="1"/>
  <c r="AE496" i="9"/>
  <c r="AJ496" i="9" s="1"/>
  <c r="AE504" i="9"/>
  <c r="AJ504" i="9" s="1"/>
  <c r="AE512" i="9"/>
  <c r="AJ512" i="9" s="1"/>
  <c r="AE520" i="9"/>
  <c r="AJ520" i="9" s="1"/>
  <c r="AE528" i="9"/>
  <c r="AJ528" i="9" s="1"/>
  <c r="AE536" i="9"/>
  <c r="AJ536" i="9" s="1"/>
  <c r="AE434" i="9"/>
  <c r="AJ434" i="9" s="1"/>
  <c r="AE672" i="9"/>
  <c r="AJ672" i="9" s="1"/>
  <c r="AE680" i="9"/>
  <c r="AJ680" i="9" s="1"/>
  <c r="AE688" i="9"/>
  <c r="AJ688" i="9" s="1"/>
  <c r="AE696" i="9"/>
  <c r="AJ696" i="9" s="1"/>
  <c r="AE704" i="9"/>
  <c r="AJ704" i="9" s="1"/>
  <c r="AE712" i="9"/>
  <c r="AJ712" i="9" s="1"/>
  <c r="AE720" i="9"/>
  <c r="AJ720" i="9" s="1"/>
  <c r="AE728" i="9"/>
  <c r="AJ728" i="9" s="1"/>
  <c r="AE736" i="9"/>
  <c r="AJ736" i="9" s="1"/>
  <c r="AE744" i="9"/>
  <c r="AJ744" i="9" s="1"/>
  <c r="AE755" i="9"/>
  <c r="AJ755" i="9" s="1"/>
  <c r="AE759" i="9"/>
  <c r="AJ759" i="9" s="1"/>
  <c r="AE765" i="9"/>
  <c r="AJ765" i="9" s="1"/>
  <c r="AE768" i="9"/>
  <c r="AJ768" i="9" s="1"/>
  <c r="AE771" i="9"/>
  <c r="AJ771" i="9" s="1"/>
  <c r="AE777" i="9"/>
  <c r="AJ777" i="9" s="1"/>
  <c r="AE797" i="9"/>
  <c r="AJ797" i="9" s="1"/>
  <c r="AE800" i="9"/>
  <c r="AJ800" i="9" s="1"/>
  <c r="AE803" i="9"/>
  <c r="AJ803" i="9" s="1"/>
  <c r="AE809" i="9"/>
  <c r="AJ809" i="9" s="1"/>
  <c r="AE829" i="9"/>
  <c r="AJ829" i="9" s="1"/>
  <c r="AE832" i="9"/>
  <c r="AJ832" i="9" s="1"/>
  <c r="AE835" i="9"/>
  <c r="AJ835" i="9" s="1"/>
  <c r="AE846" i="9"/>
  <c r="AJ846" i="9" s="1"/>
  <c r="AE854" i="9"/>
  <c r="AJ854" i="9" s="1"/>
  <c r="AE862" i="9"/>
  <c r="AJ862" i="9" s="1"/>
  <c r="AE870" i="9"/>
  <c r="AJ870" i="9" s="1"/>
  <c r="AE878" i="9"/>
  <c r="AJ878" i="9" s="1"/>
  <c r="AE886" i="9"/>
  <c r="AJ886" i="9" s="1"/>
  <c r="AE894" i="9"/>
  <c r="AJ894" i="9" s="1"/>
  <c r="AE902" i="9"/>
  <c r="AJ902" i="9" s="1"/>
  <c r="AE910" i="9"/>
  <c r="AJ910" i="9" s="1"/>
  <c r="AE918" i="9"/>
  <c r="AJ918" i="9" s="1"/>
  <c r="AE926" i="9"/>
  <c r="AJ926" i="9" s="1"/>
  <c r="AE934" i="9"/>
  <c r="AJ934" i="9" s="1"/>
  <c r="AE942" i="9"/>
  <c r="AJ942" i="9" s="1"/>
  <c r="AE950" i="9"/>
  <c r="AJ950" i="9" s="1"/>
  <c r="AE958" i="9"/>
  <c r="AJ958" i="9" s="1"/>
  <c r="AE966" i="9"/>
  <c r="AJ966" i="9" s="1"/>
  <c r="AE974" i="9"/>
  <c r="AJ974" i="9" s="1"/>
  <c r="AE982" i="9"/>
  <c r="AJ982" i="9" s="1"/>
  <c r="AE990" i="9"/>
  <c r="AJ990" i="9" s="1"/>
  <c r="AE998" i="9"/>
  <c r="AJ998" i="9" s="1"/>
  <c r="AE442" i="9"/>
  <c r="AJ442" i="9" s="1"/>
  <c r="AE515" i="9"/>
  <c r="AJ515" i="9" s="1"/>
  <c r="AE752" i="9"/>
  <c r="AJ752" i="9" s="1"/>
  <c r="AE780" i="9"/>
  <c r="AJ780" i="9" s="1"/>
  <c r="AE783" i="9"/>
  <c r="AJ783" i="9" s="1"/>
  <c r="AE786" i="9"/>
  <c r="AJ786" i="9" s="1"/>
  <c r="AE812" i="9"/>
  <c r="AJ812" i="9" s="1"/>
  <c r="AE815" i="9"/>
  <c r="AJ815" i="9" s="1"/>
  <c r="AE818" i="9"/>
  <c r="AJ818" i="9" s="1"/>
  <c r="AE841" i="9"/>
  <c r="AJ841" i="9" s="1"/>
  <c r="AE849" i="9"/>
  <c r="AJ849" i="9" s="1"/>
  <c r="AE857" i="9"/>
  <c r="AJ857" i="9" s="1"/>
  <c r="AE865" i="9"/>
  <c r="AJ865" i="9" s="1"/>
  <c r="AE873" i="9"/>
  <c r="AJ873" i="9" s="1"/>
  <c r="AE881" i="9"/>
  <c r="AJ881" i="9" s="1"/>
  <c r="AE889" i="9"/>
  <c r="AJ889" i="9" s="1"/>
  <c r="AE897" i="9"/>
  <c r="AJ897" i="9" s="1"/>
  <c r="AE905" i="9"/>
  <c r="AJ905" i="9" s="1"/>
  <c r="AE913" i="9"/>
  <c r="AJ913" i="9" s="1"/>
  <c r="AE921" i="9"/>
  <c r="AJ921" i="9" s="1"/>
  <c r="AE929" i="9"/>
  <c r="AJ929" i="9" s="1"/>
  <c r="AE937" i="9"/>
  <c r="AJ937" i="9" s="1"/>
  <c r="AE945" i="9"/>
  <c r="AJ945" i="9" s="1"/>
  <c r="AE953" i="9"/>
  <c r="AJ953" i="9" s="1"/>
  <c r="AE961" i="9"/>
  <c r="AJ961" i="9" s="1"/>
  <c r="AE969" i="9"/>
  <c r="AJ969" i="9" s="1"/>
  <c r="AE977" i="9"/>
  <c r="AJ977" i="9" s="1"/>
  <c r="AE985" i="9"/>
  <c r="AJ985" i="9" s="1"/>
  <c r="AE993" i="9"/>
  <c r="AJ993" i="9" s="1"/>
  <c r="AE1001" i="9"/>
  <c r="AJ1001" i="9" s="1"/>
  <c r="AE552" i="9"/>
  <c r="AJ552" i="9" s="1"/>
  <c r="AE568" i="9"/>
  <c r="AJ568" i="9" s="1"/>
  <c r="AE584" i="9"/>
  <c r="AJ584" i="9" s="1"/>
  <c r="AE600" i="9"/>
  <c r="AJ600" i="9" s="1"/>
  <c r="AE616" i="9"/>
  <c r="AJ616" i="9" s="1"/>
  <c r="AE632" i="9"/>
  <c r="AJ632" i="9" s="1"/>
  <c r="AE648" i="9"/>
  <c r="AJ648" i="9" s="1"/>
  <c r="AE664" i="9"/>
  <c r="AJ664" i="9" s="1"/>
  <c r="AE677" i="9"/>
  <c r="AJ677" i="9" s="1"/>
  <c r="AE685" i="9"/>
  <c r="AJ685" i="9" s="1"/>
  <c r="AE693" i="9"/>
  <c r="AJ693" i="9" s="1"/>
  <c r="AE701" i="9"/>
  <c r="AJ701" i="9" s="1"/>
  <c r="AE709" i="9"/>
  <c r="AJ709" i="9" s="1"/>
  <c r="AE717" i="9"/>
  <c r="AJ717" i="9" s="1"/>
  <c r="AE725" i="9"/>
  <c r="AJ725" i="9" s="1"/>
  <c r="AE733" i="9"/>
  <c r="AJ733" i="9" s="1"/>
  <c r="AE741" i="9"/>
  <c r="AJ741" i="9" s="1"/>
  <c r="AE749" i="9"/>
  <c r="AJ749" i="9" s="1"/>
  <c r="AE763" i="9"/>
  <c r="AJ763" i="9" s="1"/>
  <c r="AE769" i="9"/>
  <c r="AJ769" i="9" s="1"/>
  <c r="AE789" i="9"/>
  <c r="AJ789" i="9" s="1"/>
  <c r="AE792" i="9"/>
  <c r="AJ792" i="9" s="1"/>
  <c r="AE795" i="9"/>
  <c r="AJ795" i="9" s="1"/>
  <c r="AE801" i="9"/>
  <c r="AJ801" i="9" s="1"/>
  <c r="AE821" i="9"/>
  <c r="AJ821" i="9" s="1"/>
  <c r="AE824" i="9"/>
  <c r="AJ824" i="9" s="1"/>
  <c r="AE827" i="9"/>
  <c r="AJ827" i="9" s="1"/>
  <c r="AE833" i="9"/>
  <c r="AJ833" i="9" s="1"/>
  <c r="AE844" i="9"/>
  <c r="AJ844" i="9" s="1"/>
  <c r="AE852" i="9"/>
  <c r="AJ852" i="9" s="1"/>
  <c r="AE860" i="9"/>
  <c r="AJ860" i="9" s="1"/>
  <c r="AE868" i="9"/>
  <c r="AJ868" i="9" s="1"/>
  <c r="AE876" i="9"/>
  <c r="AJ876" i="9" s="1"/>
  <c r="AE884" i="9"/>
  <c r="AJ884" i="9" s="1"/>
  <c r="AE892" i="9"/>
  <c r="AJ892" i="9" s="1"/>
  <c r="AE900" i="9"/>
  <c r="AJ900" i="9" s="1"/>
  <c r="AE908" i="9"/>
  <c r="AJ908" i="9" s="1"/>
  <c r="AE916" i="9"/>
  <c r="AJ916" i="9" s="1"/>
  <c r="AE924" i="9"/>
  <c r="AJ924" i="9" s="1"/>
  <c r="AE932" i="9"/>
  <c r="AJ932" i="9" s="1"/>
  <c r="AE940" i="9"/>
  <c r="AJ940" i="9" s="1"/>
  <c r="AE948" i="9"/>
  <c r="AJ948" i="9" s="1"/>
  <c r="AE956" i="9"/>
  <c r="AJ956" i="9" s="1"/>
  <c r="AE964" i="9"/>
  <c r="AJ964" i="9" s="1"/>
  <c r="AE972" i="9"/>
  <c r="AJ972" i="9" s="1"/>
  <c r="AE980" i="9"/>
  <c r="AJ980" i="9" s="1"/>
  <c r="AE988" i="9"/>
  <c r="AJ988" i="9" s="1"/>
  <c r="AE996" i="9"/>
  <c r="AJ996" i="9" s="1"/>
  <c r="AE1004" i="9"/>
  <c r="AJ1004" i="9" s="1"/>
  <c r="AE523" i="9"/>
  <c r="AJ523" i="9" s="1"/>
  <c r="AE547" i="9"/>
  <c r="AJ547" i="9" s="1"/>
  <c r="AE563" i="9"/>
  <c r="AJ563" i="9" s="1"/>
  <c r="AE579" i="9"/>
  <c r="AJ579" i="9" s="1"/>
  <c r="AE595" i="9"/>
  <c r="AJ595" i="9" s="1"/>
  <c r="AE611" i="9"/>
  <c r="AJ611" i="9" s="1"/>
  <c r="AE627" i="9"/>
  <c r="AJ627" i="9" s="1"/>
  <c r="AE643" i="9"/>
  <c r="AJ643" i="9" s="1"/>
  <c r="AE659" i="9"/>
  <c r="AJ659" i="9" s="1"/>
  <c r="AE674" i="9"/>
  <c r="AJ674" i="9" s="1"/>
  <c r="AE682" i="9"/>
  <c r="AJ682" i="9" s="1"/>
  <c r="AE690" i="9"/>
  <c r="AJ690" i="9" s="1"/>
  <c r="AE698" i="9"/>
  <c r="AJ698" i="9" s="1"/>
  <c r="AE706" i="9"/>
  <c r="AJ706" i="9" s="1"/>
  <c r="AE714" i="9"/>
  <c r="AJ714" i="9" s="1"/>
  <c r="AE722" i="9"/>
  <c r="AJ722" i="9" s="1"/>
  <c r="AE730" i="9"/>
  <c r="AJ730" i="9" s="1"/>
  <c r="AE738" i="9"/>
  <c r="AJ738" i="9" s="1"/>
  <c r="AE746" i="9"/>
  <c r="AJ746" i="9" s="1"/>
  <c r="AE760" i="9"/>
  <c r="AJ760" i="9" s="1"/>
  <c r="AE772" i="9"/>
  <c r="AJ772" i="9" s="1"/>
  <c r="AE775" i="9"/>
  <c r="AJ775" i="9" s="1"/>
  <c r="AE778" i="9"/>
  <c r="AJ778" i="9" s="1"/>
  <c r="AE804" i="9"/>
  <c r="AJ804" i="9" s="1"/>
  <c r="AE807" i="9"/>
  <c r="AJ807" i="9" s="1"/>
  <c r="AE810" i="9"/>
  <c r="AJ810" i="9" s="1"/>
  <c r="AE836" i="9"/>
  <c r="AJ836" i="9" s="1"/>
  <c r="AE839" i="9"/>
  <c r="AJ839" i="9" s="1"/>
  <c r="AE847" i="9"/>
  <c r="AJ847" i="9" s="1"/>
  <c r="AE855" i="9"/>
  <c r="AJ855" i="9" s="1"/>
  <c r="AE863" i="9"/>
  <c r="AJ863" i="9" s="1"/>
  <c r="AE871" i="9"/>
  <c r="AJ871" i="9" s="1"/>
  <c r="AE879" i="9"/>
  <c r="AJ879" i="9" s="1"/>
  <c r="AE887" i="9"/>
  <c r="AJ887" i="9" s="1"/>
  <c r="AE895" i="9"/>
  <c r="AJ895" i="9" s="1"/>
  <c r="AE903" i="9"/>
  <c r="AJ903" i="9" s="1"/>
  <c r="AE911" i="9"/>
  <c r="AJ911" i="9" s="1"/>
  <c r="AE919" i="9"/>
  <c r="AJ919" i="9" s="1"/>
  <c r="AE927" i="9"/>
  <c r="AJ927" i="9" s="1"/>
  <c r="AE935" i="9"/>
  <c r="AJ935" i="9" s="1"/>
  <c r="AE943" i="9"/>
  <c r="AJ943" i="9" s="1"/>
  <c r="AE951" i="9"/>
  <c r="AJ951" i="9" s="1"/>
  <c r="AE959" i="9"/>
  <c r="AJ959" i="9" s="1"/>
  <c r="AE967" i="9"/>
  <c r="AJ967" i="9" s="1"/>
  <c r="AE975" i="9"/>
  <c r="AJ975" i="9" s="1"/>
  <c r="AE983" i="9"/>
  <c r="AJ983" i="9" s="1"/>
  <c r="AE478" i="9"/>
  <c r="AJ478" i="9" s="1"/>
  <c r="AE757" i="9"/>
  <c r="AJ757" i="9" s="1"/>
  <c r="AE781" i="9"/>
  <c r="AJ781" i="9" s="1"/>
  <c r="AE784" i="9"/>
  <c r="AJ784" i="9" s="1"/>
  <c r="AE787" i="9"/>
  <c r="AJ787" i="9" s="1"/>
  <c r="AE793" i="9"/>
  <c r="AJ793" i="9" s="1"/>
  <c r="AE813" i="9"/>
  <c r="AJ813" i="9" s="1"/>
  <c r="AE816" i="9"/>
  <c r="AJ816" i="9" s="1"/>
  <c r="AE819" i="9"/>
  <c r="AJ819" i="9" s="1"/>
  <c r="AE825" i="9"/>
  <c r="AJ825" i="9" s="1"/>
  <c r="AE842" i="9"/>
  <c r="AJ842" i="9" s="1"/>
  <c r="AE850" i="9"/>
  <c r="AJ850" i="9" s="1"/>
  <c r="AE858" i="9"/>
  <c r="AJ858" i="9" s="1"/>
  <c r="AE866" i="9"/>
  <c r="AJ866" i="9" s="1"/>
  <c r="AE874" i="9"/>
  <c r="AJ874" i="9" s="1"/>
  <c r="AE882" i="9"/>
  <c r="AJ882" i="9" s="1"/>
  <c r="AE890" i="9"/>
  <c r="AJ890" i="9" s="1"/>
  <c r="AE898" i="9"/>
  <c r="AJ898" i="9" s="1"/>
  <c r="AE906" i="9"/>
  <c r="AJ906" i="9" s="1"/>
  <c r="AE914" i="9"/>
  <c r="AJ914" i="9" s="1"/>
  <c r="AE922" i="9"/>
  <c r="AJ922" i="9" s="1"/>
  <c r="AE930" i="9"/>
  <c r="AJ930" i="9" s="1"/>
  <c r="AE938" i="9"/>
  <c r="AJ938" i="9" s="1"/>
  <c r="AE946" i="9"/>
  <c r="AJ946" i="9" s="1"/>
  <c r="AE954" i="9"/>
  <c r="AJ954" i="9" s="1"/>
  <c r="AE962" i="9"/>
  <c r="AJ962" i="9" s="1"/>
  <c r="AE970" i="9"/>
  <c r="AJ970" i="9" s="1"/>
  <c r="AE978" i="9"/>
  <c r="AJ978" i="9" s="1"/>
  <c r="AE986" i="9"/>
  <c r="AJ986" i="9" s="1"/>
  <c r="AE994" i="9"/>
  <c r="AJ994" i="9" s="1"/>
  <c r="AE1002" i="9"/>
  <c r="AJ1002" i="9" s="1"/>
  <c r="AE499" i="9"/>
  <c r="AJ499" i="9" s="1"/>
  <c r="AE531" i="9"/>
  <c r="AJ531" i="9" s="1"/>
  <c r="AE754" i="9"/>
  <c r="AJ754" i="9" s="1"/>
  <c r="AE764" i="9"/>
  <c r="AJ764" i="9" s="1"/>
  <c r="AE767" i="9"/>
  <c r="AJ767" i="9" s="1"/>
  <c r="AE770" i="9"/>
  <c r="AJ770" i="9" s="1"/>
  <c r="AE796" i="9"/>
  <c r="AJ796" i="9" s="1"/>
  <c r="AE799" i="9"/>
  <c r="AJ799" i="9" s="1"/>
  <c r="AE802" i="9"/>
  <c r="AJ802" i="9" s="1"/>
  <c r="AE828" i="9"/>
  <c r="AJ828" i="9" s="1"/>
  <c r="AE831" i="9"/>
  <c r="AJ831" i="9" s="1"/>
  <c r="AE834" i="9"/>
  <c r="AJ834" i="9" s="1"/>
  <c r="AE845" i="9"/>
  <c r="AJ845" i="9" s="1"/>
  <c r="AE853" i="9"/>
  <c r="AJ853" i="9" s="1"/>
  <c r="AE861" i="9"/>
  <c r="AJ861" i="9" s="1"/>
  <c r="AE869" i="9"/>
  <c r="AJ869" i="9" s="1"/>
  <c r="AE877" i="9"/>
  <c r="AJ877" i="9" s="1"/>
  <c r="AE885" i="9"/>
  <c r="AJ885" i="9" s="1"/>
  <c r="AE893" i="9"/>
  <c r="AJ893" i="9" s="1"/>
  <c r="AE901" i="9"/>
  <c r="AJ901" i="9" s="1"/>
  <c r="AE909" i="9"/>
  <c r="AJ909" i="9" s="1"/>
  <c r="AE917" i="9"/>
  <c r="AJ917" i="9" s="1"/>
  <c r="AE925" i="9"/>
  <c r="AJ925" i="9" s="1"/>
  <c r="AE933" i="9"/>
  <c r="AJ933" i="9" s="1"/>
  <c r="AE941" i="9"/>
  <c r="AJ941" i="9" s="1"/>
  <c r="AE949" i="9"/>
  <c r="AJ949" i="9" s="1"/>
  <c r="AE957" i="9"/>
  <c r="AJ957" i="9" s="1"/>
  <c r="AE965" i="9"/>
  <c r="AJ965" i="9" s="1"/>
  <c r="AE973" i="9"/>
  <c r="AJ973" i="9" s="1"/>
  <c r="AE981" i="9"/>
  <c r="AJ981" i="9" s="1"/>
  <c r="AE989" i="9"/>
  <c r="AJ989" i="9" s="1"/>
  <c r="AE997" i="9"/>
  <c r="AJ997" i="9" s="1"/>
  <c r="AE1005" i="9"/>
  <c r="AJ1005" i="9" s="1"/>
  <c r="AE396" i="9"/>
  <c r="AJ396" i="9" s="1"/>
  <c r="AE446" i="9"/>
  <c r="AJ446" i="9" s="1"/>
  <c r="AE544" i="9"/>
  <c r="AJ544" i="9" s="1"/>
  <c r="AE560" i="9"/>
  <c r="AJ560" i="9" s="1"/>
  <c r="AE576" i="9"/>
  <c r="AJ576" i="9" s="1"/>
  <c r="AE592" i="9"/>
  <c r="AJ592" i="9" s="1"/>
  <c r="AE608" i="9"/>
  <c r="AJ608" i="9" s="1"/>
  <c r="AE624" i="9"/>
  <c r="AJ624" i="9" s="1"/>
  <c r="AE640" i="9"/>
  <c r="AJ640" i="9" s="1"/>
  <c r="AE656" i="9"/>
  <c r="AJ656" i="9" s="1"/>
  <c r="AE675" i="9"/>
  <c r="AJ675" i="9" s="1"/>
  <c r="AE683" i="9"/>
  <c r="AJ683" i="9" s="1"/>
  <c r="AE691" i="9"/>
  <c r="AJ691" i="9" s="1"/>
  <c r="AE699" i="9"/>
  <c r="AJ699" i="9" s="1"/>
  <c r="AE707" i="9"/>
  <c r="AJ707" i="9" s="1"/>
  <c r="AE715" i="9"/>
  <c r="AJ715" i="9" s="1"/>
  <c r="AE723" i="9"/>
  <c r="AJ723" i="9" s="1"/>
  <c r="AE731" i="9"/>
  <c r="AJ731" i="9" s="1"/>
  <c r="AE739" i="9"/>
  <c r="AJ739" i="9" s="1"/>
  <c r="AE747" i="9"/>
  <c r="AJ747" i="9" s="1"/>
  <c r="AE751" i="9"/>
  <c r="AJ751" i="9" s="1"/>
  <c r="AE773" i="9"/>
  <c r="AJ773" i="9" s="1"/>
  <c r="AE776" i="9"/>
  <c r="AJ776" i="9" s="1"/>
  <c r="AE779" i="9"/>
  <c r="AJ779" i="9" s="1"/>
  <c r="AE785" i="9"/>
  <c r="AJ785" i="9" s="1"/>
  <c r="AE805" i="9"/>
  <c r="AJ805" i="9" s="1"/>
  <c r="AE808" i="9"/>
  <c r="AJ808" i="9" s="1"/>
  <c r="AE811" i="9"/>
  <c r="AJ811" i="9" s="1"/>
  <c r="AE817" i="9"/>
  <c r="AJ817" i="9" s="1"/>
  <c r="AE837" i="9"/>
  <c r="AJ837" i="9" s="1"/>
  <c r="AE840" i="9"/>
  <c r="AJ840" i="9" s="1"/>
  <c r="AE848" i="9"/>
  <c r="AJ848" i="9" s="1"/>
  <c r="AE856" i="9"/>
  <c r="AJ856" i="9" s="1"/>
  <c r="AE864" i="9"/>
  <c r="AJ864" i="9" s="1"/>
  <c r="AE872" i="9"/>
  <c r="AJ872" i="9" s="1"/>
  <c r="AE880" i="9"/>
  <c r="AJ880" i="9" s="1"/>
  <c r="AE888" i="9"/>
  <c r="AJ888" i="9" s="1"/>
  <c r="AE896" i="9"/>
  <c r="AJ896" i="9" s="1"/>
  <c r="AE904" i="9"/>
  <c r="AJ904" i="9" s="1"/>
  <c r="AE912" i="9"/>
  <c r="AJ912" i="9" s="1"/>
  <c r="AE920" i="9"/>
  <c r="AJ920" i="9" s="1"/>
  <c r="AE928" i="9"/>
  <c r="AJ928" i="9" s="1"/>
  <c r="AE936" i="9"/>
  <c r="AJ936" i="9" s="1"/>
  <c r="AE944" i="9"/>
  <c r="AJ944" i="9" s="1"/>
  <c r="AE952" i="9"/>
  <c r="AJ952" i="9" s="1"/>
  <c r="AE960" i="9"/>
  <c r="AJ960" i="9" s="1"/>
  <c r="AE968" i="9"/>
  <c r="AJ968" i="9" s="1"/>
  <c r="AE976" i="9"/>
  <c r="AJ976" i="9" s="1"/>
  <c r="AE426" i="9"/>
  <c r="AJ426" i="9" s="1"/>
  <c r="AE539" i="9"/>
  <c r="AJ539" i="9" s="1"/>
  <c r="AE603" i="9"/>
  <c r="AJ603" i="9" s="1"/>
  <c r="AE667" i="9"/>
  <c r="AJ667" i="9" s="1"/>
  <c r="AE859" i="9"/>
  <c r="AJ859" i="9" s="1"/>
  <c r="AE891" i="9"/>
  <c r="AJ891" i="9" s="1"/>
  <c r="AE923" i="9"/>
  <c r="AJ923" i="9" s="1"/>
  <c r="AE955" i="9"/>
  <c r="AJ955" i="9" s="1"/>
  <c r="AE412" i="9"/>
  <c r="AJ412" i="9" s="1"/>
  <c r="AE488" i="9"/>
  <c r="AJ488" i="9" s="1"/>
  <c r="AE788" i="9"/>
  <c r="AJ788" i="9" s="1"/>
  <c r="AE794" i="9"/>
  <c r="AJ794" i="9" s="1"/>
  <c r="AE991" i="9"/>
  <c r="AJ991" i="9" s="1"/>
  <c r="AE995" i="9"/>
  <c r="AJ995" i="9" s="1"/>
  <c r="AE1000" i="9"/>
  <c r="AJ1000" i="9" s="1"/>
  <c r="AE474" i="9"/>
  <c r="AJ474" i="9" s="1"/>
  <c r="AE555" i="9"/>
  <c r="AJ555" i="9" s="1"/>
  <c r="AE619" i="9"/>
  <c r="AJ619" i="9" s="1"/>
  <c r="AE867" i="9"/>
  <c r="AJ867" i="9" s="1"/>
  <c r="AE899" i="9"/>
  <c r="AJ899" i="9" s="1"/>
  <c r="AE931" i="9"/>
  <c r="AJ931" i="9" s="1"/>
  <c r="AE963" i="9"/>
  <c r="AJ963" i="9" s="1"/>
  <c r="AE6" i="9"/>
  <c r="AJ6" i="9" s="1"/>
  <c r="AE460" i="9"/>
  <c r="AJ460" i="9" s="1"/>
  <c r="AE762" i="9"/>
  <c r="AJ762" i="9" s="1"/>
  <c r="AE823" i="9"/>
  <c r="AJ823" i="9" s="1"/>
  <c r="AE987" i="9"/>
  <c r="AJ987" i="9" s="1"/>
  <c r="AE992" i="9"/>
  <c r="AJ992" i="9" s="1"/>
  <c r="AE826" i="9"/>
  <c r="AJ826" i="9" s="1"/>
  <c r="AE571" i="9"/>
  <c r="AJ571" i="9" s="1"/>
  <c r="AE635" i="9"/>
  <c r="AJ635" i="9" s="1"/>
  <c r="AE843" i="9"/>
  <c r="AJ843" i="9" s="1"/>
  <c r="AE875" i="9"/>
  <c r="AJ875" i="9" s="1"/>
  <c r="AE907" i="9"/>
  <c r="AJ907" i="9" s="1"/>
  <c r="AE939" i="9"/>
  <c r="AJ939" i="9" s="1"/>
  <c r="AE971" i="9"/>
  <c r="AJ971" i="9" s="1"/>
  <c r="AE1003" i="9"/>
  <c r="AJ1003" i="9" s="1"/>
  <c r="AE791" i="9"/>
  <c r="AJ791" i="9" s="1"/>
  <c r="AE507" i="9"/>
  <c r="AJ507" i="9" s="1"/>
  <c r="AE587" i="9"/>
  <c r="AJ587" i="9" s="1"/>
  <c r="AE651" i="9"/>
  <c r="AJ651" i="9" s="1"/>
  <c r="AE851" i="9"/>
  <c r="AJ851" i="9" s="1"/>
  <c r="AE883" i="9"/>
  <c r="AJ883" i="9" s="1"/>
  <c r="AE915" i="9"/>
  <c r="AJ915" i="9" s="1"/>
  <c r="AE947" i="9"/>
  <c r="AJ947" i="9" s="1"/>
  <c r="AE984" i="9"/>
  <c r="AJ984" i="9" s="1"/>
  <c r="AE820" i="9"/>
  <c r="AJ820" i="9" s="1"/>
  <c r="AE979" i="9"/>
  <c r="AJ979" i="9" s="1"/>
  <c r="AE999" i="9"/>
  <c r="AJ999" i="9" s="1"/>
  <c r="U73" i="12"/>
  <c r="U153" i="12"/>
  <c r="U201" i="12"/>
  <c r="U209" i="12"/>
  <c r="U81" i="12"/>
  <c r="U131" i="12"/>
  <c r="U178" i="12"/>
  <c r="U9" i="12"/>
  <c r="U89" i="12"/>
  <c r="U193" i="12"/>
  <c r="U17" i="12"/>
  <c r="U105" i="12"/>
  <c r="U21" i="12"/>
  <c r="U121" i="12"/>
  <c r="U217" i="12"/>
  <c r="U25" i="12"/>
  <c r="U129" i="12"/>
  <c r="U225" i="12"/>
  <c r="U78" i="12"/>
  <c r="U33" i="12"/>
  <c r="U137" i="12"/>
  <c r="U241" i="12"/>
  <c r="U65" i="12"/>
  <c r="U145" i="12"/>
  <c r="U245" i="12"/>
  <c r="U57" i="12"/>
  <c r="U42" i="12"/>
  <c r="U99" i="12"/>
  <c r="U45" i="12"/>
  <c r="U38" i="12"/>
  <c r="U22" i="12"/>
  <c r="U189" i="12"/>
  <c r="U46" i="12"/>
  <c r="U157" i="12"/>
  <c r="U151" i="12"/>
  <c r="U14" i="12"/>
  <c r="U72" i="12"/>
  <c r="U23" i="12"/>
  <c r="U171" i="12"/>
  <c r="U125" i="12"/>
  <c r="U186" i="12"/>
  <c r="U36" i="12"/>
  <c r="U117" i="12"/>
  <c r="U222" i="12"/>
  <c r="U90" i="12"/>
  <c r="U190" i="12"/>
  <c r="U53" i="12"/>
  <c r="U87" i="12"/>
  <c r="U109" i="12"/>
  <c r="U181" i="12"/>
  <c r="U179" i="12"/>
  <c r="U138" i="12"/>
  <c r="U79" i="12"/>
  <c r="U110" i="12"/>
  <c r="U35" i="12"/>
  <c r="U12" i="12"/>
  <c r="U230" i="12"/>
  <c r="U197" i="12"/>
  <c r="U175" i="12"/>
  <c r="U30" i="12"/>
  <c r="U120" i="12"/>
  <c r="U122" i="12"/>
  <c r="U224" i="12"/>
  <c r="U60" i="12"/>
  <c r="U220" i="12"/>
  <c r="U239" i="12"/>
  <c r="U227" i="12"/>
  <c r="U216" i="12"/>
  <c r="U143" i="12"/>
  <c r="U130" i="12"/>
  <c r="U246" i="12"/>
  <c r="U174" i="12"/>
  <c r="U27" i="12"/>
  <c r="U71" i="12"/>
  <c r="U77" i="12"/>
  <c r="U154" i="12"/>
  <c r="U91" i="12"/>
  <c r="U123" i="12"/>
  <c r="U164" i="12"/>
  <c r="U160" i="12"/>
  <c r="U218" i="12"/>
  <c r="U250" i="12"/>
  <c r="U202" i="12"/>
  <c r="U113" i="12"/>
  <c r="U214" i="12"/>
  <c r="U206" i="12"/>
  <c r="U243" i="12"/>
  <c r="U29" i="12"/>
  <c r="U141" i="12"/>
  <c r="U167" i="12"/>
  <c r="U156" i="12"/>
  <c r="U119" i="12"/>
  <c r="U184" i="12"/>
  <c r="U158" i="12"/>
  <c r="U4" i="12"/>
  <c r="U93" i="12"/>
  <c r="U100" i="12"/>
  <c r="U159" i="12"/>
  <c r="U235" i="12"/>
  <c r="U172" i="12"/>
  <c r="U188" i="12"/>
  <c r="U70" i="12"/>
  <c r="U55" i="12"/>
  <c r="U75" i="12"/>
  <c r="U118" i="12"/>
  <c r="U182" i="12"/>
  <c r="U104" i="12"/>
  <c r="U24" i="12"/>
  <c r="U59" i="12"/>
  <c r="U192" i="12"/>
  <c r="U173" i="12"/>
  <c r="U52" i="12"/>
  <c r="U95" i="12"/>
  <c r="U248" i="12"/>
  <c r="U20" i="12"/>
  <c r="U82" i="12"/>
  <c r="U210" i="12"/>
  <c r="U51" i="12"/>
  <c r="U244" i="12"/>
  <c r="U128" i="12"/>
  <c r="U219" i="12"/>
  <c r="U94" i="12"/>
  <c r="U19" i="12"/>
  <c r="U83" i="12"/>
  <c r="U242" i="12"/>
  <c r="U115" i="12"/>
  <c r="U166" i="12"/>
  <c r="U212" i="12"/>
  <c r="U18" i="12"/>
  <c r="U147" i="12"/>
  <c r="U211" i="12"/>
  <c r="U185" i="12"/>
  <c r="U34" i="12"/>
  <c r="U5" i="12"/>
  <c r="U237" i="12"/>
  <c r="U136" i="12"/>
  <c r="U84" i="12"/>
  <c r="U177" i="12"/>
  <c r="U233" i="12"/>
  <c r="U66" i="12"/>
  <c r="U39" i="12"/>
  <c r="U103" i="12"/>
  <c r="U155" i="12"/>
  <c r="U28" i="12"/>
  <c r="U76" i="12"/>
  <c r="U152" i="12"/>
  <c r="U169" i="12"/>
  <c r="U149" i="12"/>
  <c r="U64" i="12"/>
  <c r="U249" i="12"/>
  <c r="U221" i="12"/>
  <c r="U135" i="12"/>
  <c r="U58" i="12"/>
  <c r="U187" i="12"/>
  <c r="U198" i="12"/>
  <c r="U88" i="12"/>
  <c r="U223" i="12"/>
  <c r="U133" i="12"/>
  <c r="U168" i="12"/>
  <c r="U140" i="12"/>
  <c r="U41" i="12"/>
  <c r="U124" i="12"/>
  <c r="U37" i="12"/>
  <c r="U139" i="12"/>
  <c r="U195" i="12"/>
  <c r="U101" i="12"/>
  <c r="U85" i="12"/>
  <c r="U56" i="12"/>
  <c r="U49" i="12"/>
  <c r="U26" i="12"/>
  <c r="U161" i="12"/>
  <c r="U228" i="12"/>
  <c r="U62" i="12"/>
  <c r="U215" i="12"/>
  <c r="U162" i="12"/>
  <c r="U170" i="12"/>
  <c r="U251" i="12"/>
  <c r="U213" i="12"/>
  <c r="U43" i="12"/>
  <c r="U111" i="12"/>
  <c r="U97" i="12"/>
  <c r="U96" i="12"/>
  <c r="U176" i="12"/>
  <c r="U107" i="12"/>
  <c r="U67" i="12"/>
  <c r="U229" i="12"/>
  <c r="U247" i="12"/>
  <c r="U232" i="12"/>
  <c r="U10" i="12"/>
  <c r="U203" i="12"/>
  <c r="U40" i="12"/>
  <c r="U204" i="12"/>
  <c r="U7" i="12"/>
  <c r="U196" i="12"/>
  <c r="U32" i="12"/>
  <c r="U144" i="12"/>
  <c r="U11" i="12"/>
  <c r="U8" i="12"/>
  <c r="U69" i="12"/>
  <c r="U200" i="12"/>
  <c r="U13" i="12"/>
  <c r="U127" i="12"/>
  <c r="U112" i="12"/>
  <c r="U194" i="12"/>
  <c r="U146" i="12"/>
  <c r="U48" i="12"/>
  <c r="U207" i="12"/>
  <c r="U165" i="12"/>
  <c r="U68" i="12"/>
  <c r="U238" i="12"/>
  <c r="U6" i="12"/>
  <c r="U114" i="12"/>
  <c r="U163" i="12"/>
  <c r="U234" i="12"/>
  <c r="U16" i="12"/>
  <c r="U199" i="12"/>
  <c r="U231" i="12"/>
  <c r="U148" i="12"/>
  <c r="U142" i="12"/>
  <c r="U102" i="12"/>
  <c r="U98" i="12"/>
  <c r="U240" i="12"/>
  <c r="U44" i="12"/>
  <c r="U50" i="12"/>
  <c r="U15" i="12"/>
  <c r="U63" i="12"/>
  <c r="U183" i="12"/>
  <c r="U108" i="12"/>
  <c r="U92" i="12"/>
  <c r="U106" i="12"/>
  <c r="U116" i="12"/>
  <c r="U205" i="12"/>
  <c r="U86" i="12"/>
  <c r="U61" i="12"/>
  <c r="U54" i="12"/>
  <c r="U180" i="12"/>
  <c r="U80" i="12"/>
  <c r="U132" i="12"/>
  <c r="U126" i="12"/>
  <c r="U236" i="12"/>
  <c r="U191" i="12"/>
  <c r="U74" i="12"/>
  <c r="U47" i="12"/>
  <c r="U150" i="12"/>
  <c r="U208" i="12"/>
  <c r="U226" i="12"/>
  <c r="U31" i="12"/>
  <c r="U134" i="12"/>
  <c r="M14" i="8"/>
  <c r="N15" i="8"/>
  <c r="O15" i="8"/>
  <c r="O17" i="8" s="1"/>
  <c r="O9" i="8"/>
  <c r="M15" i="8"/>
  <c r="N16" i="13" l="1"/>
  <c r="M16" i="8"/>
  <c r="M18" i="8" s="1"/>
  <c r="M17" i="8"/>
  <c r="C28" i="11" s="1"/>
  <c r="L19" i="12"/>
  <c r="M19" i="12" s="1" a="1"/>
  <c r="M19" i="12" s="1"/>
  <c r="O12" i="8"/>
  <c r="O13" i="8" s="1"/>
  <c r="O16" i="8"/>
  <c r="N9" i="8"/>
  <c r="N12" i="8" s="1"/>
  <c r="N13" i="8" s="1"/>
  <c r="M12" i="8"/>
  <c r="M13" i="8" s="1"/>
  <c r="N18" i="13" l="1"/>
  <c r="N19" i="13" s="1"/>
  <c r="N20" i="13" s="1"/>
  <c r="O18" i="8"/>
  <c r="E6" i="11"/>
  <c r="C6" i="11"/>
  <c r="AM1005" i="9"/>
  <c r="AN1005" i="9"/>
  <c r="AO1005" i="9"/>
  <c r="AO80" i="9" l="1"/>
  <c r="AN109" i="9"/>
  <c r="AM860" i="9"/>
  <c r="AN443" i="9"/>
  <c r="AN545" i="9"/>
  <c r="AM52" i="9"/>
  <c r="AM87" i="9"/>
  <c r="AO1003" i="9"/>
  <c r="AO65" i="9"/>
  <c r="AM399" i="9"/>
  <c r="AO920" i="9"/>
  <c r="AO619" i="9"/>
  <c r="AN578" i="9"/>
  <c r="AN436" i="9"/>
  <c r="AO240" i="9"/>
  <c r="AM189" i="9"/>
  <c r="AN108" i="9"/>
  <c r="AN881" i="9"/>
  <c r="AO475" i="9"/>
  <c r="AM576" i="9"/>
  <c r="AM466" i="9"/>
  <c r="AO502" i="9"/>
  <c r="AM409" i="9"/>
  <c r="AO336" i="9"/>
  <c r="AM381" i="9"/>
  <c r="AM65" i="9"/>
  <c r="AM217" i="9"/>
  <c r="AO267" i="9"/>
  <c r="AM151" i="9"/>
  <c r="AO996" i="9"/>
  <c r="AM991" i="9"/>
  <c r="AO726" i="9"/>
  <c r="AN985" i="9"/>
  <c r="AM964" i="9"/>
  <c r="AN928" i="9"/>
  <c r="AM835" i="9"/>
  <c r="AN999" i="9"/>
  <c r="AN956" i="9"/>
  <c r="AN982" i="9"/>
  <c r="AM961" i="9"/>
  <c r="AN920" i="9"/>
  <c r="AM811" i="9"/>
  <c r="AN991" i="9"/>
  <c r="AO593" i="9"/>
  <c r="AO892" i="9"/>
  <c r="AO992" i="9"/>
  <c r="AN971" i="9"/>
  <c r="AM946" i="9"/>
  <c r="AN888" i="9"/>
  <c r="AN709" i="9"/>
  <c r="AM819" i="9"/>
  <c r="AN1000" i="9"/>
  <c r="AM979" i="9"/>
  <c r="AO957" i="9"/>
  <c r="AM912" i="9"/>
  <c r="AN784" i="9"/>
  <c r="AN943" i="9"/>
  <c r="AN965" i="9"/>
  <c r="AO932" i="9"/>
  <c r="AO845" i="9"/>
  <c r="AM1000" i="9"/>
  <c r="AO978" i="9"/>
  <c r="AM989" i="9"/>
  <c r="AO967" i="9"/>
  <c r="AO938" i="9"/>
  <c r="AN864" i="9"/>
  <c r="AO605" i="9"/>
  <c r="AM880" i="9"/>
  <c r="AO858" i="9"/>
  <c r="AN837" i="9"/>
  <c r="AM816" i="9"/>
  <c r="AO794" i="9"/>
  <c r="AN773" i="9"/>
  <c r="AM752" i="9"/>
  <c r="AO725" i="9"/>
  <c r="AO668" i="9"/>
  <c r="AM574" i="9"/>
  <c r="AO951" i="9"/>
  <c r="AN930" i="9"/>
  <c r="AM909" i="9"/>
  <c r="AO887" i="9"/>
  <c r="AN866" i="9"/>
  <c r="AM845" i="9"/>
  <c r="AO823" i="9"/>
  <c r="AN802" i="9"/>
  <c r="AM781" i="9"/>
  <c r="AO759" i="9"/>
  <c r="AN738" i="9"/>
  <c r="AN693" i="9"/>
  <c r="AO613" i="9"/>
  <c r="AO381" i="9"/>
  <c r="AM866" i="9"/>
  <c r="AO844" i="9"/>
  <c r="AN823" i="9"/>
  <c r="AM802" i="9"/>
  <c r="AO780" i="9"/>
  <c r="AN759" i="9"/>
  <c r="AM738" i="9"/>
  <c r="AO692" i="9"/>
  <c r="AO612" i="9"/>
  <c r="AN377" i="9"/>
  <c r="AN932" i="9"/>
  <c r="AM911" i="9"/>
  <c r="AO889" i="9"/>
  <c r="AN868" i="9"/>
  <c r="AM847" i="9"/>
  <c r="AO825" i="9"/>
  <c r="AN804" i="9"/>
  <c r="AM783" i="9"/>
  <c r="AO761" i="9"/>
  <c r="AN740" i="9"/>
  <c r="AO698" i="9"/>
  <c r="AO621" i="9"/>
  <c r="AO427" i="9"/>
  <c r="AM924" i="9"/>
  <c r="AO902" i="9"/>
  <c r="AO838" i="9"/>
  <c r="AN817" i="9"/>
  <c r="AM796" i="9"/>
  <c r="AO774" i="9"/>
  <c r="AN753" i="9"/>
  <c r="AN728" i="9"/>
  <c r="AM674" i="9"/>
  <c r="AO583" i="9"/>
  <c r="AM953" i="9"/>
  <c r="AO931" i="9"/>
  <c r="AN910" i="9"/>
  <c r="AM889" i="9"/>
  <c r="AO867" i="9"/>
  <c r="AN846" i="9"/>
  <c r="AM825" i="9"/>
  <c r="AO803" i="9"/>
  <c r="AN782" i="9"/>
  <c r="AM761" i="9"/>
  <c r="AO739" i="9"/>
  <c r="AN696" i="9"/>
  <c r="AM619" i="9"/>
  <c r="AN415" i="9"/>
  <c r="AM942" i="9"/>
  <c r="AN899" i="9"/>
  <c r="AM878" i="9"/>
  <c r="AO856" i="9"/>
  <c r="AN835" i="9"/>
  <c r="AM814" i="9"/>
  <c r="AO792" i="9"/>
  <c r="AN771" i="9"/>
  <c r="AM750" i="9"/>
  <c r="AM722" i="9"/>
  <c r="AO660" i="9"/>
  <c r="AM558" i="9"/>
  <c r="AN677" i="9"/>
  <c r="AM656" i="9"/>
  <c r="AO634" i="9"/>
  <c r="AN613" i="9"/>
  <c r="AM589" i="9"/>
  <c r="AN548" i="9"/>
  <c r="AO480" i="9"/>
  <c r="AN381" i="9"/>
  <c r="AM733" i="9"/>
  <c r="AO711" i="9"/>
  <c r="AN690" i="9"/>
  <c r="AM669" i="9"/>
  <c r="AO647" i="9"/>
  <c r="AN626" i="9"/>
  <c r="AM605" i="9"/>
  <c r="AN574" i="9"/>
  <c r="AN526" i="9"/>
  <c r="AN446" i="9"/>
  <c r="AO292" i="9"/>
  <c r="AM719" i="9"/>
  <c r="AO697" i="9"/>
  <c r="AN676" i="9"/>
  <c r="AM655" i="9"/>
  <c r="AO633" i="9"/>
  <c r="AN612" i="9"/>
  <c r="AN587" i="9"/>
  <c r="AM547" i="9"/>
  <c r="AM371" i="9"/>
  <c r="AO710" i="9"/>
  <c r="AN689" i="9"/>
  <c r="AM668" i="9"/>
  <c r="AO646" i="9"/>
  <c r="AN625" i="9"/>
  <c r="AM604" i="9"/>
  <c r="AN572" i="9"/>
  <c r="AO523" i="9"/>
  <c r="AO282" i="9"/>
  <c r="AN726" i="9"/>
  <c r="AM705" i="9"/>
  <c r="AO683" i="9"/>
  <c r="AN662" i="9"/>
  <c r="AM641" i="9"/>
  <c r="AM598" i="9"/>
  <c r="AM561" i="9"/>
  <c r="AM505" i="9"/>
  <c r="AM419" i="9"/>
  <c r="AN133" i="9"/>
  <c r="AM718" i="9"/>
  <c r="AO696" i="9"/>
  <c r="AN675" i="9"/>
  <c r="AM654" i="9"/>
  <c r="AO632" i="9"/>
  <c r="AN611" i="9"/>
  <c r="AO585" i="9"/>
  <c r="AN544" i="9"/>
  <c r="AO472" i="9"/>
  <c r="AM363" i="9"/>
  <c r="AN512" i="9"/>
  <c r="AM491" i="9"/>
  <c r="AO469" i="9"/>
  <c r="AN448" i="9"/>
  <c r="AM427" i="9"/>
  <c r="AO397" i="9"/>
  <c r="AM355" i="9"/>
  <c r="AM298" i="9"/>
  <c r="AM197" i="9"/>
  <c r="AN597" i="9"/>
  <c r="AO554" i="9"/>
  <c r="AN533" i="9"/>
  <c r="AM512" i="9"/>
  <c r="AO490" i="9"/>
  <c r="AN469" i="9"/>
  <c r="AM448" i="9"/>
  <c r="AO426" i="9"/>
  <c r="AN397" i="9"/>
  <c r="AM354" i="9"/>
  <c r="AO297" i="9"/>
  <c r="AM193" i="9"/>
  <c r="AM557" i="9"/>
  <c r="AO535" i="9"/>
  <c r="AN514" i="9"/>
  <c r="AM493" i="9"/>
  <c r="AO471" i="9"/>
  <c r="AN450" i="9"/>
  <c r="AM429" i="9"/>
  <c r="AN401" i="9"/>
  <c r="AN360" i="9"/>
  <c r="AN303" i="9"/>
  <c r="AM211" i="9"/>
  <c r="AN19" i="9"/>
  <c r="AO572" i="9"/>
  <c r="AN551" i="9"/>
  <c r="AM530" i="9"/>
  <c r="AO508" i="9"/>
  <c r="AN487" i="9"/>
  <c r="AO444" i="9"/>
  <c r="AN423" i="9"/>
  <c r="AM392" i="9"/>
  <c r="AO345" i="9"/>
  <c r="AN288" i="9"/>
  <c r="AN166" i="9"/>
  <c r="AM543" i="9"/>
  <c r="AO521" i="9"/>
  <c r="AN500" i="9"/>
  <c r="AM479" i="9"/>
  <c r="AO457" i="9"/>
  <c r="AO412" i="9"/>
  <c r="AO378" i="9"/>
  <c r="AM323" i="9"/>
  <c r="AO252" i="9"/>
  <c r="AO90" i="9"/>
  <c r="AM588" i="9"/>
  <c r="AO566" i="9"/>
  <c r="AM524" i="9"/>
  <c r="AN481" i="9"/>
  <c r="AM460" i="9"/>
  <c r="AO438" i="9"/>
  <c r="AM416" i="9"/>
  <c r="AO382" i="9"/>
  <c r="AO329" i="9"/>
  <c r="AO262" i="9"/>
  <c r="AO109" i="9"/>
  <c r="AO366" i="9"/>
  <c r="AN345" i="9"/>
  <c r="AM324" i="9"/>
  <c r="AO302" i="9"/>
  <c r="AN277" i="9"/>
  <c r="AN241" i="9"/>
  <c r="AO187" i="9"/>
  <c r="AM117" i="9"/>
  <c r="AM41" i="9"/>
  <c r="AO387" i="9"/>
  <c r="AN366" i="9"/>
  <c r="AM345" i="9"/>
  <c r="AO323" i="9"/>
  <c r="AN302" i="9"/>
  <c r="AO276" i="9"/>
  <c r="AM187" i="9"/>
  <c r="AO115" i="9"/>
  <c r="AO40" i="9"/>
  <c r="AO400" i="9"/>
  <c r="AN379" i="9"/>
  <c r="AM358" i="9"/>
  <c r="AN315" i="9"/>
  <c r="AM294" i="9"/>
  <c r="AN263" i="9"/>
  <c r="AM222" i="9"/>
  <c r="AN162" i="9"/>
  <c r="AO86" i="9"/>
  <c r="AN10" i="9"/>
  <c r="AN357" i="9"/>
  <c r="AM336" i="9"/>
  <c r="AO314" i="9"/>
  <c r="AN293" i="9"/>
  <c r="AM262" i="9"/>
  <c r="AO219" i="9"/>
  <c r="AO159" i="9"/>
  <c r="AO83" i="9"/>
  <c r="AO8" i="9"/>
  <c r="AN402" i="9"/>
  <c r="AO359" i="9"/>
  <c r="AN338" i="9"/>
  <c r="AM317" i="9"/>
  <c r="AO295" i="9"/>
  <c r="AM266" i="9"/>
  <c r="AN226" i="9"/>
  <c r="AO168" i="9"/>
  <c r="AO91" i="9"/>
  <c r="AN16" i="9"/>
  <c r="AN150" i="9"/>
  <c r="AN122" i="9"/>
  <c r="AO93" i="9"/>
  <c r="AM37" i="9"/>
  <c r="AN8" i="9"/>
  <c r="AM269" i="9"/>
  <c r="AO247" i="9"/>
  <c r="AO224" i="9"/>
  <c r="AM196" i="9"/>
  <c r="AM168" i="9"/>
  <c r="AN139" i="9"/>
  <c r="AO110" i="9"/>
  <c r="AO82" i="9"/>
  <c r="AM54" i="9"/>
  <c r="AN25" i="9"/>
  <c r="AM242" i="9"/>
  <c r="AN160" i="9"/>
  <c r="AO131" i="9"/>
  <c r="AO103" i="9"/>
  <c r="AM75" i="9"/>
  <c r="AN46" i="9"/>
  <c r="AN18" i="9"/>
  <c r="AN276" i="9"/>
  <c r="AM255" i="9"/>
  <c r="AO233" i="9"/>
  <c r="AM206" i="9"/>
  <c r="AN177" i="9"/>
  <c r="AN149" i="9"/>
  <c r="AO120" i="9"/>
  <c r="AM92" i="9"/>
  <c r="AM64" i="9"/>
  <c r="AN35" i="9"/>
  <c r="AO6" i="9"/>
  <c r="AN246" i="9"/>
  <c r="AO222" i="9"/>
  <c r="AO194" i="9"/>
  <c r="AM166" i="9"/>
  <c r="AN137" i="9"/>
  <c r="AO129" i="9"/>
  <c r="AM23" i="9"/>
  <c r="AN20" i="9"/>
  <c r="AM24" i="9"/>
  <c r="AM226" i="9"/>
  <c r="AO204" i="9"/>
  <c r="AN183" i="9"/>
  <c r="AM162" i="9"/>
  <c r="AO140" i="9"/>
  <c r="AN119" i="9"/>
  <c r="AM98" i="9"/>
  <c r="AO76" i="9"/>
  <c r="AN55" i="9"/>
  <c r="AM34" i="9"/>
  <c r="AO12" i="9"/>
  <c r="AM215" i="9"/>
  <c r="AO193" i="9"/>
  <c r="AN172" i="9"/>
  <c r="AN44" i="9"/>
  <c r="AO980" i="9"/>
  <c r="AO977" i="9"/>
  <c r="AM1004" i="9"/>
  <c r="AO982" i="9"/>
  <c r="AN961" i="9"/>
  <c r="AM922" i="9"/>
  <c r="AO813" i="9"/>
  <c r="AN983" i="9"/>
  <c r="AO942" i="9"/>
  <c r="AM1001" i="9"/>
  <c r="AO979" i="9"/>
  <c r="AN958" i="9"/>
  <c r="AM914" i="9"/>
  <c r="AO789" i="9"/>
  <c r="AM978" i="9"/>
  <c r="AN996" i="9"/>
  <c r="AN816" i="9"/>
  <c r="AM990" i="9"/>
  <c r="AO968" i="9"/>
  <c r="AO940" i="9"/>
  <c r="AN872" i="9"/>
  <c r="AO637" i="9"/>
  <c r="AM732" i="9"/>
  <c r="AO997" i="9"/>
  <c r="AN976" i="9"/>
  <c r="AO954" i="9"/>
  <c r="AN904" i="9"/>
  <c r="AM763" i="9"/>
  <c r="AO901" i="9"/>
  <c r="AO962" i="9"/>
  <c r="AN925" i="9"/>
  <c r="AN824" i="9"/>
  <c r="AO988" i="9"/>
  <c r="AN997" i="9"/>
  <c r="AM976" i="9"/>
  <c r="AN986" i="9"/>
  <c r="AM965" i="9"/>
  <c r="AM931" i="9"/>
  <c r="AM843" i="9"/>
  <c r="AN300" i="9"/>
  <c r="AN877" i="9"/>
  <c r="AM856" i="9"/>
  <c r="AO834" i="9"/>
  <c r="AN813" i="9"/>
  <c r="AM792" i="9"/>
  <c r="AO770" i="9"/>
  <c r="AN749" i="9"/>
  <c r="AN720" i="9"/>
  <c r="AM658" i="9"/>
  <c r="AO552" i="9"/>
  <c r="AM949" i="9"/>
  <c r="AO927" i="9"/>
  <c r="AN906" i="9"/>
  <c r="AM885" i="9"/>
  <c r="AO863" i="9"/>
  <c r="AN842" i="9"/>
  <c r="AM821" i="9"/>
  <c r="AO799" i="9"/>
  <c r="AN778" i="9"/>
  <c r="AM757" i="9"/>
  <c r="AM735" i="9"/>
  <c r="AO685" i="9"/>
  <c r="AM603" i="9"/>
  <c r="AN261" i="9"/>
  <c r="AN863" i="9"/>
  <c r="AM842" i="9"/>
  <c r="AO820" i="9"/>
  <c r="AN799" i="9"/>
  <c r="AM778" i="9"/>
  <c r="AO756" i="9"/>
  <c r="AO734" i="9"/>
  <c r="AN685" i="9"/>
  <c r="AM602" i="9"/>
  <c r="AN248" i="9"/>
  <c r="AO929" i="9"/>
  <c r="AN908" i="9"/>
  <c r="AM887" i="9"/>
  <c r="AO865" i="9"/>
  <c r="AN844" i="9"/>
  <c r="AM823" i="9"/>
  <c r="AO801" i="9"/>
  <c r="AN780" i="9"/>
  <c r="AM759" i="9"/>
  <c r="AO737" i="9"/>
  <c r="AM691" i="9"/>
  <c r="AM611" i="9"/>
  <c r="AO356" i="9"/>
  <c r="AN921" i="9"/>
  <c r="AM900" i="9"/>
  <c r="AO878" i="9"/>
  <c r="AN857" i="9"/>
  <c r="AM836" i="9"/>
  <c r="AO814" i="9"/>
  <c r="AN793" i="9"/>
  <c r="AM772" i="9"/>
  <c r="AO750" i="9"/>
  <c r="AM723" i="9"/>
  <c r="AN663" i="9"/>
  <c r="AN563" i="9"/>
  <c r="AN950" i="9"/>
  <c r="AM929" i="9"/>
  <c r="AO907" i="9"/>
  <c r="AN886" i="9"/>
  <c r="AM865" i="9"/>
  <c r="AO843" i="9"/>
  <c r="AN822" i="9"/>
  <c r="AM801" i="9"/>
  <c r="AO779" i="9"/>
  <c r="AN758" i="9"/>
  <c r="AO736" i="9"/>
  <c r="AM690" i="9"/>
  <c r="AN608" i="9"/>
  <c r="AN328" i="9"/>
  <c r="AN939" i="9"/>
  <c r="AM918" i="9"/>
  <c r="AO896" i="9"/>
  <c r="AN875" i="9"/>
  <c r="AM854" i="9"/>
  <c r="AO832" i="9"/>
  <c r="AN811" i="9"/>
  <c r="AM790" i="9"/>
  <c r="AO768" i="9"/>
  <c r="AN747" i="9"/>
  <c r="AO716" i="9"/>
  <c r="AM650" i="9"/>
  <c r="AO533" i="9"/>
  <c r="AO674" i="9"/>
  <c r="AN653" i="9"/>
  <c r="AM632" i="9"/>
  <c r="AO610" i="9"/>
  <c r="AO584" i="9"/>
  <c r="AM542" i="9"/>
  <c r="AM470" i="9"/>
  <c r="AN356" i="9"/>
  <c r="AN730" i="9"/>
  <c r="AM709" i="9"/>
  <c r="AO687" i="9"/>
  <c r="AN666" i="9"/>
  <c r="AM645" i="9"/>
  <c r="AO623" i="9"/>
  <c r="AN602" i="9"/>
  <c r="AM569" i="9"/>
  <c r="AN520" i="9"/>
  <c r="AO435" i="9"/>
  <c r="AM250" i="9"/>
  <c r="AN716" i="9"/>
  <c r="AM695" i="9"/>
  <c r="AO673" i="9"/>
  <c r="AN652" i="9"/>
  <c r="AM631" i="9"/>
  <c r="AO609" i="9"/>
  <c r="AM583" i="9"/>
  <c r="AN539" i="9"/>
  <c r="AM465" i="9"/>
  <c r="AM343" i="9"/>
  <c r="AM708" i="9"/>
  <c r="AO686" i="9"/>
  <c r="AN665" i="9"/>
  <c r="AM644" i="9"/>
  <c r="AO622" i="9"/>
  <c r="AN601" i="9"/>
  <c r="AM567" i="9"/>
  <c r="AO517" i="9"/>
  <c r="AO432" i="9"/>
  <c r="AO234" i="9"/>
  <c r="AO723" i="9"/>
  <c r="AN702" i="9"/>
  <c r="AM681" i="9"/>
  <c r="AO659" i="9"/>
  <c r="AN638" i="9"/>
  <c r="AM617" i="9"/>
  <c r="AN594" i="9"/>
  <c r="AO555" i="9"/>
  <c r="AN494" i="9"/>
  <c r="AM403" i="9"/>
  <c r="AN33" i="9"/>
  <c r="AN715" i="9"/>
  <c r="AM694" i="9"/>
  <c r="AO672" i="9"/>
  <c r="AN651" i="9"/>
  <c r="AM630" i="9"/>
  <c r="AO608" i="9"/>
  <c r="AO581" i="9"/>
  <c r="AO536" i="9"/>
  <c r="AM462" i="9"/>
  <c r="AM335" i="9"/>
  <c r="AO509" i="9"/>
  <c r="AN488" i="9"/>
  <c r="AM467" i="9"/>
  <c r="AO445" i="9"/>
  <c r="AN424" i="9"/>
  <c r="AO393" i="9"/>
  <c r="AN348" i="9"/>
  <c r="AM291" i="9"/>
  <c r="AM176" i="9"/>
  <c r="AO594" i="9"/>
  <c r="AN573" i="9"/>
  <c r="AM552" i="9"/>
  <c r="AO530" i="9"/>
  <c r="AN509" i="9"/>
  <c r="AM488" i="9"/>
  <c r="AO466" i="9"/>
  <c r="AN445" i="9"/>
  <c r="AM424" i="9"/>
  <c r="AN393" i="9"/>
  <c r="AM347" i="9"/>
  <c r="AM290" i="9"/>
  <c r="AO175" i="9"/>
  <c r="AO575" i="9"/>
  <c r="AN554" i="9"/>
  <c r="AM533" i="9"/>
  <c r="AO511" i="9"/>
  <c r="AN490" i="9"/>
  <c r="AM469" i="9"/>
  <c r="AO447" i="9"/>
  <c r="AN426" i="9"/>
  <c r="AO396" i="9"/>
  <c r="AO353" i="9"/>
  <c r="AN296" i="9"/>
  <c r="AM190" i="9"/>
  <c r="AN591" i="9"/>
  <c r="AM570" i="9"/>
  <c r="AO548" i="9"/>
  <c r="AN527" i="9"/>
  <c r="AM506" i="9"/>
  <c r="AO484" i="9"/>
  <c r="AN463" i="9"/>
  <c r="AM442" i="9"/>
  <c r="AN420" i="9"/>
  <c r="AM388" i="9"/>
  <c r="AM338" i="9"/>
  <c r="AO277" i="9"/>
  <c r="AO141" i="9"/>
  <c r="AN540" i="9"/>
  <c r="AM519" i="9"/>
  <c r="AO497" i="9"/>
  <c r="AN476" i="9"/>
  <c r="AM455" i="9"/>
  <c r="AO433" i="9"/>
  <c r="AN408" i="9"/>
  <c r="AO372" i="9"/>
  <c r="AN316" i="9"/>
  <c r="AM240" i="9"/>
  <c r="AN62" i="9"/>
  <c r="AN585" i="9"/>
  <c r="AM564" i="9"/>
  <c r="AO542" i="9"/>
  <c r="AN521" i="9"/>
  <c r="AM500" i="9"/>
  <c r="AO478" i="9"/>
  <c r="AN457" i="9"/>
  <c r="AM436" i="9"/>
  <c r="AN412" i="9"/>
  <c r="AM378" i="9"/>
  <c r="AM322" i="9"/>
  <c r="AM252" i="9"/>
  <c r="AM85" i="9"/>
  <c r="AM364" i="9"/>
  <c r="AO342" i="9"/>
  <c r="AN321" i="9"/>
  <c r="AM300" i="9"/>
  <c r="AO272" i="9"/>
  <c r="AM236" i="9"/>
  <c r="AM181" i="9"/>
  <c r="AM108" i="9"/>
  <c r="AO31" i="9"/>
  <c r="AN406" i="9"/>
  <c r="AM385" i="9"/>
  <c r="AO363" i="9"/>
  <c r="AN342" i="9"/>
  <c r="AM321" i="9"/>
  <c r="AO299" i="9"/>
  <c r="AN272" i="9"/>
  <c r="AN235" i="9"/>
  <c r="AO179" i="9"/>
  <c r="AN106" i="9"/>
  <c r="AN30" i="9"/>
  <c r="AM398" i="9"/>
  <c r="AO376" i="9"/>
  <c r="AN355" i="9"/>
  <c r="AM334" i="9"/>
  <c r="AO312" i="9"/>
  <c r="AN291" i="9"/>
  <c r="AM259" i="9"/>
  <c r="AO214" i="9"/>
  <c r="AN152" i="9"/>
  <c r="AM77" i="9"/>
  <c r="AM376" i="9"/>
  <c r="AO354" i="9"/>
  <c r="AN333" i="9"/>
  <c r="AM312" i="9"/>
  <c r="AO290" i="9"/>
  <c r="AM258" i="9"/>
  <c r="AM213" i="9"/>
  <c r="AO150" i="9"/>
  <c r="AN74" i="9"/>
  <c r="AM421" i="9"/>
  <c r="AO399" i="9"/>
  <c r="AN378" i="9"/>
  <c r="AM357" i="9"/>
  <c r="AO335" i="9"/>
  <c r="AN314" i="9"/>
  <c r="AM293" i="9"/>
  <c r="AO261" i="9"/>
  <c r="AM219" i="9"/>
  <c r="AN158" i="9"/>
  <c r="AN83" i="9"/>
  <c r="AN6" i="9"/>
  <c r="AM147" i="9"/>
  <c r="AN118" i="9"/>
  <c r="AN90" i="9"/>
  <c r="AO61" i="9"/>
  <c r="AM33" i="9"/>
  <c r="AO287" i="9"/>
  <c r="AN266" i="9"/>
  <c r="AM245" i="9"/>
  <c r="AN221" i="9"/>
  <c r="AO192" i="9"/>
  <c r="AM164" i="9"/>
  <c r="AM136" i="9"/>
  <c r="AN107" i="9"/>
  <c r="AO78" i="9"/>
  <c r="AO50" i="9"/>
  <c r="AM22" i="9"/>
  <c r="AN239" i="9"/>
  <c r="AO213" i="9"/>
  <c r="AM185" i="9"/>
  <c r="AM157" i="9"/>
  <c r="AN128" i="9"/>
  <c r="AO99" i="9"/>
  <c r="AO71" i="9"/>
  <c r="AM43" i="9"/>
  <c r="AN14" i="9"/>
  <c r="AO273" i="9"/>
  <c r="AN252" i="9"/>
  <c r="AO230" i="9"/>
  <c r="AO202" i="9"/>
  <c r="AM174" i="9"/>
  <c r="AN145" i="9"/>
  <c r="AN117" i="9"/>
  <c r="AO88" i="9"/>
  <c r="AM60" i="9"/>
  <c r="AM32" i="9"/>
  <c r="AN286" i="9"/>
  <c r="AM265" i="9"/>
  <c r="AO243" i="9"/>
  <c r="AN219" i="9"/>
  <c r="AO190" i="9"/>
  <c r="AO162" i="9"/>
  <c r="AM134" i="9"/>
  <c r="AN105" i="9"/>
  <c r="AN77" i="9"/>
  <c r="AO48" i="9"/>
  <c r="AM20" i="9"/>
  <c r="AN223" i="9"/>
  <c r="AM202" i="9"/>
  <c r="AO180" i="9"/>
  <c r="AN159" i="9"/>
  <c r="AM138" i="9"/>
  <c r="AO116" i="9"/>
  <c r="AN95" i="9"/>
  <c r="AM74" i="9"/>
  <c r="AO52" i="9"/>
  <c r="AN31" i="9"/>
  <c r="AM10" i="9"/>
  <c r="AN212" i="9"/>
  <c r="AM191" i="9"/>
  <c r="AO169" i="9"/>
  <c r="AN148" i="9"/>
  <c r="AM127" i="9"/>
  <c r="AO105" i="9"/>
  <c r="AN84" i="9"/>
  <c r="AM63" i="9"/>
  <c r="AO41" i="9"/>
  <c r="AO972" i="9"/>
  <c r="AO969" i="9"/>
  <c r="AN1001" i="9"/>
  <c r="AM980" i="9"/>
  <c r="AO958" i="9"/>
  <c r="AO914" i="9"/>
  <c r="AN792" i="9"/>
  <c r="AO964" i="9"/>
  <c r="AO922" i="9"/>
  <c r="AN998" i="9"/>
  <c r="AM977" i="9"/>
  <c r="AO955" i="9"/>
  <c r="AO906" i="9"/>
  <c r="AN768" i="9"/>
  <c r="AM970" i="9"/>
  <c r="AN988" i="9"/>
  <c r="AO773" i="9"/>
  <c r="AN987" i="9"/>
  <c r="AM966" i="9"/>
  <c r="AO933" i="9"/>
  <c r="AM851" i="9"/>
  <c r="AO491" i="9"/>
  <c r="AO1001" i="9"/>
  <c r="AM995" i="9"/>
  <c r="AO973" i="9"/>
  <c r="AO950" i="9"/>
  <c r="AM898" i="9"/>
  <c r="AO741" i="9"/>
  <c r="AN840" i="9"/>
  <c r="AM960" i="9"/>
  <c r="AO917" i="9"/>
  <c r="AM803" i="9"/>
  <c r="AM962" i="9"/>
  <c r="AO994" i="9"/>
  <c r="AO983" i="9"/>
  <c r="AN962" i="9"/>
  <c r="AO924" i="9"/>
  <c r="AO821" i="9"/>
  <c r="AM896" i="9"/>
  <c r="AO874" i="9"/>
  <c r="AN853" i="9"/>
  <c r="AM832" i="9"/>
  <c r="AO810" i="9"/>
  <c r="AN789" i="9"/>
  <c r="AM768" i="9"/>
  <c r="AO746" i="9"/>
  <c r="AM715" i="9"/>
  <c r="AN647" i="9"/>
  <c r="AM526" i="9"/>
  <c r="AN946" i="9"/>
  <c r="AM925" i="9"/>
  <c r="AO903" i="9"/>
  <c r="AN882" i="9"/>
  <c r="AM861" i="9"/>
  <c r="AO839" i="9"/>
  <c r="AN818" i="9"/>
  <c r="AM797" i="9"/>
  <c r="AO775" i="9"/>
  <c r="AN754" i="9"/>
  <c r="AO730" i="9"/>
  <c r="AO677" i="9"/>
  <c r="AO589" i="9"/>
  <c r="AM882" i="9"/>
  <c r="AO860" i="9"/>
  <c r="AN839" i="9"/>
  <c r="AM818" i="9"/>
  <c r="AO796" i="9"/>
  <c r="AN775" i="9"/>
  <c r="AM754" i="9"/>
  <c r="AM730" i="9"/>
  <c r="AO676" i="9"/>
  <c r="AO587" i="9"/>
  <c r="AN948" i="9"/>
  <c r="AM927" i="9"/>
  <c r="AO905" i="9"/>
  <c r="AN884" i="9"/>
  <c r="AM863" i="9"/>
  <c r="AO841" i="9"/>
  <c r="AN820" i="9"/>
  <c r="AM799" i="9"/>
  <c r="AO777" i="9"/>
  <c r="AN756" i="9"/>
  <c r="AO733" i="9"/>
  <c r="AO684" i="9"/>
  <c r="AN600" i="9"/>
  <c r="AN200" i="9"/>
  <c r="AO918" i="9"/>
  <c r="AN897" i="9"/>
  <c r="AM876" i="9"/>
  <c r="AO854" i="9"/>
  <c r="AN833" i="9"/>
  <c r="AM812" i="9"/>
  <c r="AO790" i="9"/>
  <c r="AN769" i="9"/>
  <c r="AM748" i="9"/>
  <c r="AO717" i="9"/>
  <c r="AO652" i="9"/>
  <c r="AO539" i="9"/>
  <c r="AO947" i="9"/>
  <c r="AN926" i="9"/>
  <c r="AM905" i="9"/>
  <c r="AO883" i="9"/>
  <c r="AN862" i="9"/>
  <c r="AM841" i="9"/>
  <c r="AO819" i="9"/>
  <c r="AN798" i="9"/>
  <c r="AM777" i="9"/>
  <c r="AO755" i="9"/>
  <c r="AO732" i="9"/>
  <c r="AO682" i="9"/>
  <c r="AM597" i="9"/>
  <c r="AM109" i="9"/>
  <c r="AO936" i="9"/>
  <c r="AN915" i="9"/>
  <c r="AM894" i="9"/>
  <c r="AO872" i="9"/>
  <c r="AN851" i="9"/>
  <c r="AM830" i="9"/>
  <c r="AO808" i="9"/>
  <c r="AN787" i="9"/>
  <c r="AN977" i="9"/>
  <c r="AN974" i="9"/>
  <c r="AN963" i="9"/>
  <c r="AM971" i="9"/>
  <c r="AN911" i="9"/>
  <c r="AN1002" i="9"/>
  <c r="AN800" i="9"/>
  <c r="AO786" i="9"/>
  <c r="AM901" i="9"/>
  <c r="AM773" i="9"/>
  <c r="AM667" i="9"/>
  <c r="AO836" i="9"/>
  <c r="AO772" i="9"/>
  <c r="AO568" i="9"/>
  <c r="AO881" i="9"/>
  <c r="AM775" i="9"/>
  <c r="AN937" i="9"/>
  <c r="AM852" i="9"/>
  <c r="AM642" i="9"/>
  <c r="AO859" i="9"/>
  <c r="AN672" i="9"/>
  <c r="AM870" i="9"/>
  <c r="AO628" i="9"/>
  <c r="AN528" i="9"/>
  <c r="AN682" i="9"/>
  <c r="AN596" i="9"/>
  <c r="AO499" i="9"/>
  <c r="AM81" i="9"/>
  <c r="AO689" i="9"/>
  <c r="AM647" i="9"/>
  <c r="AN604" i="9"/>
  <c r="AO573" i="9"/>
  <c r="AO525" i="9"/>
  <c r="AM284" i="9"/>
  <c r="AN681" i="9"/>
  <c r="AM660" i="9"/>
  <c r="AO638" i="9"/>
  <c r="AM595" i="9"/>
  <c r="AN556" i="9"/>
  <c r="AO496" i="9"/>
  <c r="AM407" i="9"/>
  <c r="AM53" i="9"/>
  <c r="AN718" i="9"/>
  <c r="AO675" i="9"/>
  <c r="AN654" i="9"/>
  <c r="AM633" i="9"/>
  <c r="AN586" i="9"/>
  <c r="AO544" i="9"/>
  <c r="AM473" i="9"/>
  <c r="AN364" i="9"/>
  <c r="AN731" i="9"/>
  <c r="AM710" i="9"/>
  <c r="AO688" i="9"/>
  <c r="AN667" i="9"/>
  <c r="AM646" i="9"/>
  <c r="AO624" i="9"/>
  <c r="AN603" i="9"/>
  <c r="AM523" i="9"/>
  <c r="AO440" i="9"/>
  <c r="AN271" i="9"/>
  <c r="AN504" i="9"/>
  <c r="AM483" i="9"/>
  <c r="AO461" i="9"/>
  <c r="AN440" i="9"/>
  <c r="AM418" i="9"/>
  <c r="AN385" i="9"/>
  <c r="AO333" i="9"/>
  <c r="AO127" i="9"/>
  <c r="AN589" i="9"/>
  <c r="AM568" i="9"/>
  <c r="AO546" i="9"/>
  <c r="AN525" i="9"/>
  <c r="AM504" i="9"/>
  <c r="AO482" i="9"/>
  <c r="AN461" i="9"/>
  <c r="AM440" i="9"/>
  <c r="AO417" i="9"/>
  <c r="AO332" i="9"/>
  <c r="AN269" i="9"/>
  <c r="AM123" i="9"/>
  <c r="AN570" i="9"/>
  <c r="AM549" i="9"/>
  <c r="AO527" i="9"/>
  <c r="AN506" i="9"/>
  <c r="AM485" i="9"/>
  <c r="AO463" i="9"/>
  <c r="AN442" i="9"/>
  <c r="AO420" i="9"/>
  <c r="AN388" i="9"/>
  <c r="AM339" i="9"/>
  <c r="AM278" i="9"/>
  <c r="AN147" i="9"/>
  <c r="AM586" i="9"/>
  <c r="AO564" i="9"/>
  <c r="AN543" i="9"/>
  <c r="AM522" i="9"/>
  <c r="AO500" i="9"/>
  <c r="AN479" i="9"/>
  <c r="AM458" i="9"/>
  <c r="AO436" i="9"/>
  <c r="AN413" i="9"/>
  <c r="AM379" i="9"/>
  <c r="AN324" i="9"/>
  <c r="AM254" i="9"/>
  <c r="AM91" i="9"/>
  <c r="AM535" i="9"/>
  <c r="AO513" i="9"/>
  <c r="AN492" i="9"/>
  <c r="AM471" i="9"/>
  <c r="AO449" i="9"/>
  <c r="AN428" i="9"/>
  <c r="AM400" i="9"/>
  <c r="AM359" i="9"/>
  <c r="AO301" i="9"/>
  <c r="AM204" i="9"/>
  <c r="AO13" i="9"/>
  <c r="AM580" i="9"/>
  <c r="AO558" i="9"/>
  <c r="AN537" i="9"/>
  <c r="AM516" i="9"/>
  <c r="AO494" i="9"/>
  <c r="AN473" i="9"/>
  <c r="AM452" i="9"/>
  <c r="AO430" i="9"/>
  <c r="AM404" i="9"/>
  <c r="AO364" i="9"/>
  <c r="AN308" i="9"/>
  <c r="AO221" i="9"/>
  <c r="AN34" i="9"/>
  <c r="AO358" i="9"/>
  <c r="AN337" i="9"/>
  <c r="AM316" i="9"/>
  <c r="AO294" i="9"/>
  <c r="AN264" i="9"/>
  <c r="AO223" i="9"/>
  <c r="AN165" i="9"/>
  <c r="AN88" i="9"/>
  <c r="AM13" i="9"/>
  <c r="AM401" i="9"/>
  <c r="AO379" i="9"/>
  <c r="AN358" i="9"/>
  <c r="AM337" i="9"/>
  <c r="AO315" i="9"/>
  <c r="AN294" i="9"/>
  <c r="AM264" i="9"/>
  <c r="AN222" i="9"/>
  <c r="AM163" i="9"/>
  <c r="AO87" i="9"/>
  <c r="AM12" i="9"/>
  <c r="AO392" i="9"/>
  <c r="AN371" i="9"/>
  <c r="AM350" i="9"/>
  <c r="AO328" i="9"/>
  <c r="AN307" i="9"/>
  <c r="AO284" i="9"/>
  <c r="AO250" i="9"/>
  <c r="AO200" i="9"/>
  <c r="AO133" i="9"/>
  <c r="AO58" i="9"/>
  <c r="AO370" i="9"/>
  <c r="AN349" i="9"/>
  <c r="AM328" i="9"/>
  <c r="AO306" i="9"/>
  <c r="AN283" i="9"/>
  <c r="AN249" i="9"/>
  <c r="AN198" i="9"/>
  <c r="AM131" i="9"/>
  <c r="AO55" i="9"/>
  <c r="AN394" i="9"/>
  <c r="AO351" i="9"/>
  <c r="AN330" i="9"/>
  <c r="AM309" i="9"/>
  <c r="AN287" i="9"/>
  <c r="AN253" i="9"/>
  <c r="AM205" i="9"/>
  <c r="AM140" i="9"/>
  <c r="AO63" i="9"/>
  <c r="AN168" i="9"/>
  <c r="AO139" i="9"/>
  <c r="AO111" i="9"/>
  <c r="AM83" i="9"/>
  <c r="AN54" i="9"/>
  <c r="AN26" i="9"/>
  <c r="AN282" i="9"/>
  <c r="AM261" i="9"/>
  <c r="AO239" i="9"/>
  <c r="AM214" i="9"/>
  <c r="AN185" i="9"/>
  <c r="AN157" i="9"/>
  <c r="AO128" i="9"/>
  <c r="AM100" i="9"/>
  <c r="AM72" i="9"/>
  <c r="AN43" i="9"/>
  <c r="AO14" i="9"/>
  <c r="AM234" i="9"/>
  <c r="AN206" i="9"/>
  <c r="AN178" i="9"/>
  <c r="AO149" i="9"/>
  <c r="AM121" i="9"/>
  <c r="AM93" i="9"/>
  <c r="AN64" i="9"/>
  <c r="AO35" i="9"/>
  <c r="AO7" i="9"/>
  <c r="AN268" i="9"/>
  <c r="AM247" i="9"/>
  <c r="AM224" i="9"/>
  <c r="AN195" i="9"/>
  <c r="AO138" i="9"/>
  <c r="AM110" i="9"/>
  <c r="AN81" i="9"/>
  <c r="AN53" i="9"/>
  <c r="AO24" i="9"/>
  <c r="AM281" i="9"/>
  <c r="AO259" i="9"/>
  <c r="AN238" i="9"/>
  <c r="AM212" i="9"/>
  <c r="AM184" i="9"/>
  <c r="AN155" i="9"/>
  <c r="AO126" i="9"/>
  <c r="AO98" i="9"/>
  <c r="AM70" i="9"/>
  <c r="AN41" i="9"/>
  <c r="AN13" i="9"/>
  <c r="AM218" i="9"/>
  <c r="AO196" i="9"/>
  <c r="AN175" i="9"/>
  <c r="AM154" i="9"/>
  <c r="AO132" i="9"/>
  <c r="AN111" i="9"/>
  <c r="AM90" i="9"/>
  <c r="AO68" i="9"/>
  <c r="AN47" i="9"/>
  <c r="AM26" i="9"/>
  <c r="AN228" i="9"/>
  <c r="AM207" i="9"/>
  <c r="AO185" i="9"/>
  <c r="AN164" i="9"/>
  <c r="AM143" i="9"/>
  <c r="AO121" i="9"/>
  <c r="AN100" i="9"/>
  <c r="AM79" i="9"/>
  <c r="AO57" i="9"/>
  <c r="AN36" i="9"/>
  <c r="AM15" i="9"/>
  <c r="AM956" i="9"/>
  <c r="AO995" i="9"/>
  <c r="AO669" i="9"/>
  <c r="AN980" i="9"/>
  <c r="AN945" i="9"/>
  <c r="AN957" i="9"/>
  <c r="AM992" i="9"/>
  <c r="AN917" i="9"/>
  <c r="AM872" i="9"/>
  <c r="AM808" i="9"/>
  <c r="AO708" i="9"/>
  <c r="AO488" i="9"/>
  <c r="AO879" i="9"/>
  <c r="AO815" i="9"/>
  <c r="AO751" i="9"/>
  <c r="AM858" i="9"/>
  <c r="AM666" i="9"/>
  <c r="AN860" i="9"/>
  <c r="AN729" i="9"/>
  <c r="AO894" i="9"/>
  <c r="AN809" i="9"/>
  <c r="AM712" i="9"/>
  <c r="AN902" i="9"/>
  <c r="AM753" i="9"/>
  <c r="AN668" i="9"/>
  <c r="AM892" i="9"/>
  <c r="AM562" i="9"/>
  <c r="AO355" i="9"/>
  <c r="AM326" i="9"/>
  <c r="AN280" i="9"/>
  <c r="AO245" i="9"/>
  <c r="AN193" i="9"/>
  <c r="AO123" i="9"/>
  <c r="AM368" i="9"/>
  <c r="AO346" i="9"/>
  <c r="AN325" i="9"/>
  <c r="AM304" i="9"/>
  <c r="AN279" i="9"/>
  <c r="AM244" i="9"/>
  <c r="AO191" i="9"/>
  <c r="AO122" i="9"/>
  <c r="AO45" i="9"/>
  <c r="AM413" i="9"/>
  <c r="AO391" i="9"/>
  <c r="AN370" i="9"/>
  <c r="AM349" i="9"/>
  <c r="AO327" i="9"/>
  <c r="AN306" i="9"/>
  <c r="AM283" i="9"/>
  <c r="AO248" i="9"/>
  <c r="AO197" i="9"/>
  <c r="AN130" i="9"/>
  <c r="AO54" i="9"/>
  <c r="AM165" i="9"/>
  <c r="AN136" i="9"/>
  <c r="AO107" i="9"/>
  <c r="AO79" i="9"/>
  <c r="AM51" i="9"/>
  <c r="AN22" i="9"/>
  <c r="AO279" i="9"/>
  <c r="AN258" i="9"/>
  <c r="AM237" i="9"/>
  <c r="AO210" i="9"/>
  <c r="AM182" i="9"/>
  <c r="AN153" i="9"/>
  <c r="AN125" i="9"/>
  <c r="AO96" i="9"/>
  <c r="AM68" i="9"/>
  <c r="AM40" i="9"/>
  <c r="AN11" i="9"/>
  <c r="AM231" i="9"/>
  <c r="AM203" i="9"/>
  <c r="AN174" i="9"/>
  <c r="AN146" i="9"/>
  <c r="AO117" i="9"/>
  <c r="AM89" i="9"/>
  <c r="AM61" i="9"/>
  <c r="AN32" i="9"/>
  <c r="AM287" i="9"/>
  <c r="AO265" i="9"/>
  <c r="AN244" i="9"/>
  <c r="AM220" i="9"/>
  <c r="AO134" i="9"/>
  <c r="AO106" i="9"/>
  <c r="AN49" i="9"/>
  <c r="AN21" i="9"/>
  <c r="AN278" i="9"/>
  <c r="AM257" i="9"/>
  <c r="AO235" i="9"/>
  <c r="AO208" i="9"/>
  <c r="AM180" i="9"/>
  <c r="AM152" i="9"/>
  <c r="AN123" i="9"/>
  <c r="AO94" i="9"/>
  <c r="AO66" i="9"/>
  <c r="AM38" i="9"/>
  <c r="AN9" i="9"/>
  <c r="AN215" i="9"/>
  <c r="AM194" i="9"/>
  <c r="AO172" i="9"/>
  <c r="AN151" i="9"/>
  <c r="AM130" i="9"/>
  <c r="AO108" i="9"/>
  <c r="AN87" i="9"/>
  <c r="AM66" i="9"/>
  <c r="AO44" i="9"/>
  <c r="AN23" i="9"/>
  <c r="AO225" i="9"/>
  <c r="AN204" i="9"/>
  <c r="AM183" i="9"/>
  <c r="AO998" i="9"/>
  <c r="AM907" i="9"/>
  <c r="AN901" i="9"/>
  <c r="AN951" i="9"/>
  <c r="AN953" i="9"/>
  <c r="AO984" i="9"/>
  <c r="AO829" i="9"/>
  <c r="AN992" i="9"/>
  <c r="AO701" i="9"/>
  <c r="AO781" i="9"/>
  <c r="AO959" i="9"/>
  <c r="AO850" i="9"/>
  <c r="AM744" i="9"/>
  <c r="AO943" i="9"/>
  <c r="AN858" i="9"/>
  <c r="AN725" i="9"/>
  <c r="AN815" i="9"/>
  <c r="AO724" i="9"/>
  <c r="AN924" i="9"/>
  <c r="AM839" i="9"/>
  <c r="AO753" i="9"/>
  <c r="AM585" i="9"/>
  <c r="AO830" i="9"/>
  <c r="AN745" i="9"/>
  <c r="AM945" i="9"/>
  <c r="AN838" i="9"/>
  <c r="AN774" i="9"/>
  <c r="AM581" i="9"/>
  <c r="AO912" i="9"/>
  <c r="AN827" i="9"/>
  <c r="AO784" i="9"/>
  <c r="AN703" i="9"/>
  <c r="AM648" i="9"/>
  <c r="AO626" i="9"/>
  <c r="AO448" i="9"/>
  <c r="AM725" i="9"/>
  <c r="AO639" i="9"/>
  <c r="AM412" i="9"/>
  <c r="AO443" i="9"/>
  <c r="AM697" i="9"/>
  <c r="AO269" i="9"/>
  <c r="AM373" i="9"/>
  <c r="AM784" i="9"/>
  <c r="AM751" i="9"/>
  <c r="AO661" i="9"/>
  <c r="AM438" i="9"/>
  <c r="AN237" i="9"/>
  <c r="AM537" i="9"/>
  <c r="AM327" i="9"/>
  <c r="AM384" i="9"/>
  <c r="AO534" i="9"/>
  <c r="AM192" i="9"/>
  <c r="AM947" i="9"/>
  <c r="AN648" i="9"/>
  <c r="AM959" i="9"/>
  <c r="AO1000" i="9"/>
  <c r="AN979" i="9"/>
  <c r="AN912" i="9"/>
  <c r="AM787" i="9"/>
  <c r="AN959" i="9"/>
  <c r="AN752" i="9"/>
  <c r="AM987" i="9"/>
  <c r="AO965" i="9"/>
  <c r="AN933" i="9"/>
  <c r="AN848" i="9"/>
  <c r="AM449" i="9"/>
  <c r="AN973" i="9"/>
  <c r="AO949" i="9"/>
  <c r="AN896" i="9"/>
  <c r="AM739" i="9"/>
  <c r="AO985" i="9"/>
  <c r="AO986" i="9"/>
  <c r="AM997" i="9"/>
  <c r="AO975" i="9"/>
  <c r="AO953" i="9"/>
  <c r="AN903" i="9"/>
  <c r="AO757" i="9"/>
  <c r="AM888" i="9"/>
  <c r="AO866" i="9"/>
  <c r="AN845" i="9"/>
  <c r="AM824" i="9"/>
  <c r="AO802" i="9"/>
  <c r="AN781" i="9"/>
  <c r="AM760" i="9"/>
  <c r="AO738" i="9"/>
  <c r="AO693" i="9"/>
  <c r="AN615" i="9"/>
  <c r="AM394" i="9"/>
  <c r="AN938" i="9"/>
  <c r="AM917" i="9"/>
  <c r="AO895" i="9"/>
  <c r="AN874" i="9"/>
  <c r="AM853" i="9"/>
  <c r="AO831" i="9"/>
  <c r="AN810" i="9"/>
  <c r="AM789" i="9"/>
  <c r="AO767" i="9"/>
  <c r="AN746" i="9"/>
  <c r="AO714" i="9"/>
  <c r="AO645" i="9"/>
  <c r="AM521" i="9"/>
  <c r="AM874" i="9"/>
  <c r="AO852" i="9"/>
  <c r="AN831" i="9"/>
  <c r="AM810" i="9"/>
  <c r="AO788" i="9"/>
  <c r="AN767" i="9"/>
  <c r="AM746" i="9"/>
  <c r="AM714" i="9"/>
  <c r="AO644" i="9"/>
  <c r="AN518" i="9"/>
  <c r="AN940" i="9"/>
  <c r="AM919" i="9"/>
  <c r="AO897" i="9"/>
  <c r="AN876" i="9"/>
  <c r="AM855" i="9"/>
  <c r="AO833" i="9"/>
  <c r="AN812" i="9"/>
  <c r="AM791" i="9"/>
  <c r="AO769" i="9"/>
  <c r="AN748" i="9"/>
  <c r="AO718" i="9"/>
  <c r="AO653" i="9"/>
  <c r="AN542" i="9"/>
  <c r="AM932" i="9"/>
  <c r="AO910" i="9"/>
  <c r="AN889" i="9"/>
  <c r="AM868" i="9"/>
  <c r="AO846" i="9"/>
  <c r="AN825" i="9"/>
  <c r="AM804" i="9"/>
  <c r="AO782" i="9"/>
  <c r="AN761" i="9"/>
  <c r="AM740" i="9"/>
  <c r="AM698" i="9"/>
  <c r="AO620" i="9"/>
  <c r="AO424" i="9"/>
  <c r="AO939" i="9"/>
  <c r="AN918" i="9"/>
  <c r="AM897" i="9"/>
  <c r="AO875" i="9"/>
  <c r="AN854" i="9"/>
  <c r="AM833" i="9"/>
  <c r="AO811" i="9"/>
  <c r="AN790" i="9"/>
  <c r="AM769" i="9"/>
  <c r="AO747" i="9"/>
  <c r="AN717" i="9"/>
  <c r="AM651" i="9"/>
  <c r="AN536" i="9"/>
  <c r="AM950" i="9"/>
  <c r="AO928" i="9"/>
  <c r="AN907" i="9"/>
  <c r="AM886" i="9"/>
  <c r="AO864" i="9"/>
  <c r="AN843" i="9"/>
  <c r="AM822" i="9"/>
  <c r="AO800" i="9"/>
  <c r="AN779" i="9"/>
  <c r="AM758" i="9"/>
  <c r="AN736" i="9"/>
  <c r="AN688" i="9"/>
  <c r="AN607" i="9"/>
  <c r="AN320" i="9"/>
  <c r="AM664" i="9"/>
  <c r="AO642" i="9"/>
  <c r="AN621" i="9"/>
  <c r="AM600" i="9"/>
  <c r="AN564" i="9"/>
  <c r="AO512" i="9"/>
  <c r="AO961" i="9"/>
  <c r="AO861" i="9"/>
  <c r="AM899" i="9"/>
  <c r="AM975" i="9"/>
  <c r="AM994" i="9"/>
  <c r="AN680" i="9"/>
  <c r="AM981" i="9"/>
  <c r="AN829" i="9"/>
  <c r="AO636" i="9"/>
  <c r="AM837" i="9"/>
  <c r="AN879" i="9"/>
  <c r="AN751" i="9"/>
  <c r="AM903" i="9"/>
  <c r="AN796" i="9"/>
  <c r="AM675" i="9"/>
  <c r="AN873" i="9"/>
  <c r="AO766" i="9"/>
  <c r="AM510" i="9"/>
  <c r="AM881" i="9"/>
  <c r="AO795" i="9"/>
  <c r="AN955" i="9"/>
  <c r="AN891" i="9"/>
  <c r="AM806" i="9"/>
  <c r="AM742" i="9"/>
  <c r="AO456" i="9"/>
  <c r="AN605" i="9"/>
  <c r="AM299" i="9"/>
  <c r="AM661" i="9"/>
  <c r="AN558" i="9"/>
  <c r="AO625" i="9"/>
  <c r="AN617" i="9"/>
  <c r="AN571" i="9"/>
  <c r="AO415" i="9"/>
  <c r="AM996" i="9"/>
  <c r="AO855" i="9"/>
  <c r="AN849" i="9"/>
  <c r="AN867" i="9"/>
  <c r="AM489" i="9"/>
  <c r="AN630" i="9"/>
  <c r="AN437" i="9"/>
  <c r="AM295" i="9"/>
  <c r="AN163" i="9"/>
  <c r="AN969" i="9"/>
  <c r="AO930" i="9"/>
  <c r="AN695" i="9"/>
  <c r="AO764" i="9"/>
  <c r="AM844" i="9"/>
  <c r="AM610" i="9"/>
  <c r="AM937" i="9"/>
  <c r="AO915" i="9"/>
  <c r="AM873" i="9"/>
  <c r="AO851" i="9"/>
  <c r="AN830" i="9"/>
  <c r="AO787" i="9"/>
  <c r="AN766" i="9"/>
  <c r="AM745" i="9"/>
  <c r="AN711" i="9"/>
  <c r="AN640" i="9"/>
  <c r="AN502" i="9"/>
  <c r="AN947" i="9"/>
  <c r="AO904" i="9"/>
  <c r="AN883" i="9"/>
  <c r="AM862" i="9"/>
  <c r="AO840" i="9"/>
  <c r="AN819" i="9"/>
  <c r="AM798" i="9"/>
  <c r="AO776" i="9"/>
  <c r="AN755" i="9"/>
  <c r="AN732" i="9"/>
  <c r="AM682" i="9"/>
  <c r="AO595" i="9"/>
  <c r="AN80" i="9"/>
  <c r="AN661" i="9"/>
  <c r="AM640" i="9"/>
  <c r="AO618" i="9"/>
  <c r="AO596" i="9"/>
  <c r="AM559" i="9"/>
  <c r="AM415" i="9"/>
  <c r="AO956" i="9"/>
  <c r="AM771" i="9"/>
  <c r="AM747" i="9"/>
  <c r="AN927" i="9"/>
  <c r="AN887" i="9"/>
  <c r="AM755" i="9"/>
  <c r="AN893" i="9"/>
  <c r="AN765" i="9"/>
  <c r="AN922" i="9"/>
  <c r="AN794" i="9"/>
  <c r="AM571" i="9"/>
  <c r="AM794" i="9"/>
  <c r="AO945" i="9"/>
  <c r="AO817" i="9"/>
  <c r="AM916" i="9"/>
  <c r="AM788" i="9"/>
  <c r="AO923" i="9"/>
  <c r="AM817" i="9"/>
  <c r="AM728" i="9"/>
  <c r="AM934" i="9"/>
  <c r="AO848" i="9"/>
  <c r="AN763" i="9"/>
  <c r="AN669" i="9"/>
  <c r="AM575" i="9"/>
  <c r="AO703" i="9"/>
  <c r="AN618" i="9"/>
  <c r="AM711" i="9"/>
  <c r="AO702" i="9"/>
  <c r="AO611" i="9"/>
  <c r="AN384" i="9"/>
  <c r="AO166" i="9"/>
  <c r="AO948" i="9"/>
  <c r="AN952" i="9"/>
  <c r="AO974" i="9"/>
  <c r="AM952" i="9"/>
  <c r="AO900" i="9"/>
  <c r="AO749" i="9"/>
  <c r="AO993" i="9"/>
  <c r="AN880" i="9"/>
  <c r="AM993" i="9"/>
  <c r="AO971" i="9"/>
  <c r="AO946" i="9"/>
  <c r="AM890" i="9"/>
  <c r="AM716" i="9"/>
  <c r="AM938" i="9"/>
  <c r="AN964" i="9"/>
  <c r="AN1003" i="9"/>
  <c r="AM982" i="9"/>
  <c r="AO960" i="9"/>
  <c r="AM920" i="9"/>
  <c r="AN808" i="9"/>
  <c r="AN975" i="9"/>
  <c r="AM948" i="9"/>
  <c r="AO989" i="9"/>
  <c r="AN968" i="9"/>
  <c r="AM940" i="9"/>
  <c r="AO869" i="9"/>
  <c r="AM627" i="9"/>
  <c r="AM999" i="9"/>
  <c r="AM954" i="9"/>
  <c r="AM904" i="9"/>
  <c r="AN760" i="9"/>
  <c r="AN1004" i="9"/>
  <c r="AN989" i="9"/>
  <c r="AO999" i="9"/>
  <c r="AN978" i="9"/>
  <c r="AM957" i="9"/>
  <c r="AO909" i="9"/>
  <c r="AM779" i="9"/>
  <c r="AO890" i="9"/>
  <c r="AN869" i="9"/>
  <c r="AM848" i="9"/>
  <c r="AO826" i="9"/>
  <c r="AN805" i="9"/>
  <c r="AO762" i="9"/>
  <c r="AN741" i="9"/>
  <c r="AN701" i="9"/>
  <c r="AM626" i="9"/>
  <c r="AM446" i="9"/>
  <c r="AM941" i="9"/>
  <c r="AO919" i="9"/>
  <c r="AN898" i="9"/>
  <c r="AM877" i="9"/>
  <c r="AN834" i="9"/>
  <c r="AM813" i="9"/>
  <c r="AO791" i="9"/>
  <c r="AN770" i="9"/>
  <c r="AM749" i="9"/>
  <c r="AM720" i="9"/>
  <c r="AN656" i="9"/>
  <c r="AO549" i="9"/>
  <c r="AO876" i="9"/>
  <c r="AN855" i="9"/>
  <c r="AM834" i="9"/>
  <c r="AO812" i="9"/>
  <c r="AN791" i="9"/>
  <c r="AM770" i="9"/>
  <c r="AO748" i="9"/>
  <c r="AN719" i="9"/>
  <c r="AN655" i="9"/>
  <c r="AN547" i="9"/>
  <c r="AM943" i="9"/>
  <c r="AO921" i="9"/>
  <c r="AN900" i="9"/>
  <c r="AM879" i="9"/>
  <c r="AO857" i="9"/>
  <c r="AN836" i="9"/>
  <c r="AM815" i="9"/>
  <c r="AO793" i="9"/>
  <c r="AN772" i="9"/>
  <c r="AM724" i="9"/>
  <c r="AN664" i="9"/>
  <c r="AO565" i="9"/>
  <c r="AO934" i="9"/>
  <c r="AN913" i="9"/>
  <c r="AO870" i="9"/>
  <c r="AM828" i="9"/>
  <c r="AO806" i="9"/>
  <c r="AN785" i="9"/>
  <c r="AM764" i="9"/>
  <c r="AO742" i="9"/>
  <c r="AN704" i="9"/>
  <c r="AN631" i="9"/>
  <c r="AN467" i="9"/>
  <c r="AN942" i="9"/>
  <c r="AM921" i="9"/>
  <c r="AO899" i="9"/>
  <c r="AN878" i="9"/>
  <c r="AM857" i="9"/>
  <c r="AO835" i="9"/>
  <c r="AN814" i="9"/>
  <c r="AM793" i="9"/>
  <c r="AO771" i="9"/>
  <c r="AN750" i="9"/>
  <c r="AO722" i="9"/>
  <c r="AN560" i="9"/>
  <c r="AO952" i="9"/>
  <c r="AN931" i="9"/>
  <c r="AM910" i="9"/>
  <c r="AO888" i="9"/>
  <c r="AM846" i="9"/>
  <c r="AO824" i="9"/>
  <c r="AN803" i="9"/>
  <c r="AM782" i="9"/>
  <c r="AO760" i="9"/>
  <c r="AN739" i="9"/>
  <c r="AM696" i="9"/>
  <c r="AM618" i="9"/>
  <c r="AM411" i="9"/>
  <c r="AO666" i="9"/>
  <c r="AN645" i="9"/>
  <c r="AM624" i="9"/>
  <c r="AO602" i="9"/>
  <c r="AO569" i="9"/>
  <c r="AO520" i="9"/>
  <c r="AO260" i="9"/>
  <c r="AN722" i="9"/>
  <c r="AM701" i="9"/>
  <c r="AO679" i="9"/>
  <c r="AN658" i="9"/>
  <c r="AM637" i="9"/>
  <c r="AO615" i="9"/>
  <c r="AO592" i="9"/>
  <c r="AM553" i="9"/>
  <c r="AO394" i="9"/>
  <c r="AO729" i="9"/>
  <c r="AN708" i="9"/>
  <c r="AM687" i="9"/>
  <c r="AO665" i="9"/>
  <c r="AN644" i="9"/>
  <c r="AM623" i="9"/>
  <c r="AO601" i="9"/>
  <c r="AN568" i="9"/>
  <c r="AM518" i="9"/>
  <c r="AM433" i="9"/>
  <c r="AM700" i="9"/>
  <c r="AO678" i="9"/>
  <c r="AN657" i="9"/>
  <c r="AM636" i="9"/>
  <c r="AO614" i="9"/>
  <c r="AM591" i="9"/>
  <c r="AM551" i="9"/>
  <c r="AM486" i="9"/>
  <c r="AO389" i="9"/>
  <c r="AM737" i="9"/>
  <c r="AO715" i="9"/>
  <c r="AN694" i="9"/>
  <c r="AM673" i="9"/>
  <c r="AO651" i="9"/>
  <c r="AM609" i="9"/>
  <c r="AM582" i="9"/>
  <c r="AN462" i="9"/>
  <c r="AN335" i="9"/>
  <c r="AO728" i="9"/>
  <c r="AN707" i="9"/>
  <c r="AM686" i="9"/>
  <c r="AO664" i="9"/>
  <c r="AN643" i="9"/>
  <c r="AM622" i="9"/>
  <c r="AO600" i="9"/>
  <c r="AM566" i="9"/>
  <c r="AN515" i="9"/>
  <c r="AM430" i="9"/>
  <c r="AN218" i="9"/>
  <c r="AO501" i="9"/>
  <c r="AN480" i="9"/>
  <c r="AM459" i="9"/>
  <c r="AO437" i="9"/>
  <c r="AO414" i="9"/>
  <c r="AO380" i="9"/>
  <c r="AO258" i="9"/>
  <c r="AN101" i="9"/>
  <c r="AO586" i="9"/>
  <c r="AN565" i="9"/>
  <c r="AM544" i="9"/>
  <c r="AO522" i="9"/>
  <c r="AN501" i="9"/>
  <c r="AM480" i="9"/>
  <c r="AO458" i="9"/>
  <c r="AM414" i="9"/>
  <c r="AN380" i="9"/>
  <c r="AO325" i="9"/>
  <c r="AO256" i="9"/>
  <c r="AM99" i="9"/>
  <c r="AO567" i="9"/>
  <c r="AN546" i="9"/>
  <c r="AM525" i="9"/>
  <c r="AO503" i="9"/>
  <c r="AN482" i="9"/>
  <c r="AM461" i="9"/>
  <c r="AO439" i="9"/>
  <c r="AN417" i="9"/>
  <c r="AN332" i="9"/>
  <c r="AM267" i="9"/>
  <c r="AO119" i="9"/>
  <c r="AN583" i="9"/>
  <c r="AO540" i="9"/>
  <c r="AN519" i="9"/>
  <c r="AM498" i="9"/>
  <c r="AO476" i="9"/>
  <c r="AN455" i="9"/>
  <c r="AM434" i="9"/>
  <c r="AN409" i="9"/>
  <c r="AO373" i="9"/>
  <c r="AO316" i="9"/>
  <c r="AO242" i="9"/>
  <c r="AN66" i="9"/>
  <c r="AN532" i="9"/>
  <c r="AM511" i="9"/>
  <c r="AO489" i="9"/>
  <c r="AN468" i="9"/>
  <c r="AM447" i="9"/>
  <c r="AO425" i="9"/>
  <c r="AM396" i="9"/>
  <c r="AN351" i="9"/>
  <c r="AN186" i="9"/>
  <c r="AO598" i="9"/>
  <c r="AN577" i="9"/>
  <c r="AM556" i="9"/>
  <c r="AN513" i="9"/>
  <c r="AM492" i="9"/>
  <c r="AO470" i="9"/>
  <c r="AN449" i="9"/>
  <c r="AM428" i="9"/>
  <c r="AN399" i="9"/>
  <c r="AO357" i="9"/>
  <c r="AO300" i="9"/>
  <c r="AO203" i="9"/>
  <c r="AM9" i="9"/>
  <c r="AM356" i="9"/>
  <c r="AO334" i="9"/>
  <c r="AN313" i="9"/>
  <c r="AM292" i="9"/>
  <c r="AM260" i="9"/>
  <c r="AN216" i="9"/>
  <c r="AM155" i="9"/>
  <c r="AM80" i="9"/>
  <c r="AO419" i="9"/>
  <c r="AN398" i="9"/>
  <c r="AM377" i="9"/>
  <c r="AN334" i="9"/>
  <c r="AM313" i="9"/>
  <c r="AO291" i="9"/>
  <c r="AN259" i="9"/>
  <c r="AO215" i="9"/>
  <c r="AO154" i="9"/>
  <c r="AO77" i="9"/>
  <c r="AN411" i="9"/>
  <c r="AM390" i="9"/>
  <c r="AO368" i="9"/>
  <c r="AN347" i="9"/>
  <c r="AO304" i="9"/>
  <c r="AN48" i="9"/>
  <c r="AM78" i="9"/>
  <c r="AM923" i="9"/>
  <c r="AM930" i="9"/>
  <c r="AN993" i="9"/>
  <c r="AM972" i="9"/>
  <c r="AM891" i="9"/>
  <c r="AN721" i="9"/>
  <c r="AM983" i="9"/>
  <c r="AO837" i="9"/>
  <c r="AN990" i="9"/>
  <c r="AM969" i="9"/>
  <c r="AN941" i="9"/>
  <c r="AM875" i="9"/>
  <c r="AO916" i="9"/>
  <c r="AM958" i="9"/>
  <c r="AN909" i="9"/>
  <c r="AO908" i="9"/>
  <c r="AO990" i="9"/>
  <c r="AO941" i="9"/>
  <c r="AO877" i="9"/>
  <c r="AM659" i="9"/>
  <c r="AN972" i="9"/>
  <c r="AM795" i="9"/>
  <c r="AO987" i="9"/>
  <c r="AN966" i="9"/>
  <c r="AN935" i="9"/>
  <c r="AO853" i="9"/>
  <c r="AO528" i="9"/>
  <c r="AM883" i="9"/>
  <c r="AN936" i="9"/>
  <c r="AM998" i="9"/>
  <c r="AO976" i="9"/>
  <c r="AM955" i="9"/>
  <c r="AM906" i="9"/>
  <c r="AO765" i="9"/>
  <c r="AP1005" i="9"/>
  <c r="AN984" i="9"/>
  <c r="AM963" i="9"/>
  <c r="AO925" i="9"/>
  <c r="AM827" i="9"/>
  <c r="AM986" i="9"/>
  <c r="AO970" i="9"/>
  <c r="AN944" i="9"/>
  <c r="AO885" i="9"/>
  <c r="AM984" i="9"/>
  <c r="AN994" i="9"/>
  <c r="AM973" i="9"/>
  <c r="AN949" i="9"/>
  <c r="AN895" i="9"/>
  <c r="AM736" i="9"/>
  <c r="AN885" i="9"/>
  <c r="AM864" i="9"/>
  <c r="AO842" i="9"/>
  <c r="AN821" i="9"/>
  <c r="AM800" i="9"/>
  <c r="AO778" i="9"/>
  <c r="AN757" i="9"/>
  <c r="AN735" i="9"/>
  <c r="AN687" i="9"/>
  <c r="AO604" i="9"/>
  <c r="AN292" i="9"/>
  <c r="AO935" i="9"/>
  <c r="AN914" i="9"/>
  <c r="AM893" i="9"/>
  <c r="AO871" i="9"/>
  <c r="AN850" i="9"/>
  <c r="AM829" i="9"/>
  <c r="AO807" i="9"/>
  <c r="AN786" i="9"/>
  <c r="AM765" i="9"/>
  <c r="AO743" i="9"/>
  <c r="AM707" i="9"/>
  <c r="AM635" i="9"/>
  <c r="AM481" i="9"/>
  <c r="AN871" i="9"/>
  <c r="AM850" i="9"/>
  <c r="AO828" i="9"/>
  <c r="AN807" i="9"/>
  <c r="AM786" i="9"/>
  <c r="AN743" i="9"/>
  <c r="AO706" i="9"/>
  <c r="AM634" i="9"/>
  <c r="AM478" i="9"/>
  <c r="AO937" i="9"/>
  <c r="AN916" i="9"/>
  <c r="AM895" i="9"/>
  <c r="AO873" i="9"/>
  <c r="AN852" i="9"/>
  <c r="AM831" i="9"/>
  <c r="AO809" i="9"/>
  <c r="AN788" i="9"/>
  <c r="AM767" i="9"/>
  <c r="AO745" i="9"/>
  <c r="AN712" i="9"/>
  <c r="AM643" i="9"/>
  <c r="AM513" i="9"/>
  <c r="AN929" i="9"/>
  <c r="AM908" i="9"/>
  <c r="AO886" i="9"/>
  <c r="AN865" i="9"/>
  <c r="AO822" i="9"/>
  <c r="AN801" i="9"/>
  <c r="AM780" i="9"/>
  <c r="AO758" i="9"/>
  <c r="AN737" i="9"/>
  <c r="AO690" i="9"/>
  <c r="AO348" i="9"/>
  <c r="AN894" i="9"/>
  <c r="AM809" i="9"/>
  <c r="AM926" i="9"/>
  <c r="AM502" i="9"/>
  <c r="AO680" i="9"/>
  <c r="AM766" i="9"/>
  <c r="AO744" i="9"/>
  <c r="AO709" i="9"/>
  <c r="AN639" i="9"/>
  <c r="AN499" i="9"/>
  <c r="AM672" i="9"/>
  <c r="AO650" i="9"/>
  <c r="AN629" i="9"/>
  <c r="AM608" i="9"/>
  <c r="AN580" i="9"/>
  <c r="AN534" i="9"/>
  <c r="AN459" i="9"/>
  <c r="AN327" i="9"/>
  <c r="AO727" i="9"/>
  <c r="AN706" i="9"/>
  <c r="AM685" i="9"/>
  <c r="AO663" i="9"/>
  <c r="AN642" i="9"/>
  <c r="AM621" i="9"/>
  <c r="AO599" i="9"/>
  <c r="AO563" i="9"/>
  <c r="AN510" i="9"/>
  <c r="AM425" i="9"/>
  <c r="AN182" i="9"/>
  <c r="AO713" i="9"/>
  <c r="AN692" i="9"/>
  <c r="AM671" i="9"/>
  <c r="AO649" i="9"/>
  <c r="AN628" i="9"/>
  <c r="AM607" i="9"/>
  <c r="AM579" i="9"/>
  <c r="AO531" i="9"/>
  <c r="AN454" i="9"/>
  <c r="AM314" i="9"/>
  <c r="AN705" i="9"/>
  <c r="AM684" i="9"/>
  <c r="AO662" i="9"/>
  <c r="AN641" i="9"/>
  <c r="AM620" i="9"/>
  <c r="AN598" i="9"/>
  <c r="AO561" i="9"/>
  <c r="AN507" i="9"/>
  <c r="AM422" i="9"/>
  <c r="AO155" i="9"/>
  <c r="AM721" i="9"/>
  <c r="AO699" i="9"/>
  <c r="AN678" i="9"/>
  <c r="AM657" i="9"/>
  <c r="AO635" i="9"/>
  <c r="AN614" i="9"/>
  <c r="AN590" i="9"/>
  <c r="AN550" i="9"/>
  <c r="AO483" i="9"/>
  <c r="AM386" i="9"/>
  <c r="AM734" i="9"/>
  <c r="AO712" i="9"/>
  <c r="AN691" i="9"/>
  <c r="AM670" i="9"/>
  <c r="AO648" i="9"/>
  <c r="AN627" i="9"/>
  <c r="AM606" i="9"/>
  <c r="AO576" i="9"/>
  <c r="AM529" i="9"/>
  <c r="AN451" i="9"/>
  <c r="AM306" i="9"/>
  <c r="AM507" i="9"/>
  <c r="AO485" i="9"/>
  <c r="AN464" i="9"/>
  <c r="AM443" i="9"/>
  <c r="AO421" i="9"/>
  <c r="AN389" i="9"/>
  <c r="AO340" i="9"/>
  <c r="AM282" i="9"/>
  <c r="AO151" i="9"/>
  <c r="AM592" i="9"/>
  <c r="AO570" i="9"/>
  <c r="AN549" i="9"/>
  <c r="AM528" i="9"/>
  <c r="AO506" i="9"/>
  <c r="AN485" i="9"/>
  <c r="AM464" i="9"/>
  <c r="AO442" i="9"/>
  <c r="AN421" i="9"/>
  <c r="AO388" i="9"/>
  <c r="AN340" i="9"/>
  <c r="AM280" i="9"/>
  <c r="AO147" i="9"/>
  <c r="AM573" i="9"/>
  <c r="AO551" i="9"/>
  <c r="AN530" i="9"/>
  <c r="AM509" i="9"/>
  <c r="AO487" i="9"/>
  <c r="AN466" i="9"/>
  <c r="AM445" i="9"/>
  <c r="AO423" i="9"/>
  <c r="AN392" i="9"/>
  <c r="AM346" i="9"/>
  <c r="AO289" i="9"/>
  <c r="AN170" i="9"/>
  <c r="AO588" i="9"/>
  <c r="AN567" i="9"/>
  <c r="AM546" i="9"/>
  <c r="AO524" i="9"/>
  <c r="AN503" i="9"/>
  <c r="AM482" i="9"/>
  <c r="AO460" i="9"/>
  <c r="AN439" i="9"/>
  <c r="AO416" i="9"/>
  <c r="AN383" i="9"/>
  <c r="AM331" i="9"/>
  <c r="AN265" i="9"/>
  <c r="AO118" i="9"/>
  <c r="AO537" i="9"/>
  <c r="AN516" i="9"/>
  <c r="AM495" i="9"/>
  <c r="AO473" i="9"/>
  <c r="AN452" i="9"/>
  <c r="AM431" i="9"/>
  <c r="AN404" i="9"/>
  <c r="AO365" i="9"/>
  <c r="AO308" i="9"/>
  <c r="AM225" i="9"/>
  <c r="AO37" i="9"/>
  <c r="AO582" i="9"/>
  <c r="AN561" i="9"/>
  <c r="AM540" i="9"/>
  <c r="AO518" i="9"/>
  <c r="AN497" i="9"/>
  <c r="AM476" i="9"/>
  <c r="AO454" i="9"/>
  <c r="AN433" i="9"/>
  <c r="AM408" i="9"/>
  <c r="AN372" i="9"/>
  <c r="AM315" i="9"/>
  <c r="AO237" i="9"/>
  <c r="AM62" i="9"/>
  <c r="AN361" i="9"/>
  <c r="AM340" i="9"/>
  <c r="AO318" i="9"/>
  <c r="AN297" i="9"/>
  <c r="AO268" i="9"/>
  <c r="AN230" i="9"/>
  <c r="AO173" i="9"/>
  <c r="AN98" i="9"/>
  <c r="AO22" i="9"/>
  <c r="AO403" i="9"/>
  <c r="AN382" i="9"/>
  <c r="AM361" i="9"/>
  <c r="AO339" i="9"/>
  <c r="AN318" i="9"/>
  <c r="AM297" i="9"/>
  <c r="AM268" i="9"/>
  <c r="AO229" i="9"/>
  <c r="AM173" i="9"/>
  <c r="AN97" i="9"/>
  <c r="AM21" i="9"/>
  <c r="AN395" i="9"/>
  <c r="AM374" i="9"/>
  <c r="AO352" i="9"/>
  <c r="AN331" i="9"/>
  <c r="AM310" i="9"/>
  <c r="AO288" i="9"/>
  <c r="AO254" i="9"/>
  <c r="AM208" i="9"/>
  <c r="AM144" i="9"/>
  <c r="AM67" i="9"/>
  <c r="AN373" i="9"/>
  <c r="AM352" i="9"/>
  <c r="AO330" i="9"/>
  <c r="AN309" i="9"/>
  <c r="AM288" i="9"/>
  <c r="AO253" i="9"/>
  <c r="AO205" i="9"/>
  <c r="AM141" i="9"/>
  <c r="AN65" i="9"/>
  <c r="AN418" i="9"/>
  <c r="AM397" i="9"/>
  <c r="AO375" i="9"/>
  <c r="AN354" i="9"/>
  <c r="AM333" i="9"/>
  <c r="AO311" i="9"/>
  <c r="AN290" i="9"/>
  <c r="AN257" i="9"/>
  <c r="AO211" i="9"/>
  <c r="AM149" i="9"/>
  <c r="AM73" i="9"/>
  <c r="AO171" i="9"/>
  <c r="AO143" i="9"/>
  <c r="AM115" i="9"/>
  <c r="AN86" i="9"/>
  <c r="AN58" i="9"/>
  <c r="AO29" i="9"/>
  <c r="AM285" i="9"/>
  <c r="AO263" i="9"/>
  <c r="AN242" i="9"/>
  <c r="AN217" i="9"/>
  <c r="AN189" i="9"/>
  <c r="AO160" i="9"/>
  <c r="AM132" i="9"/>
  <c r="AM104" i="9"/>
  <c r="AN75" i="9"/>
  <c r="AO46" i="9"/>
  <c r="AO18" i="9"/>
  <c r="AO236" i="9"/>
  <c r="AN210" i="9"/>
  <c r="AO181" i="9"/>
  <c r="AM153" i="9"/>
  <c r="AM125" i="9"/>
  <c r="AN96" i="9"/>
  <c r="AO67" i="9"/>
  <c r="AO39" i="9"/>
  <c r="AM11" i="9"/>
  <c r="AM271" i="9"/>
  <c r="AO249" i="9"/>
  <c r="AN227" i="9"/>
  <c r="AO198" i="9"/>
  <c r="AO170" i="9"/>
  <c r="AM142" i="9"/>
  <c r="AN113" i="9"/>
  <c r="AN85" i="9"/>
  <c r="AO56" i="9"/>
  <c r="AM28" i="9"/>
  <c r="AO283" i="9"/>
  <c r="AN262" i="9"/>
  <c r="AM241" i="9"/>
  <c r="AM216" i="9"/>
  <c r="AN187" i="9"/>
  <c r="AO158" i="9"/>
  <c r="AO130" i="9"/>
  <c r="AM102" i="9"/>
  <c r="AN73" i="9"/>
  <c r="AN45" i="9"/>
  <c r="AO16" i="9"/>
  <c r="AO220" i="9"/>
  <c r="AN199" i="9"/>
  <c r="AM178" i="9"/>
  <c r="AO156" i="9"/>
  <c r="AN135" i="9"/>
  <c r="AM114" i="9"/>
  <c r="AO92" i="9"/>
  <c r="AN71" i="9"/>
  <c r="AM50" i="9"/>
  <c r="AO28" i="9"/>
  <c r="AN7" i="9"/>
  <c r="AO209" i="9"/>
  <c r="AN188" i="9"/>
  <c r="AM167" i="9"/>
  <c r="AO145" i="9"/>
  <c r="AN124" i="9"/>
  <c r="AM103" i="9"/>
  <c r="AO81" i="9"/>
  <c r="AN60" i="9"/>
  <c r="AM39" i="9"/>
  <c r="AO17" i="9"/>
  <c r="AO161" i="9"/>
  <c r="AN140" i="9"/>
  <c r="AM119" i="9"/>
  <c r="AO97" i="9"/>
  <c r="AN76" i="9"/>
  <c r="AM55" i="9"/>
  <c r="AO33" i="9"/>
  <c r="AN12" i="9"/>
  <c r="AN427" i="9"/>
  <c r="AP427" i="9" s="1"/>
  <c r="AN197" i="9"/>
  <c r="AO719" i="9"/>
  <c r="AN698" i="9"/>
  <c r="AM677" i="9"/>
  <c r="AO655" i="9"/>
  <c r="AN634" i="9"/>
  <c r="AM613" i="9"/>
  <c r="AN588" i="9"/>
  <c r="AO547" i="9"/>
  <c r="AN478" i="9"/>
  <c r="AO377" i="9"/>
  <c r="AM727" i="9"/>
  <c r="AO705" i="9"/>
  <c r="AN684" i="9"/>
  <c r="AM663" i="9"/>
  <c r="AO641" i="9"/>
  <c r="AN620" i="9"/>
  <c r="AM599" i="9"/>
  <c r="AM563" i="9"/>
  <c r="AO507" i="9"/>
  <c r="AN422" i="9"/>
  <c r="AM158" i="9"/>
  <c r="AN697" i="9"/>
  <c r="AM676" i="9"/>
  <c r="AO654" i="9"/>
  <c r="AN633" i="9"/>
  <c r="AM612" i="9"/>
  <c r="AM587" i="9"/>
  <c r="AM545" i="9"/>
  <c r="AN475" i="9"/>
  <c r="AM370" i="9"/>
  <c r="AN734" i="9"/>
  <c r="AM713" i="9"/>
  <c r="AO691" i="9"/>
  <c r="AN670" i="9"/>
  <c r="AM649" i="9"/>
  <c r="AO627" i="9"/>
  <c r="AN606" i="9"/>
  <c r="AM577" i="9"/>
  <c r="AM531" i="9"/>
  <c r="AO451" i="9"/>
  <c r="AM307" i="9"/>
  <c r="AM726" i="9"/>
  <c r="AO704" i="9"/>
  <c r="AN683" i="9"/>
  <c r="AM662" i="9"/>
  <c r="AO640" i="9"/>
  <c r="AN619" i="9"/>
  <c r="AO597" i="9"/>
  <c r="AO560" i="9"/>
  <c r="AO504" i="9"/>
  <c r="AO418" i="9"/>
  <c r="AN129" i="9"/>
  <c r="AM499" i="9"/>
  <c r="AO477" i="9"/>
  <c r="AN456" i="9"/>
  <c r="AM435" i="9"/>
  <c r="AO410" i="9"/>
  <c r="AN376" i="9"/>
  <c r="AN319" i="9"/>
  <c r="AM248" i="9"/>
  <c r="AM76" i="9"/>
  <c r="AM584" i="9"/>
  <c r="AO562" i="9"/>
  <c r="AN541" i="9"/>
  <c r="AM520" i="9"/>
  <c r="AO498" i="9"/>
  <c r="AN477" i="9"/>
  <c r="AM456" i="9"/>
  <c r="AO434" i="9"/>
  <c r="AM410" i="9"/>
  <c r="AN375" i="9"/>
  <c r="AM319" i="9"/>
  <c r="AN245" i="9"/>
  <c r="AO72" i="9"/>
  <c r="AM565" i="9"/>
  <c r="AO543" i="9"/>
  <c r="AN522" i="9"/>
  <c r="AM501" i="9"/>
  <c r="AO479" i="9"/>
  <c r="AN458" i="9"/>
  <c r="AM437" i="9"/>
  <c r="AO413" i="9"/>
  <c r="AM380" i="9"/>
  <c r="AO324" i="9"/>
  <c r="AN256" i="9"/>
  <c r="AN94" i="9"/>
  <c r="AO580" i="9"/>
  <c r="AN559" i="9"/>
  <c r="AM538" i="9"/>
  <c r="AO516" i="9"/>
  <c r="AN495" i="9"/>
  <c r="AM474" i="9"/>
  <c r="AO452" i="9"/>
  <c r="AN431" i="9"/>
  <c r="AO404" i="9"/>
  <c r="AM367" i="9"/>
  <c r="AO309" i="9"/>
  <c r="AN225" i="9"/>
  <c r="AN42" i="9"/>
  <c r="AO529" i="9"/>
  <c r="AN508" i="9"/>
  <c r="AM487" i="9"/>
  <c r="AO465" i="9"/>
  <c r="AN444" i="9"/>
  <c r="AM423" i="9"/>
  <c r="AN391" i="9"/>
  <c r="AN344" i="9"/>
  <c r="AO286" i="9"/>
  <c r="AO165" i="9"/>
  <c r="AM596" i="9"/>
  <c r="AO574" i="9"/>
  <c r="AN553" i="9"/>
  <c r="AM532" i="9"/>
  <c r="AO510" i="9"/>
  <c r="AN489" i="9"/>
  <c r="AM468" i="9"/>
  <c r="AO446" i="9"/>
  <c r="AN425" i="9"/>
  <c r="AM395" i="9"/>
  <c r="AM351" i="9"/>
  <c r="AO293" i="9"/>
  <c r="AO182" i="9"/>
  <c r="AO374" i="9"/>
  <c r="AN353" i="9"/>
  <c r="AM332" i="9"/>
  <c r="AO310" i="9"/>
  <c r="AN289" i="9"/>
  <c r="AM256" i="9"/>
  <c r="AM209" i="9"/>
  <c r="AM145" i="9"/>
  <c r="AO69" i="9"/>
  <c r="AM417" i="9"/>
  <c r="AO395" i="9"/>
  <c r="AN374" i="9"/>
  <c r="AM353" i="9"/>
  <c r="AO331" i="9"/>
  <c r="AN310" i="9"/>
  <c r="AM289" i="9"/>
  <c r="AN255" i="9"/>
  <c r="AN208" i="9"/>
  <c r="AN144" i="9"/>
  <c r="AN69" i="9"/>
  <c r="AO408" i="9"/>
  <c r="AN387" i="9"/>
  <c r="AM366" i="9"/>
  <c r="AO344" i="9"/>
  <c r="AN323" i="9"/>
  <c r="AM302" i="9"/>
  <c r="AM276" i="9"/>
  <c r="AN240" i="9"/>
  <c r="AO186" i="9"/>
  <c r="AN115" i="9"/>
  <c r="AN38" i="9"/>
  <c r="AN365" i="9"/>
  <c r="AM344" i="9"/>
  <c r="AO322" i="9"/>
  <c r="AN301" i="9"/>
  <c r="AM275" i="9"/>
  <c r="AO238" i="9"/>
  <c r="AN184" i="9"/>
  <c r="AN112" i="9"/>
  <c r="AN37" i="9"/>
  <c r="AN410" i="9"/>
  <c r="AM389" i="9"/>
  <c r="AO367" i="9"/>
  <c r="AN346" i="9"/>
  <c r="AM325" i="9"/>
  <c r="AO303" i="9"/>
  <c r="AO278" i="9"/>
  <c r="AN243" i="9"/>
  <c r="AN190" i="9"/>
  <c r="AN120" i="9"/>
  <c r="AM45" i="9"/>
  <c r="AM161" i="9"/>
  <c r="AM133" i="9"/>
  <c r="AN104" i="9"/>
  <c r="AO75" i="9"/>
  <c r="AO47" i="9"/>
  <c r="AM19" i="9"/>
  <c r="AM277" i="9"/>
  <c r="AO255" i="9"/>
  <c r="AN234" i="9"/>
  <c r="AO206" i="9"/>
  <c r="AO178" i="9"/>
  <c r="AM150" i="9"/>
  <c r="AN121" i="9"/>
  <c r="AN93" i="9"/>
  <c r="AO64" i="9"/>
  <c r="AM36" i="9"/>
  <c r="AM8" i="9"/>
  <c r="AO227" i="9"/>
  <c r="AO199" i="9"/>
  <c r="AM171" i="9"/>
  <c r="AN142" i="9"/>
  <c r="AN114" i="9"/>
  <c r="AO85" i="9"/>
  <c r="AM57" i="9"/>
  <c r="AM29" i="9"/>
  <c r="AN284" i="9"/>
  <c r="AM263" i="9"/>
  <c r="AO241" i="9"/>
  <c r="AO216" i="9"/>
  <c r="AM188" i="9"/>
  <c r="AM160" i="9"/>
  <c r="AN131" i="9"/>
  <c r="AO102" i="9"/>
  <c r="AO74" i="9"/>
  <c r="AM46" i="9"/>
  <c r="AN17" i="9"/>
  <c r="AO275" i="9"/>
  <c r="AN254" i="9"/>
  <c r="AM233" i="9"/>
  <c r="AN205" i="9"/>
  <c r="AO176" i="9"/>
  <c r="AM148" i="9"/>
  <c r="AM120" i="9"/>
  <c r="AN91" i="9"/>
  <c r="AO62" i="9"/>
  <c r="AO34" i="9"/>
  <c r="AM6" i="9"/>
  <c r="AO212" i="9"/>
  <c r="AN191" i="9"/>
  <c r="AM170" i="9"/>
  <c r="AO148" i="9"/>
  <c r="AN127" i="9"/>
  <c r="AM106" i="9"/>
  <c r="AO84" i="9"/>
  <c r="AN63" i="9"/>
  <c r="AM42" i="9"/>
  <c r="AO20" i="9"/>
  <c r="AM223" i="9"/>
  <c r="AO201" i="9"/>
  <c r="AN180" i="9"/>
  <c r="AM159" i="9"/>
  <c r="AO137" i="9"/>
  <c r="AN116" i="9"/>
  <c r="AM95" i="9"/>
  <c r="AO73" i="9"/>
  <c r="AN52" i="9"/>
  <c r="AM31" i="9"/>
  <c r="AO9" i="9"/>
  <c r="AO104" i="9"/>
  <c r="AM717" i="9"/>
  <c r="AO695" i="9"/>
  <c r="AN674" i="9"/>
  <c r="AM653" i="9"/>
  <c r="AO631" i="9"/>
  <c r="AN610" i="9"/>
  <c r="AN584" i="9"/>
  <c r="AO541" i="9"/>
  <c r="AO467" i="9"/>
  <c r="AO349" i="9"/>
  <c r="AN724" i="9"/>
  <c r="AM703" i="9"/>
  <c r="AO681" i="9"/>
  <c r="AN660" i="9"/>
  <c r="AM639" i="9"/>
  <c r="AO617" i="9"/>
  <c r="AN595" i="9"/>
  <c r="AO557" i="9"/>
  <c r="AM497" i="9"/>
  <c r="AN407" i="9"/>
  <c r="AN56" i="9"/>
  <c r="AO694" i="9"/>
  <c r="AN673" i="9"/>
  <c r="AM652" i="9"/>
  <c r="AO630" i="9"/>
  <c r="AN609" i="9"/>
  <c r="AN582" i="9"/>
  <c r="AM539" i="9"/>
  <c r="AO464" i="9"/>
  <c r="AO341" i="9"/>
  <c r="AO731" i="9"/>
  <c r="AN710" i="9"/>
  <c r="AM689" i="9"/>
  <c r="AO667" i="9"/>
  <c r="AN646" i="9"/>
  <c r="AM625" i="9"/>
  <c r="AO603" i="9"/>
  <c r="AO571" i="9"/>
  <c r="AN523" i="9"/>
  <c r="AM441" i="9"/>
  <c r="AN273" i="9"/>
  <c r="AN723" i="9"/>
  <c r="AM702" i="9"/>
  <c r="AN659" i="9"/>
  <c r="AM638" i="9"/>
  <c r="AO616" i="9"/>
  <c r="AM594" i="9"/>
  <c r="AN555" i="9"/>
  <c r="AM494" i="9"/>
  <c r="AO402" i="9"/>
  <c r="AO27" i="9"/>
  <c r="AN496" i="9"/>
  <c r="AM475" i="9"/>
  <c r="AO453" i="9"/>
  <c r="AN432" i="9"/>
  <c r="AO406" i="9"/>
  <c r="AO369" i="9"/>
  <c r="AN312" i="9"/>
  <c r="AN232" i="9"/>
  <c r="AO51" i="9"/>
  <c r="AN581" i="9"/>
  <c r="AM560" i="9"/>
  <c r="AO538" i="9"/>
  <c r="AN517" i="9"/>
  <c r="AM496" i="9"/>
  <c r="AO474" i="9"/>
  <c r="AN453" i="9"/>
  <c r="AM432" i="9"/>
  <c r="AO405" i="9"/>
  <c r="AN368" i="9"/>
  <c r="AN311" i="9"/>
  <c r="AM232" i="9"/>
  <c r="AM48" i="9"/>
  <c r="AN562" i="9"/>
  <c r="AM541" i="9"/>
  <c r="AO519" i="9"/>
  <c r="AN498" i="9"/>
  <c r="AM477" i="9"/>
  <c r="AO455" i="9"/>
  <c r="AN434" i="9"/>
  <c r="AO409" i="9"/>
  <c r="AM375" i="9"/>
  <c r="AO317" i="9"/>
  <c r="AM243" i="9"/>
  <c r="AN70" i="9"/>
  <c r="AM578" i="9"/>
  <c r="AO556" i="9"/>
  <c r="AN535" i="9"/>
  <c r="AM514" i="9"/>
  <c r="AO492" i="9"/>
  <c r="AN471" i="9"/>
  <c r="AM450" i="9"/>
  <c r="AO428" i="9"/>
  <c r="AN400" i="9"/>
  <c r="AN359" i="9"/>
  <c r="AM303" i="9"/>
  <c r="AO207" i="9"/>
  <c r="AM16" i="9"/>
  <c r="AM527" i="9"/>
  <c r="AO505" i="9"/>
  <c r="AN484" i="9"/>
  <c r="AM463" i="9"/>
  <c r="AO441" i="9"/>
  <c r="AM420" i="9"/>
  <c r="AM387" i="9"/>
  <c r="AO337" i="9"/>
  <c r="AN275" i="9"/>
  <c r="AN138" i="9"/>
  <c r="AN593" i="9"/>
  <c r="AM572" i="9"/>
  <c r="AO550" i="9"/>
  <c r="AN529" i="9"/>
  <c r="AM508" i="9"/>
  <c r="AO486" i="9"/>
  <c r="AN465" i="9"/>
  <c r="AM444" i="9"/>
  <c r="AO422" i="9"/>
  <c r="AM391" i="9"/>
  <c r="AN343" i="9"/>
  <c r="AM286" i="9"/>
  <c r="AN161" i="9"/>
  <c r="AM372" i="9"/>
  <c r="AO350" i="9"/>
  <c r="AN329" i="9"/>
  <c r="AM308" i="9"/>
  <c r="AO285" i="9"/>
  <c r="AN251" i="9"/>
  <c r="AN202" i="9"/>
  <c r="AO136" i="9"/>
  <c r="AO59" i="9"/>
  <c r="AN414" i="9"/>
  <c r="AM393" i="9"/>
  <c r="AO371" i="9"/>
  <c r="AN350" i="9"/>
  <c r="AM329" i="9"/>
  <c r="AO307" i="9"/>
  <c r="AN285" i="9"/>
  <c r="AM251" i="9"/>
  <c r="AM201" i="9"/>
  <c r="AN134" i="9"/>
  <c r="AM59" i="9"/>
  <c r="AM406" i="9"/>
  <c r="AO384" i="9"/>
  <c r="AN363" i="9"/>
  <c r="AM342" i="9"/>
  <c r="AO320" i="9"/>
  <c r="AN299" i="9"/>
  <c r="AM272" i="9"/>
  <c r="AM235" i="9"/>
  <c r="AN179" i="9"/>
  <c r="AM105" i="9"/>
  <c r="AM30" i="9"/>
  <c r="AO362" i="9"/>
  <c r="AN341" i="9"/>
  <c r="AM320" i="9"/>
  <c r="AO298" i="9"/>
  <c r="AO270" i="9"/>
  <c r="AN233" i="9"/>
  <c r="AM177" i="9"/>
  <c r="AN102" i="9"/>
  <c r="AM27" i="9"/>
  <c r="AO407" i="9"/>
  <c r="AN386" i="9"/>
  <c r="AM365" i="9"/>
  <c r="AO343" i="9"/>
  <c r="AN322" i="9"/>
  <c r="AM301" i="9"/>
  <c r="AO274" i="9"/>
  <c r="AM238" i="9"/>
  <c r="AO183" i="9"/>
  <c r="AM112" i="9"/>
  <c r="AM35" i="9"/>
  <c r="AO157" i="9"/>
  <c r="AM129" i="9"/>
  <c r="AM101" i="9"/>
  <c r="AN72" i="9"/>
  <c r="AO43" i="9"/>
  <c r="AO15" i="9"/>
  <c r="AN274" i="9"/>
  <c r="AM253" i="9"/>
  <c r="AO231" i="9"/>
  <c r="AN203" i="9"/>
  <c r="AO174" i="9"/>
  <c r="AO146" i="9"/>
  <c r="AM118" i="9"/>
  <c r="AN89" i="9"/>
  <c r="AN61" i="9"/>
  <c r="AO32" i="9"/>
  <c r="AN247" i="9"/>
  <c r="AN224" i="9"/>
  <c r="AO195" i="9"/>
  <c r="AO167" i="9"/>
  <c r="AM139" i="9"/>
  <c r="AN110" i="9"/>
  <c r="AN82" i="9"/>
  <c r="AO53" i="9"/>
  <c r="AM25" i="9"/>
  <c r="AO281" i="9"/>
  <c r="AN260" i="9"/>
  <c r="AM239" i="9"/>
  <c r="AN213" i="9"/>
  <c r="AO184" i="9"/>
  <c r="AM156" i="9"/>
  <c r="AM128" i="9"/>
  <c r="AN99" i="9"/>
  <c r="AO70" i="9"/>
  <c r="AO42" i="9"/>
  <c r="AM14" i="9"/>
  <c r="AM273" i="9"/>
  <c r="AO251" i="9"/>
  <c r="AM230" i="9"/>
  <c r="AN201" i="9"/>
  <c r="AN173" i="9"/>
  <c r="AO144" i="9"/>
  <c r="AM116" i="9"/>
  <c r="AM88" i="9"/>
  <c r="AN59" i="9"/>
  <c r="AO30" i="9"/>
  <c r="AN231" i="9"/>
  <c r="AM210" i="9"/>
  <c r="AO188" i="9"/>
  <c r="AN167" i="9"/>
  <c r="AM146" i="9"/>
  <c r="AO124" i="9"/>
  <c r="AN103" i="9"/>
  <c r="AM82" i="9"/>
  <c r="AO60" i="9"/>
  <c r="AN39" i="9"/>
  <c r="AM18" i="9"/>
  <c r="AN220" i="9"/>
  <c r="AM199" i="9"/>
  <c r="AO177" i="9"/>
  <c r="AN156" i="9"/>
  <c r="AM135" i="9"/>
  <c r="AO113" i="9"/>
  <c r="AN92" i="9"/>
  <c r="AM71" i="9"/>
  <c r="AO49" i="9"/>
  <c r="AN28" i="9"/>
  <c r="AM7" i="9"/>
  <c r="AO1004" i="9"/>
  <c r="AN776" i="9"/>
  <c r="AM859" i="9"/>
  <c r="AM988" i="9"/>
  <c r="AO966" i="9"/>
  <c r="AM936" i="9"/>
  <c r="AN856" i="9"/>
  <c r="AM555" i="9"/>
  <c r="AM967" i="9"/>
  <c r="AN576" i="9"/>
  <c r="AM985" i="9"/>
  <c r="AO963" i="9"/>
  <c r="AM928" i="9"/>
  <c r="AN832" i="9"/>
  <c r="AM1002" i="9"/>
  <c r="AO797" i="9"/>
  <c r="AM915" i="9"/>
  <c r="AN995" i="9"/>
  <c r="AM974" i="9"/>
  <c r="AM951" i="9"/>
  <c r="AO898" i="9"/>
  <c r="AN744" i="9"/>
  <c r="AO893" i="9"/>
  <c r="AM1003" i="9"/>
  <c r="AO981" i="9"/>
  <c r="AN960" i="9"/>
  <c r="AN919" i="9"/>
  <c r="AO805" i="9"/>
  <c r="AN967" i="9"/>
  <c r="AM968" i="9"/>
  <c r="AM939" i="9"/>
  <c r="AM867" i="9"/>
  <c r="AN616" i="9"/>
  <c r="AO1002" i="9"/>
  <c r="AN981" i="9"/>
  <c r="AO991" i="9"/>
  <c r="AN970" i="9"/>
  <c r="AM944" i="9"/>
  <c r="AO884" i="9"/>
  <c r="AM688" i="9"/>
  <c r="AO882" i="9"/>
  <c r="AN861" i="9"/>
  <c r="AM840" i="9"/>
  <c r="AO818" i="9"/>
  <c r="AN797" i="9"/>
  <c r="AM776" i="9"/>
  <c r="AO754" i="9"/>
  <c r="AM731" i="9"/>
  <c r="AN679" i="9"/>
  <c r="AN592" i="9"/>
  <c r="AN954" i="9"/>
  <c r="AM933" i="9"/>
  <c r="AO911" i="9"/>
  <c r="AN890" i="9"/>
  <c r="AM869" i="9"/>
  <c r="AO847" i="9"/>
  <c r="AN826" i="9"/>
  <c r="AM805" i="9"/>
  <c r="AO783" i="9"/>
  <c r="AN762" i="9"/>
  <c r="AM741" i="9"/>
  <c r="AO700" i="9"/>
  <c r="AN624" i="9"/>
  <c r="AN438" i="9"/>
  <c r="AO868" i="9"/>
  <c r="AN847" i="9"/>
  <c r="AM826" i="9"/>
  <c r="AO804" i="9"/>
  <c r="AN783" i="9"/>
  <c r="AM762" i="9"/>
  <c r="AO740" i="9"/>
  <c r="AM699" i="9"/>
  <c r="AN623" i="9"/>
  <c r="AN435" i="9"/>
  <c r="AM935" i="9"/>
  <c r="AO913" i="9"/>
  <c r="AN892" i="9"/>
  <c r="AM871" i="9"/>
  <c r="AO849" i="9"/>
  <c r="AN828" i="9"/>
  <c r="AM807" i="9"/>
  <c r="AO785" i="9"/>
  <c r="AN764" i="9"/>
  <c r="AM743" i="9"/>
  <c r="AM706" i="9"/>
  <c r="AN632" i="9"/>
  <c r="AN470" i="9"/>
  <c r="AO926" i="9"/>
  <c r="AN905" i="9"/>
  <c r="AM884" i="9"/>
  <c r="AO862" i="9"/>
  <c r="AN841" i="9"/>
  <c r="AM820" i="9"/>
  <c r="AO798" i="9"/>
  <c r="AN777" i="9"/>
  <c r="AM756" i="9"/>
  <c r="AN733" i="9"/>
  <c r="AM683" i="9"/>
  <c r="AN599" i="9"/>
  <c r="AM179" i="9"/>
  <c r="AN934" i="9"/>
  <c r="AM913" i="9"/>
  <c r="AO891" i="9"/>
  <c r="AN870" i="9"/>
  <c r="AM849" i="9"/>
  <c r="AO827" i="9"/>
  <c r="AN806" i="9"/>
  <c r="AM785" i="9"/>
  <c r="AO763" i="9"/>
  <c r="AN742" i="9"/>
  <c r="AM704" i="9"/>
  <c r="AO629" i="9"/>
  <c r="AO459" i="9"/>
  <c r="AO944" i="9"/>
  <c r="AN923" i="9"/>
  <c r="AM902" i="9"/>
  <c r="AO880" i="9"/>
  <c r="AN859" i="9"/>
  <c r="AM838" i="9"/>
  <c r="AO816" i="9"/>
  <c r="AN795" i="9"/>
  <c r="AM774" i="9"/>
  <c r="AO752" i="9"/>
  <c r="AN727" i="9"/>
  <c r="AN671" i="9"/>
  <c r="AN579" i="9"/>
  <c r="AM680" i="9"/>
  <c r="AO658" i="9"/>
  <c r="AN637" i="9"/>
  <c r="AM616" i="9"/>
  <c r="AM593" i="9"/>
  <c r="AO553" i="9"/>
  <c r="AN491" i="9"/>
  <c r="AO398" i="9"/>
  <c r="AO735" i="9"/>
  <c r="AN714" i="9"/>
  <c r="AM693" i="9"/>
  <c r="AO671" i="9"/>
  <c r="AN650" i="9"/>
  <c r="AM629" i="9"/>
  <c r="AO607" i="9"/>
  <c r="AO579" i="9"/>
  <c r="AM534" i="9"/>
  <c r="AM457" i="9"/>
  <c r="AO321" i="9"/>
  <c r="AO721" i="9"/>
  <c r="AN700" i="9"/>
  <c r="AM679" i="9"/>
  <c r="AO657" i="9"/>
  <c r="AN636" i="9"/>
  <c r="AM615" i="9"/>
  <c r="AO591" i="9"/>
  <c r="AN552" i="9"/>
  <c r="AN486" i="9"/>
  <c r="AO390" i="9"/>
  <c r="AN713" i="9"/>
  <c r="AM692" i="9"/>
  <c r="AO670" i="9"/>
  <c r="AN649" i="9"/>
  <c r="AM628" i="9"/>
  <c r="AO606" i="9"/>
  <c r="AO577" i="9"/>
  <c r="AN531" i="9"/>
  <c r="AM454" i="9"/>
  <c r="AO313" i="9"/>
  <c r="AM729" i="9"/>
  <c r="AO707" i="9"/>
  <c r="AN686" i="9"/>
  <c r="AM665" i="9"/>
  <c r="AO643" i="9"/>
  <c r="AN622" i="9"/>
  <c r="AM601" i="9"/>
  <c r="AN566" i="9"/>
  <c r="AO515" i="9"/>
  <c r="AN430" i="9"/>
  <c r="AO218" i="9"/>
  <c r="AO720" i="9"/>
  <c r="AN699" i="9"/>
  <c r="AM678" i="9"/>
  <c r="AO656" i="9"/>
  <c r="AN635" i="9"/>
  <c r="AM614" i="9"/>
  <c r="AM590" i="9"/>
  <c r="AM550" i="9"/>
  <c r="AN483" i="9"/>
  <c r="AO385" i="9"/>
  <c r="AM515" i="9"/>
  <c r="AO493" i="9"/>
  <c r="AN472" i="9"/>
  <c r="AM451" i="9"/>
  <c r="AO429" i="9"/>
  <c r="AM402" i="9"/>
  <c r="AM362" i="9"/>
  <c r="AO305" i="9"/>
  <c r="AN214" i="9"/>
  <c r="AN24" i="9"/>
  <c r="AO578" i="9"/>
  <c r="AN557" i="9"/>
  <c r="AM536" i="9"/>
  <c r="AO514" i="9"/>
  <c r="AN493" i="9"/>
  <c r="AM472" i="9"/>
  <c r="AO450" i="9"/>
  <c r="AN429" i="9"/>
  <c r="AO401" i="9"/>
  <c r="AO361" i="9"/>
  <c r="AN304" i="9"/>
  <c r="AN211" i="9"/>
  <c r="AO23" i="9"/>
  <c r="AO559" i="9"/>
  <c r="AN538" i="9"/>
  <c r="AM517" i="9"/>
  <c r="AO495" i="9"/>
  <c r="AN474" i="9"/>
  <c r="AM453" i="9"/>
  <c r="AO431" i="9"/>
  <c r="AN405" i="9"/>
  <c r="AN367" i="9"/>
  <c r="AM311" i="9"/>
  <c r="AM229" i="9"/>
  <c r="AM44" i="9"/>
  <c r="AN575" i="9"/>
  <c r="AM554" i="9"/>
  <c r="AO532" i="9"/>
  <c r="AN511" i="9"/>
  <c r="AM490" i="9"/>
  <c r="AO468" i="9"/>
  <c r="AN447" i="9"/>
  <c r="AM426" i="9"/>
  <c r="AN396" i="9"/>
  <c r="AN352" i="9"/>
  <c r="AN295" i="9"/>
  <c r="AO189" i="9"/>
  <c r="AO545" i="9"/>
  <c r="AN524" i="9"/>
  <c r="AM503" i="9"/>
  <c r="AO481" i="9"/>
  <c r="AN460" i="9"/>
  <c r="AM439" i="9"/>
  <c r="AN416" i="9"/>
  <c r="AM383" i="9"/>
  <c r="AM330" i="9"/>
  <c r="AO264" i="9"/>
  <c r="AM113" i="9"/>
  <c r="AO590" i="9"/>
  <c r="AN569" i="9"/>
  <c r="AM548" i="9"/>
  <c r="AO526" i="9"/>
  <c r="AN505" i="9"/>
  <c r="AM484" i="9"/>
  <c r="AO462" i="9"/>
  <c r="AN441" i="9"/>
  <c r="AN419" i="9"/>
  <c r="AO386" i="9"/>
  <c r="AN336" i="9"/>
  <c r="AM274" i="9"/>
  <c r="AM137" i="9"/>
  <c r="AN369" i="9"/>
  <c r="AM348" i="9"/>
  <c r="AO326" i="9"/>
  <c r="AN305" i="9"/>
  <c r="AN281" i="9"/>
  <c r="AO246" i="9"/>
  <c r="AM195" i="9"/>
  <c r="AN126" i="9"/>
  <c r="AN51" i="9"/>
  <c r="AO411" i="9"/>
  <c r="AN390" i="9"/>
  <c r="AM369" i="9"/>
  <c r="AO347" i="9"/>
  <c r="AN326" i="9"/>
  <c r="AM305" i="9"/>
  <c r="AO280" i="9"/>
  <c r="AM246" i="9"/>
  <c r="AN194" i="9"/>
  <c r="AM126" i="9"/>
  <c r="AM49" i="9"/>
  <c r="AN403" i="9"/>
  <c r="AM382" i="9"/>
  <c r="AO360" i="9"/>
  <c r="AN339" i="9"/>
  <c r="AM318" i="9"/>
  <c r="AO296" i="9"/>
  <c r="AN267" i="9"/>
  <c r="AN229" i="9"/>
  <c r="AM172" i="9"/>
  <c r="AO95" i="9"/>
  <c r="AO19" i="9"/>
  <c r="AM360" i="9"/>
  <c r="AO338" i="9"/>
  <c r="AN317" i="9"/>
  <c r="AM296" i="9"/>
  <c r="AO266" i="9"/>
  <c r="AM227" i="9"/>
  <c r="AM169" i="9"/>
  <c r="AM94" i="9"/>
  <c r="AM17" i="9"/>
  <c r="AM405" i="9"/>
  <c r="AO383" i="9"/>
  <c r="AN362" i="9"/>
  <c r="AM341" i="9"/>
  <c r="AO319" i="9"/>
  <c r="AN298" i="9"/>
  <c r="AM270" i="9"/>
  <c r="AO232" i="9"/>
  <c r="AN176" i="9"/>
  <c r="AO101" i="9"/>
  <c r="AO26" i="9"/>
  <c r="AN154" i="9"/>
  <c r="AO125" i="9"/>
  <c r="AM97" i="9"/>
  <c r="AM69" i="9"/>
  <c r="AN40" i="9"/>
  <c r="AO11" i="9"/>
  <c r="AO271" i="9"/>
  <c r="AN250" i="9"/>
  <c r="AM228" i="9"/>
  <c r="AM200" i="9"/>
  <c r="AN171" i="9"/>
  <c r="AO142" i="9"/>
  <c r="AO114" i="9"/>
  <c r="AM86" i="9"/>
  <c r="AN57" i="9"/>
  <c r="AN29" i="9"/>
  <c r="AO244" i="9"/>
  <c r="AM221" i="9"/>
  <c r="AN192" i="9"/>
  <c r="AO163" i="9"/>
  <c r="AO135" i="9"/>
  <c r="AM107" i="9"/>
  <c r="AN78" i="9"/>
  <c r="AN50" i="9"/>
  <c r="AO21" i="9"/>
  <c r="AM279" i="9"/>
  <c r="AO257" i="9"/>
  <c r="AN236" i="9"/>
  <c r="AN209" i="9"/>
  <c r="AN181" i="9"/>
  <c r="AO152" i="9"/>
  <c r="AM124" i="9"/>
  <c r="AM96" i="9"/>
  <c r="AN67" i="9"/>
  <c r="AO38" i="9"/>
  <c r="AO10" i="9"/>
  <c r="AN270" i="9"/>
  <c r="AM249" i="9"/>
  <c r="AO226" i="9"/>
  <c r="AM198" i="9"/>
  <c r="AN169" i="9"/>
  <c r="AN141" i="9"/>
  <c r="AO112" i="9"/>
  <c r="AM84" i="9"/>
  <c r="AM56" i="9"/>
  <c r="AN27" i="9"/>
  <c r="AO228" i="9"/>
  <c r="AN207" i="9"/>
  <c r="AM186" i="9"/>
  <c r="AO164" i="9"/>
  <c r="AN143" i="9"/>
  <c r="AM122" i="9"/>
  <c r="AO100" i="9"/>
  <c r="AN79" i="9"/>
  <c r="AM58" i="9"/>
  <c r="AO36" i="9"/>
  <c r="AN15" i="9"/>
  <c r="AO217" i="9"/>
  <c r="AN196" i="9"/>
  <c r="AM175" i="9"/>
  <c r="AO153" i="9"/>
  <c r="AN132" i="9"/>
  <c r="AM111" i="9"/>
  <c r="AO89" i="9"/>
  <c r="AN68" i="9"/>
  <c r="AM47" i="9"/>
  <c r="AO25" i="9"/>
  <c r="J14" i="8"/>
  <c r="J15" i="8"/>
  <c r="J16" i="8"/>
  <c r="J18" i="8"/>
  <c r="J19" i="8"/>
  <c r="J20" i="8"/>
  <c r="J22" i="8"/>
  <c r="J23" i="8"/>
  <c r="J24" i="8"/>
  <c r="J26" i="8"/>
  <c r="J27" i="8"/>
  <c r="J28" i="8"/>
  <c r="J30" i="8"/>
  <c r="J31" i="8"/>
  <c r="J32" i="8"/>
  <c r="J34" i="8"/>
  <c r="J35" i="8"/>
  <c r="J36" i="8"/>
  <c r="J38" i="8"/>
  <c r="J39" i="8"/>
  <c r="J40" i="8"/>
  <c r="J42" i="8"/>
  <c r="J43" i="8"/>
  <c r="J44" i="8"/>
  <c r="J46" i="8"/>
  <c r="J47" i="8"/>
  <c r="J48" i="8"/>
  <c r="J50" i="8"/>
  <c r="J51" i="8"/>
  <c r="J52" i="8"/>
  <c r="J54" i="8"/>
  <c r="J55" i="8"/>
  <c r="J56" i="8"/>
  <c r="J58" i="8"/>
  <c r="J59" i="8"/>
  <c r="J60" i="8"/>
  <c r="J62" i="8"/>
  <c r="J63" i="8"/>
  <c r="J64" i="8"/>
  <c r="J66" i="8"/>
  <c r="J67" i="8"/>
  <c r="J68" i="8"/>
  <c r="J70" i="8"/>
  <c r="J71" i="8"/>
  <c r="J72" i="8"/>
  <c r="J74" i="8"/>
  <c r="J75" i="8"/>
  <c r="J76" i="8"/>
  <c r="J78" i="8"/>
  <c r="J79" i="8"/>
  <c r="J80" i="8"/>
  <c r="J82" i="8"/>
  <c r="J83" i="8"/>
  <c r="J84" i="8"/>
  <c r="J86" i="8"/>
  <c r="J87" i="8"/>
  <c r="J88" i="8"/>
  <c r="J90" i="8"/>
  <c r="J91" i="8"/>
  <c r="J92" i="8"/>
  <c r="J94" i="8"/>
  <c r="J95" i="8"/>
  <c r="J96" i="8"/>
  <c r="J98" i="8"/>
  <c r="J99" i="8"/>
  <c r="J100" i="8"/>
  <c r="J102" i="8"/>
  <c r="J103" i="8"/>
  <c r="J104" i="8"/>
  <c r="J106" i="8"/>
  <c r="J107" i="8"/>
  <c r="J108" i="8"/>
  <c r="J110" i="8"/>
  <c r="J111" i="8"/>
  <c r="J112" i="8"/>
  <c r="J114" i="8"/>
  <c r="J115" i="8"/>
  <c r="J116" i="8"/>
  <c r="J118" i="8"/>
  <c r="J119" i="8"/>
  <c r="J120" i="8"/>
  <c r="J122" i="8"/>
  <c r="J123" i="8"/>
  <c r="J124" i="8"/>
  <c r="J126" i="8"/>
  <c r="J127" i="8"/>
  <c r="J128" i="8"/>
  <c r="J130" i="8"/>
  <c r="J131" i="8"/>
  <c r="J132" i="8"/>
  <c r="J134" i="8"/>
  <c r="J135" i="8"/>
  <c r="J136" i="8"/>
  <c r="J138" i="8"/>
  <c r="J139" i="8"/>
  <c r="J140" i="8"/>
  <c r="J142" i="8"/>
  <c r="J143" i="8"/>
  <c r="J144" i="8"/>
  <c r="J146" i="8"/>
  <c r="J147" i="8"/>
  <c r="J148" i="8"/>
  <c r="J150" i="8"/>
  <c r="J151" i="8"/>
  <c r="J152" i="8"/>
  <c r="J154" i="8"/>
  <c r="J155" i="8"/>
  <c r="J156" i="8"/>
  <c r="J158" i="8"/>
  <c r="J159" i="8"/>
  <c r="J160" i="8"/>
  <c r="J162" i="8"/>
  <c r="J163" i="8"/>
  <c r="J164" i="8"/>
  <c r="J166" i="8"/>
  <c r="J167" i="8"/>
  <c r="J168" i="8"/>
  <c r="J170" i="8"/>
  <c r="J171" i="8"/>
  <c r="J172" i="8"/>
  <c r="J174" i="8"/>
  <c r="J175" i="8"/>
  <c r="J176" i="8"/>
  <c r="J178" i="8"/>
  <c r="J179" i="8"/>
  <c r="J180" i="8"/>
  <c r="J182" i="8"/>
  <c r="J183" i="8"/>
  <c r="J184" i="8"/>
  <c r="J186" i="8"/>
  <c r="J187" i="8"/>
  <c r="J188" i="8"/>
  <c r="J190" i="8"/>
  <c r="J191" i="8"/>
  <c r="J192" i="8"/>
  <c r="J194" i="8"/>
  <c r="J195" i="8"/>
  <c r="J196" i="8"/>
  <c r="J198" i="8"/>
  <c r="J199" i="8"/>
  <c r="J200" i="8"/>
  <c r="J202" i="8"/>
  <c r="J203" i="8"/>
  <c r="J204" i="8"/>
  <c r="J206" i="8"/>
  <c r="J207" i="8"/>
  <c r="J208" i="8"/>
  <c r="J210" i="8"/>
  <c r="J211" i="8"/>
  <c r="J212" i="8"/>
  <c r="J214" i="8"/>
  <c r="J215" i="8"/>
  <c r="J216" i="8"/>
  <c r="J218" i="8"/>
  <c r="J219" i="8"/>
  <c r="J220" i="8"/>
  <c r="J222" i="8"/>
  <c r="J223" i="8"/>
  <c r="J224" i="8"/>
  <c r="J226" i="8"/>
  <c r="J227" i="8"/>
  <c r="J228" i="8"/>
  <c r="J230" i="8"/>
  <c r="J231" i="8"/>
  <c r="J232" i="8"/>
  <c r="J234" i="8"/>
  <c r="J235" i="8"/>
  <c r="J236" i="8"/>
  <c r="J238" i="8"/>
  <c r="J239" i="8"/>
  <c r="J240" i="8"/>
  <c r="J242" i="8"/>
  <c r="J243" i="8"/>
  <c r="J244" i="8"/>
  <c r="J246" i="8"/>
  <c r="J247" i="8"/>
  <c r="J248" i="8"/>
  <c r="J249" i="8"/>
  <c r="J250" i="8"/>
  <c r="J251" i="8"/>
  <c r="J252" i="8"/>
  <c r="AP65" i="9" l="1"/>
  <c r="AP613" i="9"/>
  <c r="AP881" i="9"/>
  <c r="AP206" i="9"/>
  <c r="AP801" i="9"/>
  <c r="AP816" i="9"/>
  <c r="AP632" i="9"/>
  <c r="AP572" i="9"/>
  <c r="AP547" i="9"/>
  <c r="AP317" i="9"/>
  <c r="AP868" i="9"/>
  <c r="AP250" i="9"/>
  <c r="AP24" i="9"/>
  <c r="AP942" i="9"/>
  <c r="AP122" i="9"/>
  <c r="AP652" i="9"/>
  <c r="AP799" i="9"/>
  <c r="AP612" i="9"/>
  <c r="AP235" i="9"/>
  <c r="AP314" i="9"/>
  <c r="AP866" i="9"/>
  <c r="AP287" i="9"/>
  <c r="AP790" i="9"/>
  <c r="AP111" i="9"/>
  <c r="AP825" i="9"/>
  <c r="AP31" i="9"/>
  <c r="AP733" i="9"/>
  <c r="AP594" i="9"/>
  <c r="AP168" i="9"/>
  <c r="AP158" i="9"/>
  <c r="AP469" i="9"/>
  <c r="AP162" i="9"/>
  <c r="AP345" i="9"/>
  <c r="AP399" i="9"/>
  <c r="AP688" i="9"/>
  <c r="AP838" i="9"/>
  <c r="AP265" i="9"/>
  <c r="AP210" i="9"/>
  <c r="AP107" i="9"/>
  <c r="AP420" i="9"/>
  <c r="AP397" i="9"/>
  <c r="AP488" i="9"/>
  <c r="AP381" i="9"/>
  <c r="AP845" i="9"/>
  <c r="AP494" i="9"/>
  <c r="AP940" i="9"/>
  <c r="AP823" i="9"/>
  <c r="AP509" i="9"/>
  <c r="AP66" i="9"/>
  <c r="AP950" i="9"/>
  <c r="AP792" i="9"/>
  <c r="AP780" i="9"/>
  <c r="AP185" i="9"/>
  <c r="AP668" i="9"/>
  <c r="AP605" i="9"/>
  <c r="AP821" i="9"/>
  <c r="AP548" i="9"/>
  <c r="AP932" i="9"/>
  <c r="AP371" i="9"/>
  <c r="AP191" i="9"/>
  <c r="AP58" i="9"/>
  <c r="AP226" i="9"/>
  <c r="AP674" i="9"/>
  <c r="AP662" i="9"/>
  <c r="AP984" i="9"/>
  <c r="AP715" i="9"/>
  <c r="AP931" i="9"/>
  <c r="AP920" i="9"/>
  <c r="AP8" i="9"/>
  <c r="AP312" i="9"/>
  <c r="AP756" i="9"/>
  <c r="AP535" i="9"/>
  <c r="AP457" i="9"/>
  <c r="AP534" i="9"/>
  <c r="AP624" i="9"/>
  <c r="AP523" i="9"/>
  <c r="AP293" i="9"/>
  <c r="AP608" i="9"/>
  <c r="AP239" i="9"/>
  <c r="AP350" i="9"/>
  <c r="AP948" i="9"/>
  <c r="AP521" i="9"/>
  <c r="AP753" i="9"/>
  <c r="AP953" i="9"/>
  <c r="AP157" i="9"/>
  <c r="AP74" i="9"/>
  <c r="AP425" i="9"/>
  <c r="AP996" i="9"/>
  <c r="AP897" i="9"/>
  <c r="AP300" i="9"/>
  <c r="AP358" i="9"/>
  <c r="AP933" i="9"/>
  <c r="AP348" i="9"/>
  <c r="AP6" i="9"/>
  <c r="AP169" i="9"/>
  <c r="AP795" i="9"/>
  <c r="AP858" i="9"/>
  <c r="AP822" i="9"/>
  <c r="AP198" i="9"/>
  <c r="AP254" i="9"/>
  <c r="AP725" i="9"/>
  <c r="AP165" i="9"/>
  <c r="AP815" i="9"/>
  <c r="AP773" i="9"/>
  <c r="AP117" i="9"/>
  <c r="AP675" i="9"/>
  <c r="AP90" i="9"/>
  <c r="AP759" i="9"/>
  <c r="AP912" i="9"/>
  <c r="AP87" i="9"/>
  <c r="AP648" i="9"/>
  <c r="AP611" i="9"/>
  <c r="AP588" i="9"/>
  <c r="AP500" i="9"/>
  <c r="AP718" i="9"/>
  <c r="AP502" i="9"/>
  <c r="AP147" i="9"/>
  <c r="AP887" i="9"/>
  <c r="AP872" i="9"/>
  <c r="AP769" i="9"/>
  <c r="AP436" i="9"/>
  <c r="AP512" i="9"/>
  <c r="AP497" i="9"/>
  <c r="AP980" i="9"/>
  <c r="AP798" i="9"/>
  <c r="AP832" i="9"/>
  <c r="AP338" i="9"/>
  <c r="AP71" i="9"/>
  <c r="AP63" i="9"/>
  <c r="AP98" i="9"/>
  <c r="AP709" i="9"/>
  <c r="AP841" i="9"/>
  <c r="AP988" i="9"/>
  <c r="AP393" i="9"/>
  <c r="AP138" i="9"/>
  <c r="AP351" i="9"/>
  <c r="AP781" i="9"/>
  <c r="AP638" i="9"/>
  <c r="AP106" i="9"/>
  <c r="AP543" i="9"/>
  <c r="AP907" i="9"/>
  <c r="AP430" i="9"/>
  <c r="AP119" i="9"/>
  <c r="AP842" i="9"/>
  <c r="AP647" i="9"/>
  <c r="AP451" i="9"/>
  <c r="AP212" i="9"/>
  <c r="AP404" i="9"/>
  <c r="AP262" i="9"/>
  <c r="AP530" i="9"/>
  <c r="AP401" i="9"/>
  <c r="AP10" i="9"/>
  <c r="AP951" i="9"/>
  <c r="AP444" i="9"/>
  <c r="AP389" i="9"/>
  <c r="AP499" i="9"/>
  <c r="AP573" i="9"/>
  <c r="AP844" i="9"/>
  <c r="AP270" i="9"/>
  <c r="AP299" i="9"/>
  <c r="AP694" i="9"/>
  <c r="AP290" i="9"/>
  <c r="AP164" i="9"/>
  <c r="AP279" i="9"/>
  <c r="AP221" i="9"/>
  <c r="AP382" i="9"/>
  <c r="AP330" i="9"/>
  <c r="AP490" i="9"/>
  <c r="AP385" i="9"/>
  <c r="AP861" i="9"/>
  <c r="AP995" i="9"/>
  <c r="AP576" i="9"/>
  <c r="AP183" i="9"/>
  <c r="AP337" i="9"/>
  <c r="AP471" i="9"/>
  <c r="AP681" i="9"/>
  <c r="AP127" i="9"/>
  <c r="AP121" i="9"/>
  <c r="AP445" i="9"/>
  <c r="AP852" i="9"/>
  <c r="AP976" i="9"/>
  <c r="AP983" i="9"/>
  <c r="AP568" i="9"/>
  <c r="AP846" i="9"/>
  <c r="AP811" i="9"/>
  <c r="AP979" i="9"/>
  <c r="AP740" i="9"/>
  <c r="AP633" i="9"/>
  <c r="AP936" i="9"/>
  <c r="AP240" i="9"/>
  <c r="AP874" i="9"/>
  <c r="AP896" i="9"/>
  <c r="AP426" i="9"/>
  <c r="AP491" i="9"/>
  <c r="AP820" i="9"/>
  <c r="AP308" i="9"/>
  <c r="AP710" i="9"/>
  <c r="AP676" i="9"/>
  <c r="AP978" i="9"/>
  <c r="AP175" i="9"/>
  <c r="AP35" i="9"/>
  <c r="AP277" i="9"/>
  <c r="AP302" i="9"/>
  <c r="AP690" i="9"/>
  <c r="AP595" i="9"/>
  <c r="AP196" i="9"/>
  <c r="AP660" i="9"/>
  <c r="AP93" i="9"/>
  <c r="AP831" i="9"/>
  <c r="AP750" i="9"/>
  <c r="AP424" i="9"/>
  <c r="AP41" i="9"/>
  <c r="AP172" i="9"/>
  <c r="AP403" i="9"/>
  <c r="AP483" i="9"/>
  <c r="AP665" i="9"/>
  <c r="AP552" i="9"/>
  <c r="AP321" i="9"/>
  <c r="AP693" i="9"/>
  <c r="AP905" i="9"/>
  <c r="AP139" i="9"/>
  <c r="AP342" i="9"/>
  <c r="AP453" i="9"/>
  <c r="AP702" i="9"/>
  <c r="AP646" i="9"/>
  <c r="AP52" i="9"/>
  <c r="AP199" i="9"/>
  <c r="AP150" i="9"/>
  <c r="AP366" i="9"/>
  <c r="AP786" i="9"/>
  <c r="AP800" i="9"/>
  <c r="AP925" i="9"/>
  <c r="AP583" i="9"/>
  <c r="AP888" i="9"/>
  <c r="AP964" i="9"/>
  <c r="AP1000" i="9"/>
  <c r="AP923" i="9"/>
  <c r="AP503" i="9"/>
  <c r="AP601" i="9"/>
  <c r="AP744" i="9"/>
  <c r="AP478" i="9"/>
  <c r="AP332" i="9"/>
  <c r="AP577" i="9"/>
  <c r="AP917" i="9"/>
  <c r="AP440" i="9"/>
  <c r="AP13" i="9"/>
  <c r="AP75" i="9"/>
  <c r="AP460" i="9"/>
  <c r="AP717" i="9"/>
  <c r="AP437" i="9"/>
  <c r="AP561" i="9"/>
  <c r="AP116" i="9"/>
  <c r="AP161" i="9"/>
  <c r="AP810" i="9"/>
  <c r="AP327" i="9"/>
  <c r="AP124" i="9"/>
  <c r="AP16" i="9"/>
  <c r="AP492" i="9"/>
  <c r="AP562" i="9"/>
  <c r="AP115" i="9"/>
  <c r="AP791" i="9"/>
  <c r="AP902" i="9"/>
  <c r="AP738" i="9"/>
  <c r="AP961" i="9"/>
  <c r="AP630" i="9"/>
  <c r="AP417" i="9"/>
  <c r="AP986" i="9"/>
  <c r="AP600" i="9"/>
  <c r="AP677" i="9"/>
  <c r="AP789" i="9"/>
  <c r="AP64" i="9"/>
  <c r="AP187" i="9"/>
  <c r="AP96" i="9"/>
  <c r="AP72" i="9"/>
  <c r="AP474" i="9"/>
  <c r="AP639" i="9"/>
  <c r="AP145" i="9"/>
  <c r="AP787" i="9"/>
  <c r="AP886" i="9"/>
  <c r="AP947" i="9"/>
  <c r="AP378" i="9"/>
  <c r="AP137" i="9"/>
  <c r="AP475" i="9"/>
  <c r="AP282" i="9"/>
  <c r="AP992" i="9"/>
  <c r="AP372" i="9"/>
  <c r="AP23" i="9"/>
  <c r="AP508" i="9"/>
  <c r="AP862" i="9"/>
  <c r="AP985" i="9"/>
  <c r="AP243" i="9"/>
  <c r="AP255" i="9"/>
  <c r="AP130" i="9"/>
  <c r="AP855" i="9"/>
  <c r="AP956" i="9"/>
  <c r="AP589" i="9"/>
  <c r="AP126" i="9"/>
  <c r="AP253" i="9"/>
  <c r="AP481" i="9"/>
  <c r="AP938" i="9"/>
  <c r="AP654" i="9"/>
  <c r="AP200" i="9"/>
  <c r="AP849" i="9"/>
  <c r="AP826" i="9"/>
  <c r="AP48" i="9"/>
  <c r="AP120" i="9"/>
  <c r="AP97" i="9"/>
  <c r="AP268" i="9"/>
  <c r="AP604" i="9"/>
  <c r="AP452" i="9"/>
  <c r="AP228" i="9"/>
  <c r="AP919" i="9"/>
  <c r="AP463" i="9"/>
  <c r="AP148" i="9"/>
  <c r="AP921" i="9"/>
  <c r="AP108" i="9"/>
  <c r="AP336" i="9"/>
  <c r="AP711" i="9"/>
  <c r="AP136" i="9"/>
  <c r="AP84" i="9"/>
  <c r="AP241" i="9"/>
  <c r="AP974" i="9"/>
  <c r="AP635" i="9"/>
  <c r="AP273" i="9"/>
  <c r="AP256" i="9"/>
  <c r="AP587" i="9"/>
  <c r="AP178" i="9"/>
  <c r="AP333" i="9"/>
  <c r="AP205" i="9"/>
  <c r="AP812" i="9"/>
  <c r="AP848" i="9"/>
  <c r="AP971" i="9"/>
  <c r="AP779" i="9"/>
  <c r="AP54" i="9"/>
  <c r="AP294" i="9"/>
  <c r="AP819" i="9"/>
  <c r="AP219" i="9"/>
  <c r="AP311" i="9"/>
  <c r="AP143" i="9"/>
  <c r="AP56" i="9"/>
  <c r="AP214" i="9"/>
  <c r="AP656" i="9"/>
  <c r="AP593" i="9"/>
  <c r="AP840" i="9"/>
  <c r="AP128" i="9"/>
  <c r="AP224" i="9"/>
  <c r="AP105" i="9"/>
  <c r="AP563" i="9"/>
  <c r="AP230" i="9"/>
  <c r="AP466" i="9"/>
  <c r="AP306" i="9"/>
  <c r="AP291" i="9"/>
  <c r="AP696" i="9"/>
  <c r="AP982" i="9"/>
  <c r="AP777" i="9"/>
  <c r="AP135" i="9"/>
  <c r="AP231" i="9"/>
  <c r="AP247" i="9"/>
  <c r="AP689" i="9"/>
  <c r="AP506" i="9"/>
  <c r="AP778" i="9"/>
  <c r="AP736" i="9"/>
  <c r="AP357" i="9"/>
  <c r="AP644" i="9"/>
  <c r="AP739" i="9"/>
  <c r="AP655" i="9"/>
  <c r="AP626" i="9"/>
  <c r="AP193" i="9"/>
  <c r="AP585" i="9"/>
  <c r="AP533" i="9"/>
  <c r="AP271" i="9"/>
  <c r="AP211" i="9"/>
  <c r="AP774" i="9"/>
  <c r="AP882" i="9"/>
  <c r="AP59" i="9"/>
  <c r="AP233" i="9"/>
  <c r="AP380" i="9"/>
  <c r="AP181" i="9"/>
  <c r="AP580" i="9"/>
  <c r="AP334" i="9"/>
  <c r="AP335" i="9"/>
  <c r="AP835" i="9"/>
  <c r="AP836" i="9"/>
  <c r="AP997" i="9"/>
  <c r="AP257" i="9"/>
  <c r="AP229" i="9"/>
  <c r="AP113" i="9"/>
  <c r="AP514" i="9"/>
  <c r="AP762" i="9"/>
  <c r="AP177" i="9"/>
  <c r="AP129" i="9"/>
  <c r="AP307" i="9"/>
  <c r="AP370" i="9"/>
  <c r="AP421" i="9"/>
  <c r="AP930" i="9"/>
  <c r="AP732" i="9"/>
  <c r="AP904" i="9"/>
  <c r="AP889" i="9"/>
  <c r="AP590" i="9"/>
  <c r="AP554" i="9"/>
  <c r="AP192" i="9"/>
  <c r="AP484" i="9"/>
  <c r="AP524" i="9"/>
  <c r="AP720" i="9"/>
  <c r="AP706" i="9"/>
  <c r="AP892" i="9"/>
  <c r="AP783" i="9"/>
  <c r="AP14" i="9"/>
  <c r="AP301" i="9"/>
  <c r="AP272" i="9"/>
  <c r="AP303" i="9"/>
  <c r="AP625" i="9"/>
  <c r="AP617" i="9"/>
  <c r="AP353" i="9"/>
  <c r="AP487" i="9"/>
  <c r="AP292" i="9"/>
  <c r="AP906" i="9"/>
  <c r="AP716" i="9"/>
  <c r="AP965" i="9"/>
  <c r="AP261" i="9"/>
  <c r="AP379" i="9"/>
  <c r="AP109" i="9"/>
  <c r="AP179" i="9"/>
  <c r="AP305" i="9"/>
  <c r="AP797" i="9"/>
  <c r="AP89" i="9"/>
  <c r="AP236" i="9"/>
  <c r="AP579" i="9"/>
  <c r="AP785" i="9"/>
  <c r="AP25" i="9"/>
  <c r="AP369" i="9"/>
  <c r="AP402" i="9"/>
  <c r="AP582" i="9"/>
  <c r="AP423" i="9"/>
  <c r="AP188" i="9"/>
  <c r="AP765" i="9"/>
  <c r="AP520" i="9"/>
  <c r="AP927" i="9"/>
  <c r="AP564" i="9"/>
  <c r="AP42" i="9"/>
  <c r="AP745" i="9"/>
  <c r="AP36" i="9"/>
  <c r="AP142" i="9"/>
  <c r="AP429" i="9"/>
  <c r="AP704" i="9"/>
  <c r="AP383" i="9"/>
  <c r="AP628" i="9"/>
  <c r="AP637" i="9"/>
  <c r="AP375" i="9"/>
  <c r="AP37" i="9"/>
  <c r="AP170" i="9"/>
  <c r="AP712" i="9"/>
  <c r="AP899" i="9"/>
  <c r="AP537" i="9"/>
  <c r="AP918" i="9"/>
  <c r="AP263" i="9"/>
  <c r="AP227" i="9"/>
  <c r="AP19" i="9"/>
  <c r="AP296" i="9"/>
  <c r="AP195" i="9"/>
  <c r="AP678" i="9"/>
  <c r="AP752" i="9"/>
  <c r="AP527" i="9"/>
  <c r="AP368" i="9"/>
  <c r="AP532" i="9"/>
  <c r="AP376" i="9"/>
  <c r="AP18" i="9"/>
  <c r="AP507" i="9"/>
  <c r="AP742" i="9"/>
  <c r="AP454" i="9"/>
  <c r="AP884" i="9"/>
  <c r="AP859" i="9"/>
  <c r="AP477" i="9"/>
  <c r="AP550" i="9"/>
  <c r="AP629" i="9"/>
  <c r="AP731" i="9"/>
  <c r="AP939" i="9"/>
  <c r="AP310" i="9"/>
  <c r="AP352" i="9"/>
  <c r="AP598" i="9"/>
  <c r="AP767" i="9"/>
  <c r="AP627" i="9"/>
  <c r="AP768" i="9"/>
  <c r="AP33" i="9"/>
  <c r="AP813" i="9"/>
  <c r="AP412" i="9"/>
  <c r="AP476" i="9"/>
  <c r="AP929" i="9"/>
  <c r="AP194" i="9"/>
  <c r="AP46" i="9"/>
  <c r="AP269" i="9"/>
  <c r="AP967" i="9"/>
  <c r="AP726" i="9"/>
  <c r="AP189" i="9"/>
  <c r="AP30" i="9"/>
  <c r="AP703" i="9"/>
  <c r="AP410" i="9"/>
  <c r="AP998" i="9"/>
  <c r="AP373" i="9"/>
  <c r="AP824" i="9"/>
  <c r="AP901" i="9"/>
  <c r="AP962" i="9"/>
  <c r="AP180" i="9"/>
  <c r="AP174" i="9"/>
  <c r="AP222" i="9"/>
  <c r="AP354" i="9"/>
  <c r="AP802" i="9"/>
  <c r="AP879" i="9"/>
  <c r="AP977" i="9"/>
  <c r="AP364" i="9"/>
  <c r="AP365" i="9"/>
  <c r="AP363" i="9"/>
  <c r="AP596" i="9"/>
  <c r="AP76" i="9"/>
  <c r="AP456" i="9"/>
  <c r="AP597" i="9"/>
  <c r="AP893" i="9"/>
  <c r="AP400" i="9"/>
  <c r="AP238" i="9"/>
  <c r="AP234" i="9"/>
  <c r="AP479" i="9"/>
  <c r="AP245" i="9"/>
  <c r="AP248" i="9"/>
  <c r="AP315" i="9"/>
  <c r="AP734" i="9"/>
  <c r="AP642" i="9"/>
  <c r="AP814" i="9"/>
  <c r="AP993" i="9"/>
  <c r="AP771" i="9"/>
  <c r="AP355" i="9"/>
  <c r="AP32" i="9"/>
  <c r="AP653" i="9"/>
  <c r="AP501" i="9"/>
  <c r="AP392" i="9"/>
  <c r="AP528" i="9"/>
  <c r="AP356" i="9"/>
  <c r="AP242" i="9"/>
  <c r="AP461" i="9"/>
  <c r="AP558" i="9"/>
  <c r="AP796" i="9"/>
  <c r="AP833" i="9"/>
  <c r="AP542" i="9"/>
  <c r="AP151" i="9"/>
  <c r="AP495" i="9"/>
  <c r="AP95" i="9"/>
  <c r="AP85" i="9"/>
  <c r="AP125" i="9"/>
  <c r="AP536" i="9"/>
  <c r="AP776" i="9"/>
  <c r="AP968" i="9"/>
  <c r="AP220" i="9"/>
  <c r="AP27" i="9"/>
  <c r="AP29" i="9"/>
  <c r="AP367" i="9"/>
  <c r="AP114" i="9"/>
  <c r="AP360" i="9"/>
  <c r="AP557" i="9"/>
  <c r="AP650" i="9"/>
  <c r="AP92" i="9"/>
  <c r="AP320" i="9"/>
  <c r="AP450" i="9"/>
  <c r="AP432" i="9"/>
  <c r="AP159" i="9"/>
  <c r="AP171" i="9"/>
  <c r="AP606" i="9"/>
  <c r="AP672" i="9"/>
  <c r="AP112" i="9"/>
  <c r="AP69" i="9"/>
  <c r="AP57" i="9"/>
  <c r="AP209" i="9"/>
  <c r="AP285" i="9"/>
  <c r="AP679" i="9"/>
  <c r="AP251" i="9"/>
  <c r="AP286" i="9"/>
  <c r="AP496" i="9"/>
  <c r="AP539" i="9"/>
  <c r="AP38" i="9"/>
  <c r="AP344" i="9"/>
  <c r="AP616" i="9"/>
  <c r="AP960" i="9"/>
  <c r="AP599" i="9"/>
  <c r="AP153" i="9"/>
  <c r="AP133" i="9"/>
  <c r="AP405" i="9"/>
  <c r="AP472" i="9"/>
  <c r="AP671" i="9"/>
  <c r="AP871" i="9"/>
  <c r="AP156" i="9"/>
  <c r="AP578" i="9"/>
  <c r="AP232" i="9"/>
  <c r="AP441" i="9"/>
  <c r="AP17" i="9"/>
  <c r="AP144" i="9"/>
  <c r="AP173" i="9"/>
  <c r="AP935" i="9"/>
  <c r="AP259" i="9"/>
  <c r="AP203" i="9"/>
  <c r="AP447" i="9"/>
  <c r="AP414" i="9"/>
  <c r="AP101" i="9"/>
  <c r="AP218" i="9"/>
  <c r="AP686" i="9"/>
  <c r="AP673" i="9"/>
  <c r="AP553" i="9"/>
  <c r="AP770" i="9"/>
  <c r="AP538" i="9"/>
  <c r="AP493" i="9"/>
  <c r="AP1002" i="9"/>
  <c r="AP1003" i="9"/>
  <c r="AP39" i="9"/>
  <c r="AP341" i="9"/>
  <c r="AP134" i="9"/>
  <c r="AP464" i="9"/>
  <c r="AP641" i="9"/>
  <c r="AP891" i="9"/>
  <c r="AP556" i="9"/>
  <c r="AP468" i="9"/>
  <c r="AP409" i="9"/>
  <c r="AP525" i="9"/>
  <c r="AP458" i="9"/>
  <c r="AP636" i="9"/>
  <c r="AP623" i="9"/>
  <c r="AP618" i="9"/>
  <c r="AP934" i="9"/>
  <c r="AP610" i="9"/>
  <c r="AP295" i="9"/>
  <c r="AP44" i="9"/>
  <c r="AP132" i="9"/>
  <c r="AP246" i="9"/>
  <c r="AP944" i="9"/>
  <c r="AP167" i="9"/>
  <c r="AP560" i="9"/>
  <c r="AP387" i="9"/>
  <c r="AP94" i="9"/>
  <c r="AP422" i="9"/>
  <c r="AP663" i="9"/>
  <c r="AP297" i="9"/>
  <c r="AP692" i="9"/>
  <c r="AP43" i="9"/>
  <c r="AP83" i="9"/>
  <c r="AP70" i="9"/>
  <c r="AP276" i="9"/>
  <c r="AP289" i="9"/>
  <c r="AP395" i="9"/>
  <c r="AP391" i="9"/>
  <c r="AP584" i="9"/>
  <c r="AP691" i="9"/>
  <c r="AP697" i="9"/>
  <c r="AP103" i="9"/>
  <c r="AP28" i="9"/>
  <c r="AP160" i="9"/>
  <c r="AP309" i="9"/>
  <c r="AP607" i="9"/>
  <c r="AP807" i="9"/>
  <c r="AP621" i="9"/>
  <c r="AP40" i="9"/>
  <c r="AP504" i="9"/>
  <c r="AP217" i="9"/>
  <c r="AP288" i="9"/>
  <c r="AP645" i="9"/>
  <c r="AP467" i="9"/>
  <c r="AP724" i="9"/>
  <c r="AP131" i="9"/>
  <c r="AP911" i="9"/>
  <c r="AP748" i="9"/>
  <c r="AP522" i="9"/>
  <c r="AP149" i="9"/>
  <c r="AP540" i="9"/>
  <c r="AP280" i="9"/>
  <c r="AP721" i="9"/>
  <c r="AP955" i="9"/>
  <c r="AP78" i="9"/>
  <c r="AP154" i="9"/>
  <c r="AP419" i="9"/>
  <c r="AP396" i="9"/>
  <c r="AP325" i="9"/>
  <c r="AP565" i="9"/>
  <c r="AP643" i="9"/>
  <c r="AP609" i="9"/>
  <c r="AP551" i="9"/>
  <c r="AP518" i="9"/>
  <c r="AP701" i="9"/>
  <c r="AP631" i="9"/>
  <c r="AP772" i="9"/>
  <c r="AP999" i="9"/>
  <c r="AP880" i="9"/>
  <c r="AP669" i="9"/>
  <c r="AP924" i="9"/>
  <c r="AP184" i="9"/>
  <c r="AP82" i="9"/>
  <c r="AP705" i="9"/>
  <c r="AP11" i="9"/>
  <c r="AP926" i="9"/>
  <c r="AP359" i="9"/>
  <c r="AP620" i="9"/>
  <c r="AP418" i="9"/>
  <c r="AP118" i="9"/>
  <c r="AP657" i="9"/>
  <c r="AP685" i="9"/>
  <c r="AP634" i="9"/>
  <c r="AP954" i="9"/>
  <c r="AP994" i="9"/>
  <c r="AP443" i="9"/>
  <c r="AP388" i="9"/>
  <c r="AP406" i="9"/>
  <c r="AP55" i="9"/>
  <c r="AP21" i="9"/>
  <c r="AP649" i="9"/>
  <c r="AP513" i="9"/>
  <c r="AP883" i="9"/>
  <c r="AP875" i="9"/>
  <c r="AP972" i="9"/>
  <c r="AP313" i="9"/>
  <c r="AP260" i="9"/>
  <c r="AP480" i="9"/>
  <c r="AP515" i="9"/>
  <c r="AP857" i="9"/>
  <c r="AP446" i="9"/>
  <c r="AP873" i="9"/>
  <c r="AP698" i="9"/>
  <c r="AP258" i="9"/>
  <c r="AP68" i="9"/>
  <c r="AP34" i="9"/>
  <c r="AP603" i="9"/>
  <c r="AP60" i="9"/>
  <c r="AP252" i="9"/>
  <c r="AP856" i="9"/>
  <c r="AP713" i="9"/>
  <c r="AP197" i="9"/>
  <c r="AP531" i="9"/>
  <c r="AP549" i="9"/>
  <c r="AP829" i="9"/>
  <c r="AP448" i="9"/>
  <c r="AP581" i="9"/>
  <c r="AP204" i="9"/>
  <c r="AP283" i="9"/>
  <c r="AP208" i="9"/>
  <c r="AP408" i="9"/>
  <c r="AP684" i="9"/>
  <c r="AP793" i="9"/>
  <c r="AP915" i="9"/>
  <c r="AP438" i="9"/>
  <c r="AP809" i="9"/>
  <c r="AP328" i="9"/>
  <c r="AP223" i="9"/>
  <c r="AP324" i="9"/>
  <c r="AP682" i="9"/>
  <c r="AP746" i="9"/>
  <c r="AP864" i="9"/>
  <c r="AP987" i="9"/>
  <c r="AP215" i="9"/>
  <c r="AP9" i="9"/>
  <c r="AP482" i="9"/>
  <c r="AP586" i="9"/>
  <c r="AP651" i="9"/>
  <c r="AP782" i="9"/>
  <c r="AP719" i="9"/>
  <c r="AP957" i="9"/>
  <c r="AP952" i="9"/>
  <c r="AP788" i="9"/>
  <c r="AP747" i="9"/>
  <c r="AP766" i="9"/>
  <c r="AP928" i="9"/>
  <c r="AP945" i="9"/>
  <c r="AP839" i="9"/>
  <c r="AP730" i="9"/>
  <c r="AP853" i="9"/>
  <c r="AP266" i="9"/>
  <c r="AP316" i="9"/>
  <c r="AP865" i="9"/>
  <c r="AP511" i="9"/>
  <c r="AP455" i="9"/>
  <c r="AP567" i="9"/>
  <c r="AP566" i="9"/>
  <c r="AP737" i="9"/>
  <c r="AP878" i="9"/>
  <c r="AP989" i="9"/>
  <c r="AP755" i="9"/>
  <c r="AP415" i="9"/>
  <c r="AP349" i="9"/>
  <c r="AP895" i="9"/>
  <c r="AP969" i="9"/>
  <c r="AP428" i="9"/>
  <c r="AP186" i="9"/>
  <c r="AP99" i="9"/>
  <c r="AP462" i="9"/>
  <c r="AP687" i="9"/>
  <c r="AP898" i="9"/>
  <c r="AP166" i="9"/>
  <c r="AP695" i="9"/>
  <c r="AP903" i="9"/>
  <c r="AP761" i="9"/>
  <c r="AP152" i="9"/>
  <c r="AP61" i="9"/>
  <c r="AP775" i="9"/>
  <c r="AP860" i="9"/>
  <c r="AP894" i="9"/>
  <c r="AP77" i="9"/>
  <c r="AP449" i="9"/>
  <c r="AP439" i="9"/>
  <c r="AP544" i="9"/>
  <c r="AP622" i="9"/>
  <c r="AP433" i="9"/>
  <c r="AP708" i="9"/>
  <c r="AP910" i="9"/>
  <c r="AP764" i="9"/>
  <c r="AP749" i="9"/>
  <c r="AP760" i="9"/>
  <c r="AP384" i="9"/>
  <c r="AP751" i="9"/>
  <c r="AP854" i="9"/>
  <c r="AP973" i="9"/>
  <c r="AP237" i="9"/>
  <c r="AP264" i="9"/>
  <c r="AP91" i="9"/>
  <c r="AP754" i="9"/>
  <c r="AP22" i="9"/>
  <c r="AP510" i="9"/>
  <c r="AP526" i="9"/>
  <c r="AP909" i="9"/>
  <c r="AP784" i="9"/>
  <c r="AP946" i="9"/>
  <c r="AP86" i="9"/>
  <c r="AP416" i="9"/>
  <c r="AP683" i="9"/>
  <c r="AP516" i="9"/>
  <c r="AP908" i="9"/>
  <c r="AP80" i="9"/>
  <c r="AP591" i="9"/>
  <c r="AP722" i="9"/>
  <c r="AP941" i="9"/>
  <c r="AP937" i="9"/>
  <c r="AP975" i="9"/>
  <c r="AP804" i="9"/>
  <c r="AP808" i="9"/>
  <c r="AP110" i="9"/>
  <c r="AP394" i="9"/>
  <c r="AP12" i="9"/>
  <c r="AP473" i="9"/>
  <c r="AP876" i="9"/>
  <c r="AP141" i="9"/>
  <c r="AP331" i="9"/>
  <c r="AP517" i="9"/>
  <c r="AP729" i="9"/>
  <c r="AP913" i="9"/>
  <c r="AP743" i="9"/>
  <c r="AP329" i="9"/>
  <c r="AP541" i="9"/>
  <c r="AP45" i="9"/>
  <c r="AP319" i="9"/>
  <c r="AP62" i="9"/>
  <c r="AP431" i="9"/>
  <c r="AP386" i="9"/>
  <c r="AP963" i="9"/>
  <c r="AP958" i="9"/>
  <c r="AP155" i="9"/>
  <c r="AP916" i="9"/>
  <c r="AP640" i="9"/>
  <c r="AP837" i="9"/>
  <c r="AP959" i="9"/>
  <c r="AP49" i="9"/>
  <c r="AP146" i="9"/>
  <c r="AP216" i="9"/>
  <c r="AP73" i="9"/>
  <c r="AP225" i="9"/>
  <c r="AP670" i="9"/>
  <c r="AP347" i="9"/>
  <c r="AP900" i="9"/>
  <c r="AP661" i="9"/>
  <c r="AP326" i="9"/>
  <c r="AP26" i="9"/>
  <c r="AP281" i="9"/>
  <c r="AP830" i="9"/>
  <c r="AP818" i="9"/>
  <c r="AP519" i="9"/>
  <c r="AP442" i="9"/>
  <c r="AP275" i="9"/>
  <c r="AP374" i="9"/>
  <c r="AP659" i="9"/>
  <c r="AP434" i="9"/>
  <c r="AP267" i="9"/>
  <c r="AP727" i="9"/>
  <c r="AP274" i="9"/>
  <c r="AP615" i="9"/>
  <c r="AP470" i="9"/>
  <c r="AP869" i="9"/>
  <c r="AP592" i="9"/>
  <c r="AP867" i="9"/>
  <c r="AP7" i="9"/>
  <c r="AP361" i="9"/>
  <c r="AP390" i="9"/>
  <c r="AP943" i="9"/>
  <c r="AP877" i="9"/>
  <c r="AP728" i="9"/>
  <c r="AP758" i="9"/>
  <c r="AP140" i="9"/>
  <c r="AP413" i="9"/>
  <c r="AP570" i="9"/>
  <c r="AP863" i="9"/>
  <c r="AP202" i="9"/>
  <c r="AP47" i="9"/>
  <c r="AP569" i="9"/>
  <c r="AP614" i="9"/>
  <c r="AP435" i="9"/>
  <c r="AP67" i="9"/>
  <c r="AP546" i="9"/>
  <c r="AP182" i="9"/>
  <c r="AP707" i="9"/>
  <c r="AP827" i="9"/>
  <c r="AP377" i="9"/>
  <c r="AP700" i="9"/>
  <c r="AP741" i="9"/>
  <c r="AP817" i="9"/>
  <c r="AP794" i="9"/>
  <c r="AP559" i="9"/>
  <c r="AP664" i="9"/>
  <c r="AP304" i="9"/>
  <c r="AP666" i="9"/>
  <c r="AP79" i="9"/>
  <c r="AP123" i="9"/>
  <c r="AP407" i="9"/>
  <c r="AP966" i="9"/>
  <c r="AP104" i="9"/>
  <c r="AP102" i="9"/>
  <c r="AP249" i="9"/>
  <c r="AP318" i="9"/>
  <c r="AP714" i="9"/>
  <c r="AP680" i="9"/>
  <c r="AP699" i="9"/>
  <c r="AP805" i="9"/>
  <c r="AP555" i="9"/>
  <c r="AP88" i="9"/>
  <c r="AP545" i="9"/>
  <c r="AP50" i="9"/>
  <c r="AP340" i="9"/>
  <c r="AP346" i="9"/>
  <c r="AP850" i="9"/>
  <c r="AP398" i="9"/>
  <c r="AP498" i="9"/>
  <c r="AP459" i="9"/>
  <c r="AP486" i="9"/>
  <c r="AP834" i="9"/>
  <c r="AP890" i="9"/>
  <c r="AP575" i="9"/>
  <c r="AP571" i="9"/>
  <c r="AP489" i="9"/>
  <c r="AP485" i="9"/>
  <c r="AP803" i="9"/>
  <c r="AP15" i="9"/>
  <c r="AP207" i="9"/>
  <c r="AP284" i="9"/>
  <c r="AP667" i="9"/>
  <c r="AP658" i="9"/>
  <c r="AP914" i="9"/>
  <c r="AP201" i="9"/>
  <c r="AP322" i="9"/>
  <c r="AP343" i="9"/>
  <c r="AP411" i="9"/>
  <c r="AP828" i="9"/>
  <c r="AP806" i="9"/>
  <c r="AP981" i="9"/>
  <c r="AP163" i="9"/>
  <c r="AP53" i="9"/>
  <c r="AP81" i="9"/>
  <c r="AP465" i="9"/>
  <c r="AP51" i="9"/>
  <c r="AP735" i="9"/>
  <c r="AP843" i="9"/>
  <c r="AP1004" i="9"/>
  <c r="AP244" i="9"/>
  <c r="AP278" i="9"/>
  <c r="AP176" i="9"/>
  <c r="AP362" i="9"/>
  <c r="AP529" i="9"/>
  <c r="AP100" i="9"/>
  <c r="AP870" i="9"/>
  <c r="AP851" i="9"/>
  <c r="AP20" i="9"/>
  <c r="AP339" i="9"/>
  <c r="AP949" i="9"/>
  <c r="AP970" i="9"/>
  <c r="AP213" i="9"/>
  <c r="AP922" i="9"/>
  <c r="AP991" i="9"/>
  <c r="AP990" i="9"/>
  <c r="AP298" i="9"/>
  <c r="AP847" i="9"/>
  <c r="AP323" i="9"/>
  <c r="AP505" i="9"/>
  <c r="AP619" i="9"/>
  <c r="AP574" i="9"/>
  <c r="AP1001" i="9"/>
  <c r="AP190" i="9"/>
  <c r="AP602" i="9"/>
  <c r="AP757" i="9"/>
  <c r="AP885" i="9"/>
  <c r="AP763" i="9"/>
  <c r="AP723" i="9"/>
  <c r="J241" i="8"/>
  <c r="J233" i="8"/>
  <c r="J225" i="8"/>
  <c r="J217" i="8"/>
  <c r="J209" i="8"/>
  <c r="J201" i="8"/>
  <c r="J193" i="8"/>
  <c r="J185" i="8"/>
  <c r="J177" i="8"/>
  <c r="J169" i="8"/>
  <c r="J161" i="8"/>
  <c r="J153" i="8"/>
  <c r="J145" i="8"/>
  <c r="J137" i="8"/>
  <c r="J129" i="8"/>
  <c r="J121" i="8"/>
  <c r="J113" i="8"/>
  <c r="J105" i="8"/>
  <c r="J97" i="8"/>
  <c r="J89" i="8"/>
  <c r="J81" i="8"/>
  <c r="J73" i="8"/>
  <c r="J65" i="8"/>
  <c r="J57" i="8"/>
  <c r="J49" i="8"/>
  <c r="J41" i="8"/>
  <c r="J33" i="8"/>
  <c r="J25" i="8"/>
  <c r="J17" i="8"/>
  <c r="J245" i="8"/>
  <c r="J229" i="8"/>
  <c r="J197" i="8"/>
  <c r="J189" i="8"/>
  <c r="J181" i="8"/>
  <c r="J173" i="8"/>
  <c r="J165" i="8"/>
  <c r="J157" i="8"/>
  <c r="J149" i="8"/>
  <c r="J141" i="8"/>
  <c r="J133" i="8"/>
  <c r="J125" i="8"/>
  <c r="J117" i="8"/>
  <c r="J109" i="8"/>
  <c r="J101" i="8"/>
  <c r="J93" i="8"/>
  <c r="J85" i="8"/>
  <c r="J77" i="8"/>
  <c r="J69" i="8"/>
  <c r="J61" i="8"/>
  <c r="J53" i="8"/>
  <c r="J45" i="8"/>
  <c r="J37" i="8"/>
  <c r="J29" i="8"/>
  <c r="J21" i="8"/>
  <c r="J13" i="8"/>
  <c r="J213" i="8"/>
  <c r="J205" i="8"/>
  <c r="J237" i="8"/>
  <c r="J221" i="8"/>
  <c r="H11" i="1"/>
  <c r="I11" i="1" s="1"/>
  <c r="J11" i="1" s="1"/>
  <c r="J9" i="1"/>
  <c r="J10" i="1" s="1"/>
  <c r="D18" i="1" l="1"/>
  <c r="E18" i="1"/>
  <c r="D8" i="1"/>
  <c r="E8" i="1"/>
  <c r="T8" i="1"/>
  <c r="T9" i="1"/>
  <c r="T10" i="1"/>
  <c r="T11" i="1"/>
  <c r="T12" i="1"/>
  <c r="T13" i="1"/>
  <c r="T14" i="1"/>
  <c r="T15" i="1"/>
  <c r="T16" i="1"/>
  <c r="T17" i="1"/>
  <c r="T18" i="1"/>
  <c r="T20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6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2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8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4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100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6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2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8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4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80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6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2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8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4" i="1"/>
  <c r="T246" i="1"/>
  <c r="T247" i="1"/>
  <c r="T248" i="1"/>
  <c r="T249" i="1"/>
  <c r="T250" i="1"/>
  <c r="T251" i="1"/>
  <c r="T252" i="1"/>
  <c r="T253" i="1"/>
  <c r="T254" i="1"/>
  <c r="S9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5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1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7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3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9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5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1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7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3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9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5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1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7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3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9" i="1"/>
  <c r="S251" i="1"/>
  <c r="S252" i="1"/>
  <c r="S253" i="1"/>
  <c r="S254" i="1"/>
  <c r="R8" i="1"/>
  <c r="R9" i="1"/>
  <c r="R10" i="1"/>
  <c r="R11" i="1"/>
  <c r="R17" i="1"/>
  <c r="R18" i="1"/>
  <c r="R19" i="1"/>
  <c r="R20" i="1"/>
  <c r="R21" i="1"/>
  <c r="R22" i="1"/>
  <c r="R23" i="1"/>
  <c r="R24" i="1"/>
  <c r="R25" i="1"/>
  <c r="R26" i="1"/>
  <c r="R27" i="1"/>
  <c r="R33" i="1"/>
  <c r="R34" i="1"/>
  <c r="R36" i="1"/>
  <c r="R37" i="1"/>
  <c r="R38" i="1"/>
  <c r="R39" i="1"/>
  <c r="R40" i="1"/>
  <c r="R41" i="1"/>
  <c r="R42" i="1"/>
  <c r="R43" i="1"/>
  <c r="R49" i="1"/>
  <c r="R50" i="1"/>
  <c r="R51" i="1"/>
  <c r="R52" i="1"/>
  <c r="R53" i="1"/>
  <c r="R54" i="1"/>
  <c r="R55" i="1"/>
  <c r="R56" i="1"/>
  <c r="R57" i="1"/>
  <c r="R58" i="1"/>
  <c r="R59" i="1"/>
  <c r="R65" i="1"/>
  <c r="R66" i="1"/>
  <c r="R67" i="1"/>
  <c r="R68" i="1"/>
  <c r="R69" i="1"/>
  <c r="R70" i="1"/>
  <c r="R71" i="1"/>
  <c r="R72" i="1"/>
  <c r="R73" i="1"/>
  <c r="R74" i="1"/>
  <c r="R75" i="1"/>
  <c r="R81" i="1"/>
  <c r="R82" i="1"/>
  <c r="R83" i="1"/>
  <c r="R84" i="1"/>
  <c r="R85" i="1"/>
  <c r="R86" i="1"/>
  <c r="R87" i="1"/>
  <c r="R88" i="1"/>
  <c r="R89" i="1"/>
  <c r="R90" i="1"/>
  <c r="R91" i="1"/>
  <c r="R97" i="1"/>
  <c r="R98" i="1"/>
  <c r="R99" i="1"/>
  <c r="R100" i="1"/>
  <c r="R101" i="1"/>
  <c r="R102" i="1"/>
  <c r="R103" i="1"/>
  <c r="R104" i="1"/>
  <c r="R105" i="1"/>
  <c r="R106" i="1"/>
  <c r="R107" i="1"/>
  <c r="R113" i="1"/>
  <c r="R114" i="1"/>
  <c r="R115" i="1"/>
  <c r="R116" i="1"/>
  <c r="R117" i="1"/>
  <c r="R118" i="1"/>
  <c r="R119" i="1"/>
  <c r="R120" i="1"/>
  <c r="R121" i="1"/>
  <c r="R122" i="1"/>
  <c r="R123" i="1"/>
  <c r="R129" i="1"/>
  <c r="R130" i="1"/>
  <c r="R131" i="1"/>
  <c r="R132" i="1"/>
  <c r="R133" i="1"/>
  <c r="R134" i="1"/>
  <c r="R135" i="1"/>
  <c r="R136" i="1"/>
  <c r="R137" i="1"/>
  <c r="R138" i="1"/>
  <c r="R139" i="1"/>
  <c r="R145" i="1"/>
  <c r="R146" i="1"/>
  <c r="R147" i="1"/>
  <c r="R148" i="1"/>
  <c r="R149" i="1"/>
  <c r="R150" i="1"/>
  <c r="R151" i="1"/>
  <c r="R152" i="1"/>
  <c r="R153" i="1"/>
  <c r="R154" i="1"/>
  <c r="R155" i="1"/>
  <c r="R161" i="1"/>
  <c r="R162" i="1"/>
  <c r="R163" i="1"/>
  <c r="R164" i="1"/>
  <c r="R165" i="1"/>
  <c r="R166" i="1"/>
  <c r="R167" i="1"/>
  <c r="R168" i="1"/>
  <c r="R169" i="1"/>
  <c r="R170" i="1"/>
  <c r="R171" i="1"/>
  <c r="R177" i="1"/>
  <c r="R178" i="1"/>
  <c r="R179" i="1"/>
  <c r="R180" i="1"/>
  <c r="R181" i="1"/>
  <c r="R182" i="1"/>
  <c r="R183" i="1"/>
  <c r="R184" i="1"/>
  <c r="R185" i="1"/>
  <c r="R186" i="1"/>
  <c r="R187" i="1"/>
  <c r="R193" i="1"/>
  <c r="R194" i="1"/>
  <c r="R195" i="1"/>
  <c r="R196" i="1"/>
  <c r="R197" i="1"/>
  <c r="R198" i="1"/>
  <c r="R199" i="1"/>
  <c r="R200" i="1"/>
  <c r="R201" i="1"/>
  <c r="R202" i="1"/>
  <c r="R203" i="1"/>
  <c r="R209" i="1"/>
  <c r="R210" i="1"/>
  <c r="R211" i="1"/>
  <c r="R212" i="1"/>
  <c r="R213" i="1"/>
  <c r="R214" i="1"/>
  <c r="R215" i="1"/>
  <c r="R216" i="1"/>
  <c r="R217" i="1"/>
  <c r="R218" i="1"/>
  <c r="R219" i="1"/>
  <c r="R225" i="1"/>
  <c r="R226" i="1"/>
  <c r="R227" i="1"/>
  <c r="R228" i="1"/>
  <c r="R229" i="1"/>
  <c r="R230" i="1"/>
  <c r="R231" i="1"/>
  <c r="R232" i="1"/>
  <c r="R233" i="1"/>
  <c r="R234" i="1"/>
  <c r="R235" i="1"/>
  <c r="R241" i="1"/>
  <c r="R242" i="1"/>
  <c r="R244" i="1"/>
  <c r="R245" i="1"/>
  <c r="R246" i="1"/>
  <c r="R247" i="1"/>
  <c r="R248" i="1"/>
  <c r="R249" i="1"/>
  <c r="R251" i="1"/>
  <c r="T7" i="1" l="1"/>
  <c r="S250" i="1"/>
  <c r="S234" i="1"/>
  <c r="S218" i="1"/>
  <c r="S202" i="1"/>
  <c r="S186" i="1"/>
  <c r="S170" i="1"/>
  <c r="S154" i="1"/>
  <c r="S138" i="1"/>
  <c r="S122" i="1"/>
  <c r="S106" i="1"/>
  <c r="S90" i="1"/>
  <c r="S74" i="1"/>
  <c r="S58" i="1"/>
  <c r="S42" i="1"/>
  <c r="S26" i="1"/>
  <c r="S10" i="1"/>
  <c r="T245" i="1"/>
  <c r="T229" i="1"/>
  <c r="T213" i="1"/>
  <c r="T197" i="1"/>
  <c r="T181" i="1"/>
  <c r="T165" i="1"/>
  <c r="T149" i="1"/>
  <c r="T133" i="1"/>
  <c r="T117" i="1"/>
  <c r="T101" i="1"/>
  <c r="T85" i="1"/>
  <c r="T69" i="1"/>
  <c r="T53" i="1"/>
  <c r="T37" i="1"/>
  <c r="T21" i="1"/>
  <c r="T243" i="1"/>
  <c r="T227" i="1"/>
  <c r="T211" i="1"/>
  <c r="T195" i="1"/>
  <c r="T179" i="1"/>
  <c r="T163" i="1"/>
  <c r="T147" i="1"/>
  <c r="T131" i="1"/>
  <c r="T115" i="1"/>
  <c r="T99" i="1"/>
  <c r="T83" i="1"/>
  <c r="T67" i="1"/>
  <c r="T51" i="1"/>
  <c r="T35" i="1"/>
  <c r="T19" i="1"/>
  <c r="S248" i="1"/>
  <c r="S232" i="1"/>
  <c r="S216" i="1"/>
  <c r="S200" i="1"/>
  <c r="S184" i="1"/>
  <c r="S168" i="1"/>
  <c r="S152" i="1"/>
  <c r="S136" i="1"/>
  <c r="S120" i="1"/>
  <c r="S104" i="1"/>
  <c r="S88" i="1"/>
  <c r="S72" i="1"/>
  <c r="S56" i="1"/>
  <c r="S40" i="1"/>
  <c r="S24" i="1"/>
  <c r="S8" i="1"/>
  <c r="R35" i="1"/>
  <c r="R254" i="1"/>
  <c r="R238" i="1"/>
  <c r="R222" i="1"/>
  <c r="R206" i="1"/>
  <c r="R190" i="1"/>
  <c r="R250" i="1"/>
  <c r="R174" i="1"/>
  <c r="R158" i="1"/>
  <c r="R142" i="1"/>
  <c r="R126" i="1"/>
  <c r="R110" i="1"/>
  <c r="R94" i="1"/>
  <c r="R78" i="1"/>
  <c r="R62" i="1"/>
  <c r="R46" i="1"/>
  <c r="R30" i="1"/>
  <c r="R252" i="1"/>
  <c r="R236" i="1"/>
  <c r="R220" i="1"/>
  <c r="R204" i="1"/>
  <c r="R188" i="1"/>
  <c r="R172" i="1"/>
  <c r="R156" i="1"/>
  <c r="R140" i="1"/>
  <c r="R124" i="1"/>
  <c r="R108" i="1"/>
  <c r="R92" i="1"/>
  <c r="R76" i="1"/>
  <c r="R60" i="1"/>
  <c r="R44" i="1"/>
  <c r="R28" i="1"/>
  <c r="R12" i="1"/>
  <c r="R243" i="1"/>
  <c r="R240" i="1"/>
  <c r="R224" i="1"/>
  <c r="R208" i="1"/>
  <c r="R192" i="1"/>
  <c r="R176" i="1"/>
  <c r="R160" i="1"/>
  <c r="R144" i="1"/>
  <c r="R128" i="1"/>
  <c r="R112" i="1"/>
  <c r="R96" i="1"/>
  <c r="R16" i="1"/>
  <c r="R14" i="1"/>
  <c r="R32" i="1"/>
  <c r="R239" i="1"/>
  <c r="R223" i="1"/>
  <c r="R207" i="1"/>
  <c r="R191" i="1"/>
  <c r="R175" i="1"/>
  <c r="R159" i="1"/>
  <c r="R143" i="1"/>
  <c r="R127" i="1"/>
  <c r="R111" i="1"/>
  <c r="R47" i="1"/>
  <c r="R15" i="1"/>
  <c r="R80" i="1"/>
  <c r="R64" i="1"/>
  <c r="R48" i="1"/>
  <c r="R95" i="1"/>
  <c r="R79" i="1"/>
  <c r="R63" i="1"/>
  <c r="R31" i="1"/>
  <c r="R253" i="1"/>
  <c r="R237" i="1"/>
  <c r="R221" i="1"/>
  <c r="R205" i="1"/>
  <c r="R189" i="1"/>
  <c r="R173" i="1"/>
  <c r="R157" i="1"/>
  <c r="R141" i="1"/>
  <c r="R125" i="1"/>
  <c r="R109" i="1"/>
  <c r="R93" i="1"/>
  <c r="R77" i="1"/>
  <c r="R61" i="1"/>
  <c r="R45" i="1"/>
  <c r="R29" i="1"/>
  <c r="R13" i="1"/>
  <c r="R7" i="1"/>
  <c r="S7" i="1"/>
  <c r="C17" i="1" l="1"/>
  <c r="D17" i="1"/>
  <c r="E17" i="1"/>
  <c r="H7" i="1" l="1"/>
  <c r="J7" i="1" l="1"/>
  <c r="I7" i="1"/>
  <c r="C18" i="1" l="1"/>
  <c r="C19" i="1" s="1"/>
  <c r="W7" i="1"/>
  <c r="W49" i="1"/>
  <c r="W185" i="1"/>
  <c r="W227" i="1"/>
  <c r="W212" i="1"/>
  <c r="W214" i="1"/>
  <c r="W132" i="1"/>
  <c r="W82" i="1"/>
  <c r="W111" i="1"/>
  <c r="W189" i="1"/>
  <c r="W113" i="1"/>
  <c r="W42" i="1"/>
  <c r="W84" i="1"/>
  <c r="W208" i="1"/>
  <c r="W205" i="1"/>
  <c r="W8" i="1"/>
  <c r="W108" i="1"/>
  <c r="W100" i="1"/>
  <c r="W128" i="1"/>
  <c r="W234" i="1"/>
  <c r="W236" i="1"/>
  <c r="W245" i="1"/>
  <c r="W112" i="1"/>
  <c r="W65" i="1"/>
  <c r="W129" i="1"/>
  <c r="W225" i="1"/>
  <c r="W97" i="1"/>
  <c r="W142" i="1"/>
  <c r="W239" i="1"/>
  <c r="W226" i="1"/>
  <c r="W149" i="1"/>
  <c r="W125" i="1"/>
  <c r="W201" i="1"/>
  <c r="W101" i="1"/>
  <c r="W173" i="1"/>
  <c r="W178" i="1"/>
  <c r="W244" i="1"/>
  <c r="W31" i="1"/>
  <c r="W202" i="1"/>
  <c r="W250" i="1"/>
  <c r="W68" i="1"/>
  <c r="W77" i="1"/>
  <c r="W59" i="1"/>
  <c r="W206" i="1"/>
  <c r="W92" i="1"/>
  <c r="W190" i="1"/>
  <c r="W120" i="1"/>
  <c r="W232" i="1"/>
  <c r="W160" i="1"/>
  <c r="W15" i="1"/>
  <c r="W249" i="1"/>
  <c r="W233" i="1"/>
  <c r="W153" i="1"/>
  <c r="W199" i="1"/>
  <c r="W191" i="1"/>
  <c r="W78" i="1"/>
  <c r="W175" i="1"/>
  <c r="W162" i="1"/>
  <c r="W235" i="1"/>
  <c r="W61" i="1"/>
  <c r="W130" i="1"/>
  <c r="W17" i="1"/>
  <c r="W179" i="1"/>
  <c r="W148" i="1"/>
  <c r="W180" i="1"/>
  <c r="W220" i="1"/>
  <c r="W186" i="1"/>
  <c r="W174" i="1"/>
  <c r="W253" i="1"/>
  <c r="W237" i="1"/>
  <c r="W210" i="1"/>
  <c r="W28" i="1"/>
  <c r="W83" i="1"/>
  <c r="W147" i="1"/>
  <c r="W200" i="1"/>
  <c r="W137" i="1"/>
  <c r="W222" i="1"/>
  <c r="W104" i="1"/>
  <c r="W64" i="1"/>
  <c r="W170" i="1"/>
  <c r="W44" i="1"/>
  <c r="W181" i="1"/>
  <c r="W48" i="1"/>
  <c r="W43" i="1"/>
  <c r="W231" i="1"/>
  <c r="W89" i="1"/>
  <c r="W79" i="1"/>
  <c r="W183" i="1"/>
  <c r="W66" i="1"/>
  <c r="W21" i="1"/>
  <c r="W63" i="1"/>
  <c r="W169" i="1"/>
  <c r="W207" i="1"/>
  <c r="W150" i="1"/>
  <c r="W70" i="1"/>
  <c r="W238" i="1"/>
  <c r="W37" i="1"/>
  <c r="W60" i="1"/>
  <c r="W138" i="1"/>
  <c r="W106" i="1"/>
  <c r="W203" i="1"/>
  <c r="W146" i="1"/>
  <c r="W71" i="1"/>
  <c r="W20" i="1"/>
  <c r="W76" i="1"/>
  <c r="W215" i="1"/>
  <c r="W94" i="1"/>
  <c r="W167" i="1"/>
  <c r="W115" i="1"/>
  <c r="W91" i="1"/>
  <c r="W85" i="1"/>
  <c r="W144" i="1"/>
  <c r="W114" i="1"/>
  <c r="W131" i="1"/>
  <c r="W45" i="1"/>
  <c r="W93" i="1"/>
  <c r="W136" i="1"/>
  <c r="W69" i="1"/>
  <c r="W230" i="1"/>
  <c r="W10" i="1"/>
  <c r="W240" i="1"/>
  <c r="W118" i="1"/>
  <c r="W102" i="1"/>
  <c r="W22" i="1"/>
  <c r="W157" i="1"/>
  <c r="W95" i="1"/>
  <c r="W27" i="1"/>
  <c r="W197" i="1"/>
  <c r="W80" i="1"/>
  <c r="W139" i="1"/>
  <c r="W67" i="1"/>
  <c r="W117" i="1"/>
  <c r="W39" i="1"/>
  <c r="W32" i="1"/>
  <c r="W54" i="1"/>
  <c r="W38" i="1"/>
  <c r="W193" i="1"/>
  <c r="W11" i="1"/>
  <c r="W243" i="1"/>
  <c r="W228" i="1"/>
  <c r="W218" i="1"/>
  <c r="W204" i="1"/>
  <c r="W105" i="1"/>
  <c r="W127" i="1"/>
  <c r="W165" i="1"/>
  <c r="W88" i="1"/>
  <c r="W16" i="1"/>
  <c r="W99" i="1"/>
  <c r="W168" i="1"/>
  <c r="W9" i="1"/>
  <c r="W124" i="1"/>
  <c r="W188" i="1"/>
  <c r="W141" i="1"/>
  <c r="W53" i="1"/>
  <c r="W194" i="1"/>
  <c r="W29" i="1"/>
  <c r="W213" i="1"/>
  <c r="W18" i="1"/>
  <c r="W72" i="1"/>
  <c r="W172" i="1"/>
  <c r="W51" i="1"/>
  <c r="W192" i="1"/>
  <c r="W187" i="1"/>
  <c r="W123" i="1"/>
  <c r="W122" i="1"/>
  <c r="W176" i="1"/>
  <c r="W87" i="1"/>
  <c r="W145" i="1"/>
  <c r="W33" i="1"/>
  <c r="W182" i="1"/>
  <c r="W219" i="1"/>
  <c r="W242" i="1"/>
  <c r="W163" i="1"/>
  <c r="W177" i="1"/>
  <c r="W161" i="1"/>
  <c r="W158" i="1"/>
  <c r="W14" i="1"/>
  <c r="W74" i="1"/>
  <c r="W50" i="1"/>
  <c r="W134" i="1"/>
  <c r="W116" i="1"/>
  <c r="W98" i="1"/>
  <c r="W109" i="1"/>
  <c r="W90" i="1"/>
  <c r="W56" i="1"/>
  <c r="W96" i="1"/>
  <c r="W223" i="1"/>
  <c r="W166" i="1"/>
  <c r="W86" i="1"/>
  <c r="W251" i="1"/>
  <c r="W159" i="1"/>
  <c r="W121" i="1"/>
  <c r="W19" i="1"/>
  <c r="W156" i="1"/>
  <c r="W241" i="1"/>
  <c r="W34" i="1"/>
  <c r="W55" i="1"/>
  <c r="W58" i="1"/>
  <c r="W26" i="1"/>
  <c r="W246" i="1"/>
  <c r="W52" i="1"/>
  <c r="W36" i="1"/>
  <c r="W229" i="1"/>
  <c r="W126" i="1"/>
  <c r="W110" i="1"/>
  <c r="W30" i="1"/>
  <c r="W103" i="1"/>
  <c r="W57" i="1"/>
  <c r="W164" i="1"/>
  <c r="W195" i="1"/>
  <c r="W152" i="1"/>
  <c r="W23" i="1"/>
  <c r="W252" i="1"/>
  <c r="W107" i="1"/>
  <c r="W216" i="1"/>
  <c r="W40" i="1"/>
  <c r="W12" i="1"/>
  <c r="W62" i="1"/>
  <c r="W46" i="1"/>
  <c r="W119" i="1"/>
  <c r="W151" i="1"/>
  <c r="W143" i="1"/>
  <c r="W135" i="1"/>
  <c r="W217" i="1"/>
  <c r="W209" i="1"/>
  <c r="W247" i="1"/>
  <c r="W81" i="1"/>
  <c r="W155" i="1"/>
  <c r="W140" i="1"/>
  <c r="W154" i="1"/>
  <c r="W73" i="1"/>
  <c r="W25" i="1"/>
  <c r="W75" i="1"/>
  <c r="W171" i="1"/>
  <c r="W24" i="1"/>
  <c r="W41" i="1"/>
  <c r="W211" i="1"/>
  <c r="W196" i="1"/>
  <c r="W47" i="1"/>
  <c r="W13" i="1"/>
  <c r="W221" i="1"/>
  <c r="W35" i="1"/>
  <c r="W254" i="1"/>
  <c r="W184" i="1"/>
  <c r="W133" i="1"/>
  <c r="W224" i="1"/>
  <c r="W198" i="1"/>
  <c r="W248" i="1"/>
  <c r="C12" i="1" l="1"/>
  <c r="H6" i="1" s="1"/>
  <c r="J6" i="1" s="1"/>
  <c r="J12" i="1" s="1"/>
  <c r="E5" i="11" s="1"/>
  <c r="I6" i="1" l="1"/>
  <c r="I12" i="1" s="1"/>
  <c r="D5" i="11" s="1"/>
  <c r="H12" i="1"/>
  <c r="C5" i="11" l="1"/>
  <c r="L9" i="13"/>
  <c r="L9" i="12"/>
  <c r="S15" i="12" l="1"/>
  <c r="S31" i="12"/>
  <c r="S47" i="12"/>
  <c r="S63" i="12"/>
  <c r="S79" i="12"/>
  <c r="S95" i="12"/>
  <c r="S111" i="12"/>
  <c r="S127" i="12"/>
  <c r="S143" i="12"/>
  <c r="S159" i="12"/>
  <c r="S175" i="12"/>
  <c r="S191" i="12"/>
  <c r="S207" i="12"/>
  <c r="S223" i="12"/>
  <c r="S239" i="12"/>
  <c r="S34" i="12"/>
  <c r="S82" i="12"/>
  <c r="S114" i="12"/>
  <c r="S146" i="12"/>
  <c r="S178" i="12"/>
  <c r="S210" i="12"/>
  <c r="S242" i="12"/>
  <c r="S35" i="12"/>
  <c r="S67" i="12"/>
  <c r="S99" i="12"/>
  <c r="S131" i="12"/>
  <c r="S163" i="12"/>
  <c r="S195" i="12"/>
  <c r="S227" i="12"/>
  <c r="S4" i="12"/>
  <c r="S52" i="12"/>
  <c r="S100" i="12"/>
  <c r="S132" i="12"/>
  <c r="S164" i="12"/>
  <c r="S196" i="12"/>
  <c r="S228" i="12"/>
  <c r="S16" i="12"/>
  <c r="S32" i="12"/>
  <c r="S48" i="12"/>
  <c r="S64" i="12"/>
  <c r="S80" i="12"/>
  <c r="S96" i="12"/>
  <c r="S112" i="12"/>
  <c r="S128" i="12"/>
  <c r="S144" i="12"/>
  <c r="S160" i="12"/>
  <c r="S176" i="12"/>
  <c r="S192" i="12"/>
  <c r="S208" i="12"/>
  <c r="S224" i="12"/>
  <c r="S240" i="12"/>
  <c r="S50" i="12"/>
  <c r="S66" i="12"/>
  <c r="S98" i="12"/>
  <c r="S130" i="12"/>
  <c r="S162" i="12"/>
  <c r="S194" i="12"/>
  <c r="S226" i="12"/>
  <c r="S51" i="12"/>
  <c r="S83" i="12"/>
  <c r="S115" i="12"/>
  <c r="S147" i="12"/>
  <c r="S179" i="12"/>
  <c r="S211" i="12"/>
  <c r="S243" i="12"/>
  <c r="S36" i="12"/>
  <c r="S68" i="12"/>
  <c r="S84" i="12"/>
  <c r="S116" i="12"/>
  <c r="S148" i="12"/>
  <c r="S180" i="12"/>
  <c r="S212" i="12"/>
  <c r="S244" i="12"/>
  <c r="S17" i="12"/>
  <c r="S33" i="12"/>
  <c r="S49" i="12"/>
  <c r="S65" i="12"/>
  <c r="S81" i="12"/>
  <c r="S97" i="12"/>
  <c r="S113" i="12"/>
  <c r="S129" i="12"/>
  <c r="S145" i="12"/>
  <c r="S161" i="12"/>
  <c r="S177" i="12"/>
  <c r="S193" i="12"/>
  <c r="S209" i="12"/>
  <c r="S225" i="12"/>
  <c r="S241" i="12"/>
  <c r="S18" i="12"/>
  <c r="S19" i="12"/>
  <c r="S20" i="12"/>
  <c r="S22" i="12"/>
  <c r="S44" i="12"/>
  <c r="S72" i="12"/>
  <c r="S94" i="12"/>
  <c r="S122" i="12"/>
  <c r="S150" i="12"/>
  <c r="S172" i="12"/>
  <c r="S200" i="12"/>
  <c r="S222" i="12"/>
  <c r="S250" i="12"/>
  <c r="S24" i="12"/>
  <c r="S102" i="12"/>
  <c r="S152" i="12"/>
  <c r="S202" i="12"/>
  <c r="S53" i="12"/>
  <c r="S103" i="12"/>
  <c r="S153" i="12"/>
  <c r="S203" i="12"/>
  <c r="S26" i="12"/>
  <c r="S232" i="12"/>
  <c r="S5" i="12"/>
  <c r="S55" i="12"/>
  <c r="S105" i="12"/>
  <c r="S155" i="12"/>
  <c r="S205" i="12"/>
  <c r="S28" i="12"/>
  <c r="S106" i="12"/>
  <c r="S156" i="12"/>
  <c r="S206" i="12"/>
  <c r="S29" i="12"/>
  <c r="S107" i="12"/>
  <c r="S157" i="12"/>
  <c r="S213" i="12"/>
  <c r="S8" i="12"/>
  <c r="S86" i="12"/>
  <c r="S136" i="12"/>
  <c r="S186" i="12"/>
  <c r="S236" i="12"/>
  <c r="S23" i="12"/>
  <c r="S45" i="12"/>
  <c r="S73" i="12"/>
  <c r="S101" i="12"/>
  <c r="S123" i="12"/>
  <c r="S151" i="12"/>
  <c r="S173" i="12"/>
  <c r="S201" i="12"/>
  <c r="S229" i="12"/>
  <c r="S251" i="12"/>
  <c r="S46" i="12"/>
  <c r="S74" i="12"/>
  <c r="S124" i="12"/>
  <c r="S174" i="12"/>
  <c r="S230" i="12"/>
  <c r="S25" i="12"/>
  <c r="S75" i="12"/>
  <c r="S125" i="12"/>
  <c r="S181" i="12"/>
  <c r="S231" i="12"/>
  <c r="S54" i="12"/>
  <c r="S76" i="12"/>
  <c r="S104" i="12"/>
  <c r="S126" i="12"/>
  <c r="S154" i="12"/>
  <c r="S182" i="12"/>
  <c r="S204" i="12"/>
  <c r="S27" i="12"/>
  <c r="S77" i="12"/>
  <c r="S133" i="12"/>
  <c r="S183" i="12"/>
  <c r="S233" i="12"/>
  <c r="S6" i="12"/>
  <c r="S56" i="12"/>
  <c r="S78" i="12"/>
  <c r="S134" i="12"/>
  <c r="S184" i="12"/>
  <c r="S234" i="12"/>
  <c r="S7" i="12"/>
  <c r="S57" i="12"/>
  <c r="S85" i="12"/>
  <c r="S135" i="12"/>
  <c r="S185" i="12"/>
  <c r="S235" i="12"/>
  <c r="S58" i="12"/>
  <c r="S108" i="12"/>
  <c r="S158" i="12"/>
  <c r="S214" i="12"/>
  <c r="S30" i="12"/>
  <c r="S41" i="12"/>
  <c r="S93" i="12"/>
  <c r="S166" i="12"/>
  <c r="S218" i="12"/>
  <c r="S43" i="12"/>
  <c r="S220" i="12"/>
  <c r="S118" i="12"/>
  <c r="S237" i="12"/>
  <c r="S69" i="12"/>
  <c r="S70" i="12"/>
  <c r="S71" i="12"/>
  <c r="S87" i="12"/>
  <c r="S88" i="12"/>
  <c r="S89" i="12"/>
  <c r="S90" i="12"/>
  <c r="S91" i="12"/>
  <c r="S92" i="12"/>
  <c r="S42" i="12"/>
  <c r="S109" i="12"/>
  <c r="S167" i="12"/>
  <c r="S219" i="12"/>
  <c r="S110" i="12"/>
  <c r="S168" i="12"/>
  <c r="S59" i="12"/>
  <c r="S117" i="12"/>
  <c r="S169" i="12"/>
  <c r="S221" i="12"/>
  <c r="S60" i="12"/>
  <c r="S170" i="12"/>
  <c r="S9" i="12"/>
  <c r="S61" i="12"/>
  <c r="S119" i="12"/>
  <c r="S171" i="12"/>
  <c r="S238" i="12"/>
  <c r="S10" i="12"/>
  <c r="S62" i="12"/>
  <c r="S120" i="12"/>
  <c r="S187" i="12"/>
  <c r="S245" i="12"/>
  <c r="S121" i="12"/>
  <c r="S12" i="12"/>
  <c r="S189" i="12"/>
  <c r="S138" i="12"/>
  <c r="S248" i="12"/>
  <c r="S139" i="12"/>
  <c r="S249" i="12"/>
  <c r="S140" i="12"/>
  <c r="S141" i="12"/>
  <c r="S142" i="12"/>
  <c r="S39" i="12"/>
  <c r="S216" i="12"/>
  <c r="S40" i="12"/>
  <c r="S217" i="12"/>
  <c r="S11" i="12"/>
  <c r="S188" i="12"/>
  <c r="S246" i="12"/>
  <c r="S137" i="12"/>
  <c r="S247" i="12"/>
  <c r="S13" i="12"/>
  <c r="S190" i="12"/>
  <c r="S14" i="12"/>
  <c r="S197" i="12"/>
  <c r="S21" i="12"/>
  <c r="S198" i="12"/>
  <c r="S37" i="12"/>
  <c r="S199" i="12"/>
  <c r="S38" i="12"/>
  <c r="S215" i="12"/>
  <c r="S149" i="12"/>
  <c r="S165" i="12"/>
  <c r="S36" i="13"/>
  <c r="S229" i="13"/>
  <c r="S200" i="13"/>
  <c r="S109" i="13"/>
  <c r="S163" i="13"/>
  <c r="S53" i="13"/>
  <c r="S68" i="13"/>
  <c r="S75" i="13"/>
  <c r="S66" i="13"/>
  <c r="S20" i="13"/>
  <c r="S40" i="13"/>
  <c r="S4" i="13"/>
  <c r="S22" i="13"/>
  <c r="S81" i="13"/>
  <c r="S86" i="13"/>
  <c r="S224" i="13"/>
  <c r="S197" i="13"/>
  <c r="S170" i="13"/>
  <c r="S159" i="13"/>
  <c r="S80" i="13"/>
  <c r="S24" i="13"/>
  <c r="S30" i="13"/>
  <c r="S89" i="13"/>
  <c r="S223" i="13"/>
  <c r="S196" i="13"/>
  <c r="S166" i="13"/>
  <c r="S151" i="13"/>
  <c r="S61" i="13"/>
  <c r="S76" i="13"/>
  <c r="S83" i="13"/>
  <c r="S74" i="13"/>
  <c r="S79" i="13"/>
  <c r="S64" i="13"/>
  <c r="S38" i="13"/>
  <c r="S94" i="13"/>
  <c r="S222" i="13"/>
  <c r="S195" i="13"/>
  <c r="S162" i="13"/>
  <c r="S177" i="13"/>
  <c r="S23" i="13"/>
  <c r="S112" i="13"/>
  <c r="S42" i="13"/>
  <c r="S123" i="13"/>
  <c r="S221" i="13"/>
  <c r="S194" i="13"/>
  <c r="S158" i="13"/>
  <c r="S172" i="13"/>
  <c r="S69" i="13"/>
  <c r="S84" i="13"/>
  <c r="S91" i="13"/>
  <c r="S44" i="13"/>
  <c r="S46" i="13"/>
  <c r="S219" i="13"/>
  <c r="S193" i="13"/>
  <c r="S154" i="13"/>
  <c r="S164" i="13"/>
  <c r="S90" i="13"/>
  <c r="S28" i="13"/>
  <c r="S48" i="13"/>
  <c r="S56" i="13"/>
  <c r="S120" i="13"/>
  <c r="S248" i="13"/>
  <c r="S218" i="13"/>
  <c r="S192" i="13"/>
  <c r="S150" i="13"/>
  <c r="S160" i="13"/>
  <c r="S77" i="13"/>
  <c r="S92" i="13"/>
  <c r="S96" i="13"/>
  <c r="S72" i="13"/>
  <c r="S17" i="13"/>
  <c r="S246" i="13"/>
  <c r="S216" i="13"/>
  <c r="S191" i="13"/>
  <c r="S146" i="13"/>
  <c r="S119" i="13"/>
  <c r="S16" i="13"/>
  <c r="S88" i="13"/>
  <c r="S21" i="13"/>
  <c r="S245" i="13"/>
  <c r="S215" i="13"/>
  <c r="S189" i="13"/>
  <c r="S142" i="13"/>
  <c r="S85" i="13"/>
  <c r="S98" i="13"/>
  <c r="S25" i="13"/>
  <c r="S9" i="13"/>
  <c r="S243" i="13"/>
  <c r="S213" i="13"/>
  <c r="S138" i="13"/>
  <c r="S102" i="13"/>
  <c r="S115" i="13"/>
  <c r="S29" i="13"/>
  <c r="S5" i="13"/>
  <c r="S54" i="13"/>
  <c r="S242" i="13"/>
  <c r="S210" i="13"/>
  <c r="S134" i="13"/>
  <c r="S93" i="13"/>
  <c r="S111" i="13"/>
  <c r="S132" i="13"/>
  <c r="S33" i="13"/>
  <c r="S49" i="13"/>
  <c r="S62" i="13"/>
  <c r="S240" i="13"/>
  <c r="S208" i="13"/>
  <c r="S184" i="13"/>
  <c r="S130" i="13"/>
  <c r="S128" i="13"/>
  <c r="S136" i="13"/>
  <c r="S37" i="13"/>
  <c r="S239" i="13"/>
  <c r="S181" i="13"/>
  <c r="S114" i="13"/>
  <c r="S52" i="13"/>
  <c r="S144" i="13"/>
  <c r="S70" i="13"/>
  <c r="S204" i="13"/>
  <c r="S110" i="13"/>
  <c r="S45" i="13"/>
  <c r="S202" i="13"/>
  <c r="S60" i="13"/>
  <c r="S71" i="13"/>
  <c r="S201" i="13"/>
  <c r="S188" i="13"/>
  <c r="S187" i="13"/>
  <c r="S57" i="13"/>
  <c r="S205" i="13"/>
  <c r="S51" i="13"/>
  <c r="S41" i="13"/>
  <c r="S237" i="13"/>
  <c r="S176" i="13"/>
  <c r="S148" i="13"/>
  <c r="S65" i="13"/>
  <c r="S235" i="13"/>
  <c r="S169" i="13"/>
  <c r="S171" i="13"/>
  <c r="S58" i="13"/>
  <c r="S32" i="13"/>
  <c r="S73" i="13"/>
  <c r="S78" i="13"/>
  <c r="S232" i="13"/>
  <c r="S113" i="13"/>
  <c r="S167" i="13"/>
  <c r="S43" i="13"/>
  <c r="S127" i="13"/>
  <c r="S117" i="13"/>
  <c r="S118" i="13"/>
  <c r="S124" i="13"/>
  <c r="S10" i="13"/>
  <c r="S104" i="13"/>
  <c r="S180" i="13"/>
  <c r="S39" i="13"/>
  <c r="S190" i="13"/>
  <c r="S15" i="13"/>
  <c r="S122" i="13"/>
  <c r="S139" i="13"/>
  <c r="S230" i="13"/>
  <c r="S156" i="13"/>
  <c r="S55" i="13"/>
  <c r="S26" i="13"/>
  <c r="S129" i="13"/>
  <c r="S107" i="13"/>
  <c r="S106" i="13"/>
  <c r="S250" i="13"/>
  <c r="S7" i="13"/>
  <c r="S95" i="13"/>
  <c r="S12" i="13"/>
  <c r="S126" i="13"/>
  <c r="S140" i="13"/>
  <c r="S212" i="13"/>
  <c r="S186" i="13"/>
  <c r="S82" i="13"/>
  <c r="S103" i="13"/>
  <c r="S105" i="13"/>
  <c r="S233" i="13"/>
  <c r="S161" i="13"/>
  <c r="S99" i="13"/>
  <c r="S131" i="13"/>
  <c r="S137" i="13"/>
  <c r="S182" i="13"/>
  <c r="S14" i="13"/>
  <c r="S135" i="13"/>
  <c r="S207" i="13"/>
  <c r="S152" i="13"/>
  <c r="S27" i="13"/>
  <c r="S179" i="13"/>
  <c r="S175" i="13"/>
  <c r="S13" i="13"/>
  <c r="S97" i="13"/>
  <c r="S8" i="13"/>
  <c r="S157" i="13"/>
  <c r="S141" i="13"/>
  <c r="S67" i="13"/>
  <c r="S34" i="13"/>
  <c r="S101" i="13"/>
  <c r="S236" i="13"/>
  <c r="S145" i="13"/>
  <c r="S173" i="13"/>
  <c r="S63" i="13"/>
  <c r="S59" i="13"/>
  <c r="S247" i="13"/>
  <c r="S125" i="13"/>
  <c r="S185" i="13"/>
  <c r="S87" i="13"/>
  <c r="S6" i="13"/>
  <c r="S178" i="13"/>
  <c r="S217" i="13"/>
  <c r="S35" i="13"/>
  <c r="S11" i="13"/>
  <c r="S100" i="13"/>
  <c r="S241" i="13"/>
  <c r="S244" i="13"/>
  <c r="S168" i="13"/>
  <c r="S174" i="13"/>
  <c r="S155" i="13"/>
  <c r="S231" i="13"/>
  <c r="S214" i="13"/>
  <c r="S116" i="13"/>
  <c r="S234" i="13"/>
  <c r="S147" i="13"/>
  <c r="S220" i="13"/>
  <c r="S121" i="13"/>
  <c r="S165" i="13"/>
  <c r="S238" i="13"/>
  <c r="S149" i="13"/>
  <c r="S225" i="13"/>
  <c r="S19" i="13"/>
  <c r="S203" i="13"/>
  <c r="S226" i="13"/>
  <c r="S153" i="13"/>
  <c r="S211" i="13"/>
  <c r="S108" i="13"/>
  <c r="S50" i="13"/>
  <c r="S249" i="13"/>
  <c r="S209" i="13"/>
  <c r="S133" i="13"/>
  <c r="S198" i="13"/>
  <c r="S18" i="13"/>
  <c r="S251" i="13"/>
  <c r="S206" i="13"/>
  <c r="S227" i="13"/>
  <c r="S31" i="13"/>
  <c r="S228" i="13"/>
  <c r="S47" i="13"/>
  <c r="S183" i="13"/>
  <c r="S199" i="13"/>
  <c r="S143" i="13"/>
  <c r="L17" i="12" l="1"/>
  <c r="M17" i="12" s="1" a="1"/>
  <c r="M17" i="12" s="1"/>
  <c r="L16" i="13"/>
  <c r="L18" i="13" s="1"/>
  <c r="L19" i="13" s="1"/>
  <c r="L20" i="13" s="1"/>
  <c r="E28" i="11" l="1"/>
  <c r="N17" i="8"/>
  <c r="D28" i="11" s="1"/>
  <c r="T14" i="8"/>
  <c r="T16" i="8" s="1"/>
  <c r="N14" i="8"/>
  <c r="N16" i="8" s="1"/>
  <c r="S14" i="8"/>
  <c r="S16" i="8" s="1"/>
  <c r="R14" i="8"/>
  <c r="R16" i="8" s="1"/>
  <c r="L10" i="13" l="1"/>
  <c r="L10" i="12"/>
  <c r="T126" i="12" s="1"/>
  <c r="N18" i="8"/>
  <c r="D6" i="11"/>
  <c r="T153" i="12"/>
  <c r="T171" i="12"/>
  <c r="T77" i="12"/>
  <c r="T209" i="12"/>
  <c r="T201" i="12"/>
  <c r="T133" i="12"/>
  <c r="T162" i="12"/>
  <c r="T73" i="12"/>
  <c r="T16" i="12"/>
  <c r="T111" i="12"/>
  <c r="T92" i="12"/>
  <c r="T84" i="12"/>
  <c r="T28" i="12"/>
  <c r="T213" i="12"/>
  <c r="T82" i="12"/>
  <c r="T42" i="12"/>
  <c r="T202" i="12"/>
  <c r="T26" i="12"/>
  <c r="T176" i="12"/>
  <c r="T147" i="12"/>
  <c r="T145" i="12"/>
  <c r="T127" i="12"/>
  <c r="T219" i="12"/>
  <c r="T237" i="12"/>
  <c r="T249" i="12"/>
  <c r="T89" i="12"/>
  <c r="T168" i="12"/>
  <c r="T203" i="12"/>
  <c r="T93" i="12"/>
  <c r="T10" i="12"/>
  <c r="T247" i="12"/>
  <c r="T183" i="12"/>
  <c r="T48" i="12"/>
  <c r="T119" i="12"/>
  <c r="T78" i="12"/>
  <c r="T18" i="12"/>
  <c r="T187" i="12"/>
  <c r="T243" i="12"/>
  <c r="T134" i="12"/>
  <c r="T236" i="12"/>
  <c r="T136" i="12"/>
  <c r="T68" i="12"/>
  <c r="T212" i="12"/>
  <c r="T251" i="12"/>
  <c r="T57" i="12"/>
  <c r="T20" i="12"/>
  <c r="T151" i="12"/>
  <c r="T164" i="12"/>
  <c r="T204" i="12"/>
  <c r="T193" i="12"/>
  <c r="T31" i="12"/>
  <c r="T231" i="12"/>
  <c r="T218" i="12"/>
  <c r="T32" i="12"/>
  <c r="T172" i="12"/>
  <c r="T112" i="12"/>
  <c r="T40" i="12"/>
  <c r="T167" i="12"/>
  <c r="T184" i="12"/>
  <c r="T223" i="12"/>
  <c r="T222" i="12"/>
  <c r="T205" i="12"/>
  <c r="T180" i="12"/>
  <c r="T95" i="12"/>
  <c r="T169" i="12"/>
  <c r="T45" i="12"/>
  <c r="T186" i="12"/>
  <c r="T130" i="12"/>
  <c r="T14" i="12"/>
  <c r="T121" i="12"/>
  <c r="T208" i="12"/>
  <c r="T144" i="12"/>
  <c r="T66" i="12"/>
  <c r="T55" i="12"/>
  <c r="T36" i="12"/>
  <c r="T140" i="12"/>
  <c r="T50" i="12"/>
  <c r="T125" i="12"/>
  <c r="T58" i="12"/>
  <c r="T120" i="12"/>
  <c r="T178" i="12"/>
  <c r="T41" i="12"/>
  <c r="T43" i="12"/>
  <c r="T108" i="12"/>
  <c r="T53" i="12"/>
  <c r="T220" i="12"/>
  <c r="T10" i="13"/>
  <c r="T143" i="13"/>
  <c r="T9" i="13"/>
  <c r="T186" i="13"/>
  <c r="T160" i="13"/>
  <c r="T132" i="13"/>
  <c r="T27" i="13"/>
  <c r="T201" i="13"/>
  <c r="T221" i="13"/>
  <c r="T114" i="13"/>
  <c r="T83" i="13"/>
  <c r="T183" i="13"/>
  <c r="T220" i="13"/>
  <c r="T215" i="13"/>
  <c r="T103" i="13"/>
  <c r="T11" i="13"/>
  <c r="T87" i="13"/>
  <c r="T249" i="13"/>
  <c r="T179" i="13"/>
  <c r="T17" i="13"/>
  <c r="T84" i="13"/>
  <c r="T5" i="13"/>
  <c r="T140" i="13"/>
  <c r="T66" i="13"/>
  <c r="T15" i="13"/>
  <c r="T210" i="13"/>
  <c r="T110" i="13"/>
  <c r="T41" i="13"/>
  <c r="T75" i="13"/>
  <c r="T176" i="13"/>
  <c r="T199" i="13"/>
  <c r="T231" i="13"/>
  <c r="T102" i="13"/>
  <c r="T115" i="13"/>
  <c r="T123" i="13"/>
  <c r="T109" i="13"/>
  <c r="T187" i="13"/>
  <c r="T146" i="13"/>
  <c r="T135" i="13"/>
  <c r="T212" i="13"/>
  <c r="T241" i="13"/>
  <c r="T242" i="13"/>
  <c r="T95" i="13"/>
  <c r="T248" i="13"/>
  <c r="T55" i="13"/>
  <c r="T205" i="13"/>
  <c r="T118" i="13"/>
  <c r="T30" i="13"/>
  <c r="T153" i="13"/>
  <c r="T107" i="13"/>
  <c r="T250" i="13"/>
  <c r="T164" i="13"/>
  <c r="T65" i="13"/>
  <c r="T173" i="13"/>
  <c r="T246" i="13"/>
  <c r="T222" i="13"/>
  <c r="T129" i="13"/>
  <c r="T233" i="13"/>
  <c r="T59" i="13"/>
  <c r="T58" i="13"/>
  <c r="T49" i="13"/>
  <c r="T70" i="13"/>
  <c r="T106" i="13"/>
  <c r="T224" i="13"/>
  <c r="T161" i="13"/>
  <c r="T108" i="13"/>
  <c r="T230" i="13"/>
  <c r="T251" i="13"/>
  <c r="T74" i="13"/>
  <c r="T99" i="13"/>
  <c r="T60" i="13"/>
  <c r="T195" i="13"/>
  <c r="T128" i="13"/>
  <c r="T138" i="13"/>
  <c r="T79" i="13"/>
  <c r="T177" i="13"/>
  <c r="T207" i="13"/>
  <c r="T226" i="13"/>
  <c r="T168" i="13"/>
  <c r="T23" i="13"/>
  <c r="T166" i="13"/>
  <c r="T19" i="13"/>
  <c r="T43" i="13"/>
  <c r="T218" i="13"/>
  <c r="T237" i="13"/>
  <c r="T124" i="13"/>
  <c r="T14" i="13"/>
  <c r="T149" i="13"/>
  <c r="T121" i="13"/>
  <c r="T50" i="13"/>
  <c r="T101" i="13"/>
  <c r="T44" i="13"/>
  <c r="T88" i="13"/>
  <c r="T81" i="13"/>
  <c r="T144" i="13"/>
  <c r="T46" i="13"/>
  <c r="T200" i="13"/>
  <c r="T142" i="13"/>
  <c r="T52" i="12"/>
  <c r="T230" i="12"/>
  <c r="T49" i="12"/>
  <c r="T104" i="12"/>
  <c r="T229" i="12"/>
  <c r="T9" i="12"/>
  <c r="T72" i="12"/>
  <c r="T34" i="12"/>
  <c r="T96" i="12"/>
  <c r="T67" i="13"/>
  <c r="T163" i="13"/>
  <c r="T94" i="13"/>
  <c r="T158" i="13"/>
  <c r="T147" i="13"/>
  <c r="T130" i="13"/>
  <c r="T45" i="13"/>
  <c r="T178" i="13"/>
  <c r="T192" i="13"/>
  <c r="T245" i="12"/>
  <c r="T192" i="12"/>
  <c r="T198" i="12"/>
  <c r="T114" i="12"/>
  <c r="T98" i="12"/>
  <c r="T29" i="12"/>
  <c r="T74" i="12"/>
  <c r="T142" i="12"/>
  <c r="T27" i="12"/>
  <c r="T235" i="13"/>
  <c r="T76" i="13"/>
  <c r="T170" i="13"/>
  <c r="T243" i="13"/>
  <c r="T189" i="13"/>
  <c r="T16" i="13"/>
  <c r="T209" i="13"/>
  <c r="T91" i="13"/>
  <c r="T217" i="13"/>
  <c r="T86" i="12" l="1"/>
  <c r="T65" i="12"/>
  <c r="T11" i="12"/>
  <c r="T61" i="12"/>
  <c r="T148" i="12"/>
  <c r="T128" i="12"/>
  <c r="T118" i="12"/>
  <c r="T85" i="12"/>
  <c r="T122" i="12"/>
  <c r="T15" i="12"/>
  <c r="T81" i="12"/>
  <c r="T239" i="12"/>
  <c r="T135" i="12"/>
  <c r="T166" i="12"/>
  <c r="T235" i="12"/>
  <c r="T242" i="12"/>
  <c r="T64" i="12"/>
  <c r="T160" i="12"/>
  <c r="T83" i="12"/>
  <c r="T216" i="12"/>
  <c r="T228" i="12"/>
  <c r="T109" i="12"/>
  <c r="T181" i="12"/>
  <c r="T248" i="12"/>
  <c r="T75" i="12"/>
  <c r="T17" i="12"/>
  <c r="T196" i="12"/>
  <c r="T214" i="12"/>
  <c r="T179" i="12"/>
  <c r="T244" i="12"/>
  <c r="T62" i="12"/>
  <c r="T191" i="12"/>
  <c r="T211" i="12"/>
  <c r="T33" i="12"/>
  <c r="T138" i="12"/>
  <c r="T206" i="12"/>
  <c r="T115" i="12"/>
  <c r="T37" i="12"/>
  <c r="T60" i="12"/>
  <c r="T7" i="12"/>
  <c r="T149" i="12"/>
  <c r="T250" i="12"/>
  <c r="T39" i="12"/>
  <c r="T199" i="12"/>
  <c r="T113" i="12"/>
  <c r="T189" i="12"/>
  <c r="T100" i="12"/>
  <c r="T94" i="12"/>
  <c r="T200" i="12"/>
  <c r="T67" i="12"/>
  <c r="T51" i="12"/>
  <c r="T79" i="12"/>
  <c r="T24" i="12"/>
  <c r="T194" i="12"/>
  <c r="T59" i="12"/>
  <c r="T177" i="12"/>
  <c r="T88" i="12"/>
  <c r="T175" i="12"/>
  <c r="T221" i="12"/>
  <c r="T207" i="12"/>
  <c r="T25" i="12"/>
  <c r="T225" i="12"/>
  <c r="T163" i="12"/>
  <c r="T185" i="12"/>
  <c r="T87" i="12"/>
  <c r="T159" i="12"/>
  <c r="T210" i="12"/>
  <c r="T117" i="12"/>
  <c r="T76" i="12"/>
  <c r="T238" i="12"/>
  <c r="T170" i="12"/>
  <c r="T233" i="12"/>
  <c r="T90" i="12"/>
  <c r="T173" i="12"/>
  <c r="T240" i="12"/>
  <c r="T132" i="12"/>
  <c r="T38" i="12"/>
  <c r="T131" i="12"/>
  <c r="T46" i="12"/>
  <c r="T99" i="12"/>
  <c r="T246" i="12"/>
  <c r="T54" i="12"/>
  <c r="T224" i="12"/>
  <c r="T129" i="12"/>
  <c r="T23" i="12"/>
  <c r="T232" i="12"/>
  <c r="T155" i="12"/>
  <c r="T110" i="12"/>
  <c r="T106" i="12"/>
  <c r="T234" i="12"/>
  <c r="T12" i="12"/>
  <c r="T4" i="12"/>
  <c r="T47" i="12"/>
  <c r="T91" i="12"/>
  <c r="T63" i="12"/>
  <c r="T69" i="12"/>
  <c r="T35" i="12"/>
  <c r="T190" i="12"/>
  <c r="T217" i="12"/>
  <c r="T8" i="12"/>
  <c r="T71" i="12"/>
  <c r="T156" i="12"/>
  <c r="T174" i="12"/>
  <c r="T30" i="12"/>
  <c r="T56" i="12"/>
  <c r="T97" i="12"/>
  <c r="T143" i="12"/>
  <c r="T6" i="12"/>
  <c r="T197" i="12"/>
  <c r="T182" i="12"/>
  <c r="T80" i="12"/>
  <c r="T101" i="12"/>
  <c r="T21" i="12"/>
  <c r="T152" i="12"/>
  <c r="T146" i="12"/>
  <c r="T227" i="12"/>
  <c r="T195" i="12"/>
  <c r="T158" i="12"/>
  <c r="T102" i="12"/>
  <c r="T241" i="12"/>
  <c r="T215" i="12"/>
  <c r="T13" i="12"/>
  <c r="T124" i="12"/>
  <c r="T226" i="12"/>
  <c r="T150" i="12"/>
  <c r="T70" i="12"/>
  <c r="T116" i="12"/>
  <c r="T165" i="12"/>
  <c r="T139" i="12"/>
  <c r="T19" i="12"/>
  <c r="T123" i="12"/>
  <c r="T105" i="12"/>
  <c r="T188" i="12"/>
  <c r="T5" i="12"/>
  <c r="T141" i="12"/>
  <c r="T161" i="12"/>
  <c r="T103" i="12"/>
  <c r="T154" i="12"/>
  <c r="T107" i="12"/>
  <c r="T157" i="12"/>
  <c r="T22" i="12"/>
  <c r="T137" i="12"/>
  <c r="T44" i="12"/>
  <c r="T216" i="13"/>
  <c r="T32" i="13"/>
  <c r="T18" i="13"/>
  <c r="T214" i="13"/>
  <c r="T198" i="13"/>
  <c r="T167" i="13"/>
  <c r="T190" i="13"/>
  <c r="T244" i="13"/>
  <c r="T85" i="13"/>
  <c r="T236" i="13"/>
  <c r="T31" i="13"/>
  <c r="T97" i="13"/>
  <c r="T40" i="13"/>
  <c r="T54" i="13"/>
  <c r="T29" i="13"/>
  <c r="T36" i="13"/>
  <c r="T112" i="13"/>
  <c r="T61" i="13"/>
  <c r="T86" i="13"/>
  <c r="T172" i="13"/>
  <c r="T22" i="13"/>
  <c r="T63" i="13"/>
  <c r="T52" i="13"/>
  <c r="T228" i="13"/>
  <c r="T72" i="13"/>
  <c r="T154" i="13"/>
  <c r="T239" i="13"/>
  <c r="T131" i="13"/>
  <c r="T21" i="13"/>
  <c r="T247" i="13"/>
  <c r="T162" i="13"/>
  <c r="T82" i="13"/>
  <c r="T157" i="13"/>
  <c r="T232" i="13"/>
  <c r="T151" i="13"/>
  <c r="T8" i="13"/>
  <c r="T73" i="13"/>
  <c r="T37" i="13"/>
  <c r="T24" i="13"/>
  <c r="T203" i="13"/>
  <c r="T111" i="13"/>
  <c r="T71" i="13"/>
  <c r="T93" i="13"/>
  <c r="T234" i="13"/>
  <c r="T134" i="13"/>
  <c r="T80" i="13"/>
  <c r="T171" i="13"/>
  <c r="T42" i="13"/>
  <c r="T225" i="13"/>
  <c r="T141" i="13"/>
  <c r="T238" i="13"/>
  <c r="T191" i="13"/>
  <c r="T155" i="13"/>
  <c r="T229" i="13"/>
  <c r="T150" i="13"/>
  <c r="T28" i="13"/>
  <c r="T104" i="13"/>
  <c r="T245" i="13"/>
  <c r="T90" i="13"/>
  <c r="T12" i="13"/>
  <c r="T185" i="13"/>
  <c r="T175" i="13"/>
  <c r="T208" i="13"/>
  <c r="T47" i="13"/>
  <c r="T51" i="13"/>
  <c r="T53" i="13"/>
  <c r="T13" i="13"/>
  <c r="T38" i="13"/>
  <c r="T152" i="13"/>
  <c r="T57" i="13"/>
  <c r="T181" i="13"/>
  <c r="T98" i="13"/>
  <c r="T125" i="13"/>
  <c r="T206" i="13"/>
  <c r="T211" i="13"/>
  <c r="T139" i="13"/>
  <c r="T127" i="13"/>
  <c r="T4" i="13"/>
  <c r="T133" i="13"/>
  <c r="T126" i="13"/>
  <c r="T62" i="13"/>
  <c r="T122" i="13"/>
  <c r="T219" i="13"/>
  <c r="T113" i="13"/>
  <c r="T100" i="13"/>
  <c r="T20" i="13"/>
  <c r="T7" i="13"/>
  <c r="T193" i="13"/>
  <c r="T223" i="13"/>
  <c r="T56" i="13"/>
  <c r="T204" i="13"/>
  <c r="T137" i="13"/>
  <c r="T39" i="13"/>
  <c r="T184" i="13"/>
  <c r="T148" i="13"/>
  <c r="T159" i="13"/>
  <c r="T77" i="13"/>
  <c r="T182" i="13"/>
  <c r="T180" i="13"/>
  <c r="T196" i="13"/>
  <c r="T188" i="13"/>
  <c r="T174" i="13"/>
  <c r="T25" i="13"/>
  <c r="T136" i="13"/>
  <c r="T120" i="13"/>
  <c r="T69" i="13"/>
  <c r="T156" i="13"/>
  <c r="T197" i="13"/>
  <c r="T145" i="13"/>
  <c r="T78" i="13"/>
  <c r="T165" i="13"/>
  <c r="T48" i="13"/>
  <c r="T194" i="13"/>
  <c r="T227" i="13"/>
  <c r="T92" i="13"/>
  <c r="T26" i="13"/>
  <c r="T105" i="13"/>
  <c r="T116" i="13"/>
  <c r="T89" i="13"/>
  <c r="T213" i="13"/>
  <c r="T169" i="13"/>
  <c r="T34" i="13"/>
  <c r="T119" i="13"/>
  <c r="T96" i="13"/>
  <c r="T33" i="13"/>
  <c r="T117" i="13"/>
  <c r="T202" i="13"/>
  <c r="T240" i="13"/>
  <c r="T64" i="13"/>
  <c r="T6" i="13"/>
  <c r="T35" i="13"/>
  <c r="T68" i="13"/>
  <c r="L18" i="12" l="1"/>
  <c r="M18" i="12" s="1" a="1"/>
  <c r="M18" i="12" s="1"/>
  <c r="M16" i="13"/>
  <c r="M18" i="13" l="1"/>
  <c r="M19" i="13" s="1"/>
  <c r="M20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<sst xmlns="http://schemas.openxmlformats.org/spreadsheetml/2006/main" count="304" uniqueCount="109">
  <si>
    <t>Date</t>
  </si>
  <si>
    <t>Open</t>
  </si>
  <si>
    <t>High</t>
  </si>
  <si>
    <t>Low</t>
  </si>
  <si>
    <t>Close</t>
  </si>
  <si>
    <t>JPM</t>
  </si>
  <si>
    <t>MS</t>
  </si>
  <si>
    <t>BAC</t>
  </si>
  <si>
    <t>Weights</t>
  </si>
  <si>
    <t>Portfolio</t>
  </si>
  <si>
    <t>Investment Amt.</t>
  </si>
  <si>
    <t>Mean</t>
  </si>
  <si>
    <t xml:space="preserve">Stocks Value </t>
  </si>
  <si>
    <t>Portfolio Mean</t>
  </si>
  <si>
    <t>Return</t>
  </si>
  <si>
    <t>OR</t>
  </si>
  <si>
    <t>Mean Return of Stock</t>
  </si>
  <si>
    <t>Mean Return of Portfolio</t>
  </si>
  <si>
    <t>Standard Deviation</t>
  </si>
  <si>
    <t>of Portfolio</t>
  </si>
  <si>
    <t>Volatility</t>
  </si>
  <si>
    <t>VaR Using Variance Covariance Method</t>
  </si>
  <si>
    <t>Std. Dev</t>
  </si>
  <si>
    <t>CI</t>
  </si>
  <si>
    <t>Alpha</t>
  </si>
  <si>
    <t>Portfolio Value</t>
  </si>
  <si>
    <t>1 Day VaR</t>
  </si>
  <si>
    <t>Returns of Portfolio</t>
  </si>
  <si>
    <t>Assumption</t>
  </si>
  <si>
    <t>Total No. of Returns</t>
  </si>
  <si>
    <t>Historic VaR is at Position</t>
  </si>
  <si>
    <t>Historic VaR is at Position (Rounded)</t>
  </si>
  <si>
    <t>Rank</t>
  </si>
  <si>
    <t>Returns at specific position</t>
  </si>
  <si>
    <t>W1</t>
  </si>
  <si>
    <t>W2</t>
  </si>
  <si>
    <t>W3</t>
  </si>
  <si>
    <t>Correlation</t>
  </si>
  <si>
    <t>Cholesky Decomposition</t>
  </si>
  <si>
    <t>Uncorrelated Random Variable</t>
  </si>
  <si>
    <t>Correlated Random Variable</t>
  </si>
  <si>
    <t>Historical Price</t>
  </si>
  <si>
    <t>Portfolio Return</t>
  </si>
  <si>
    <t>Variance Covariance</t>
  </si>
  <si>
    <t>Historical Simulation</t>
  </si>
  <si>
    <t>Monte Carlo Simulation</t>
  </si>
  <si>
    <t>99% CI</t>
  </si>
  <si>
    <t xml:space="preserve">1 Day VaR @ </t>
  </si>
  <si>
    <t>Wiener Process or Brownian Motion</t>
  </si>
  <si>
    <t>Simulation</t>
  </si>
  <si>
    <t>Arranging Returns in Ascending Order</t>
  </si>
  <si>
    <t>Simulate Stock Price</t>
  </si>
  <si>
    <t>Assumption on Weights of the Stocks</t>
  </si>
  <si>
    <t>95% CI</t>
  </si>
  <si>
    <t>90% CI</t>
  </si>
  <si>
    <t>Value at Risk (VaR)</t>
  </si>
  <si>
    <t>Z Value</t>
  </si>
  <si>
    <t>Returns</t>
  </si>
  <si>
    <t>Covariance Matrix</t>
  </si>
  <si>
    <t>Total No. of Data</t>
  </si>
  <si>
    <t>Drift (Average Return)</t>
  </si>
  <si>
    <t>VaR is at Position</t>
  </si>
  <si>
    <t>VaR is at Position (Rounded)</t>
  </si>
  <si>
    <t>VaR Using Monte Carlo Simulation Method</t>
  </si>
  <si>
    <t>VaR Using Historical Method</t>
  </si>
  <si>
    <t>Assumptions</t>
  </si>
  <si>
    <t>Value at Risk (VaR) Backtesting - Traffic Light Approach</t>
  </si>
  <si>
    <t>Historical Method</t>
  </si>
  <si>
    <t>Monte Carlo Simulation Method</t>
  </si>
  <si>
    <t>Backtesting Value at Risk</t>
  </si>
  <si>
    <t>Green Zone</t>
  </si>
  <si>
    <t>Yellow Zone</t>
  </si>
  <si>
    <t>Red Zone</t>
  </si>
  <si>
    <t>0 to 4</t>
  </si>
  <si>
    <t>5 to 9</t>
  </si>
  <si>
    <t>Greater than 10</t>
  </si>
  <si>
    <t>Basel Traffic Light Approach</t>
  </si>
  <si>
    <t>Backtest</t>
  </si>
  <si>
    <t>1 Day VaR @ 99% CI</t>
  </si>
  <si>
    <t>Portfolio R</t>
  </si>
  <si>
    <t>Percentile Approach</t>
  </si>
  <si>
    <t>Sims</t>
  </si>
  <si>
    <t>S1</t>
  </si>
  <si>
    <t>S2</t>
  </si>
  <si>
    <t>S3</t>
  </si>
  <si>
    <t>p value</t>
  </si>
  <si>
    <t>1 day VaR Backtest @ 99% CI</t>
  </si>
  <si>
    <t>Reliable</t>
  </si>
  <si>
    <t xml:space="preserve">Reliable </t>
  </si>
  <si>
    <t>p value &gt; 5%</t>
  </si>
  <si>
    <t>PnL</t>
  </si>
  <si>
    <t>Expected Shortfall</t>
  </si>
  <si>
    <t>ES @</t>
  </si>
  <si>
    <t>Monte Carlo  Method</t>
  </si>
  <si>
    <t>10 Day VaR</t>
  </si>
  <si>
    <t>Historical Data</t>
  </si>
  <si>
    <t>Daily  Returns</t>
  </si>
  <si>
    <t>Portfolio Daily Returns</t>
  </si>
  <si>
    <t>VaR - Percentile Approach</t>
  </si>
  <si>
    <t>Portfoilo Returns</t>
  </si>
  <si>
    <t>S0 (As on 30/10/2025)</t>
  </si>
  <si>
    <t xml:space="preserve">S0 </t>
  </si>
  <si>
    <t>(As on 30/10/2023)</t>
  </si>
  <si>
    <t>x (no. of violation)</t>
  </si>
  <si>
    <t>n (total no. of observation)</t>
  </si>
  <si>
    <t>p^​ (observed probability)</t>
  </si>
  <si>
    <t>p (expected probability (CI))</t>
  </si>
  <si>
    <t>LR (Likelihood ratio)</t>
  </si>
  <si>
    <t xml:space="preserve">n (total no. of observation)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</si>
</sst>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00%"/>
    <numFmt numFmtId="168" formatCode="0.0000%"/>
    <numFmt numFmtId="169" formatCode="&quot;$&quot;#,##0.00"/>
    <numFmt numFmtId="170" formatCode="&quot;$&quot;#,##0"/>
    <numFmt numFmtId="171" formatCode="_(&quot;$&quot;* #,##0_);_(&quot;$&quot;* \(#,##0\);_(&quot;$&quot;* &quot;-&quot;??_);_(@_)"/>
    <numFmt numFmtId="172" formatCode="0.000"/>
  </numFmts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77">
    <xf numFmtId="0" fontId="0" fillId="0" borderId="0" xfId="0"/>
    <xf numFmtId="14" fontId="0" fillId="0" borderId="0" xfId="0" applyNumberFormat="1"/>
    <xf numFmtId="0" fontId="1" fillId="2" borderId="0" xfId="0" applyFont="1" applyFill="1"/>
    <xf numFmtId="2" fontId="0" fillId="0" borderId="0" xfId="0" applyNumberFormat="1"/>
    <xf numFmtId="10" fontId="0" fillId="0" borderId="0" xfId="1" applyNumberFormat="1" applyFont="1"/>
    <xf numFmtId="9" fontId="0" fillId="0" borderId="0" xfId="0" applyNumberFormat="1"/>
    <xf numFmtId="10" fontId="0" fillId="0" borderId="0" xfId="0" applyNumberFormat="1"/>
    <xf numFmtId="168" fontId="4" fillId="0" borderId="0" xfId="1" applyNumberFormat="1" applyFont="1"/>
    <xf numFmtId="168" fontId="4" fillId="0" borderId="0" xfId="0" applyNumberFormat="1" applyFont="1"/>
    <xf numFmtId="0" fontId="3" fillId="0" borderId="0" xfId="0" applyFont="1"/>
    <xf numFmtId="167" fontId="0" fillId="0" borderId="0" xfId="1" applyNumberFormat="1" applyFont="1" applyFill="1" applyBorder="1" applyAlignment="1"/>
    <xf numFmtId="167" fontId="0" fillId="0" borderId="1" xfId="1" applyNumberFormat="1" applyFont="1" applyFill="1" applyBorder="1" applyAlignment="1"/>
    <xf numFmtId="10" fontId="4" fillId="0" borderId="0" xfId="0" applyNumberFormat="1" applyFont="1"/>
    <xf numFmtId="0" fontId="4" fillId="0" borderId="0" xfId="0" applyFont="1" applyAlignment="1">
      <alignment horizontal="center"/>
    </xf>
    <xf numFmtId="169" fontId="0" fillId="0" borderId="0" xfId="0" applyNumberFormat="1"/>
    <xf numFmtId="167" fontId="0" fillId="0" borderId="0" xfId="0" applyNumberFormat="1"/>
    <xf numFmtId="9" fontId="4" fillId="0" borderId="0" xfId="0" applyNumberFormat="1" applyFont="1"/>
    <xf numFmtId="0" fontId="6" fillId="2" borderId="0" xfId="0" applyFont="1" applyFill="1"/>
    <xf numFmtId="170" fontId="0" fillId="0" borderId="0" xfId="2" applyNumberFormat="1" applyFont="1"/>
    <xf numFmtId="9" fontId="0" fillId="0" borderId="0" xfId="1" applyFont="1"/>
    <xf numFmtId="171" fontId="0" fillId="0" borderId="0" xfId="3" applyNumberFormat="1" applyFont="1" applyBorder="1"/>
    <xf numFmtId="171" fontId="4" fillId="0" borderId="3" xfId="0" applyNumberFormat="1" applyFont="1" applyBorder="1"/>
    <xf numFmtId="171" fontId="4" fillId="0" borderId="4" xfId="0" applyNumberFormat="1" applyFont="1" applyBorder="1"/>
    <xf numFmtId="0" fontId="4" fillId="0" borderId="0" xfId="0" applyFont="1"/>
    <xf numFmtId="172" fontId="0" fillId="0" borderId="0" xfId="0" applyNumberFormat="1"/>
    <xf numFmtId="0" fontId="1" fillId="2" borderId="10" xfId="0" applyFont="1" applyFill="1" applyBorder="1"/>
    <xf numFmtId="0" fontId="1" fillId="2" borderId="8" xfId="0" applyFont="1" applyFill="1" applyBorder="1"/>
    <xf numFmtId="9" fontId="4" fillId="0" borderId="6" xfId="0" applyNumberFormat="1" applyFont="1" applyBorder="1" applyAlignment="1">
      <alignment horizontal="center"/>
    </xf>
    <xf numFmtId="9" fontId="4" fillId="0" borderId="7" xfId="0" applyNumberFormat="1" applyFont="1" applyBorder="1" applyAlignment="1">
      <alignment horizontal="center"/>
    </xf>
    <xf numFmtId="171" fontId="0" fillId="0" borderId="3" xfId="0" applyNumberFormat="1" applyBorder="1"/>
    <xf numFmtId="0" fontId="5" fillId="0" borderId="0" xfId="0" applyFont="1"/>
    <xf numFmtId="0" fontId="6" fillId="2" borderId="0" xfId="0" applyFont="1" applyFill="1" applyAlignment="1">
      <alignment horizontal="center"/>
    </xf>
    <xf numFmtId="168" fontId="0" fillId="0" borderId="0" xfId="0" applyNumberFormat="1"/>
    <xf numFmtId="0" fontId="7" fillId="2" borderId="6" xfId="0" applyFont="1" applyFill="1" applyBorder="1" applyAlignment="1">
      <alignment vertical="center"/>
    </xf>
    <xf numFmtId="166" fontId="0" fillId="0" borderId="0" xfId="2" applyFont="1"/>
    <xf numFmtId="0" fontId="6" fillId="2" borderId="5" xfId="0" applyFont="1" applyFill="1" applyBorder="1" applyAlignment="1">
      <alignment vertical="center"/>
    </xf>
    <xf numFmtId="9" fontId="4" fillId="0" borderId="12" xfId="0" applyNumberFormat="1" applyFon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1" fillId="3" borderId="13" xfId="0" applyFont="1" applyFill="1" applyBorder="1"/>
    <xf numFmtId="0" fontId="1" fillId="3" borderId="9" xfId="0" applyFont="1" applyFill="1" applyBorder="1"/>
    <xf numFmtId="0" fontId="9" fillId="2" borderId="10" xfId="0" applyFont="1" applyFill="1" applyBorder="1"/>
    <xf numFmtId="10" fontId="1" fillId="2" borderId="0" xfId="1" applyNumberFormat="1" applyFont="1" applyFill="1"/>
    <xf numFmtId="2" fontId="4" fillId="0" borderId="0" xfId="0" applyNumberFormat="1" applyFont="1"/>
    <xf numFmtId="0" fontId="4" fillId="4" borderId="0" xfId="0" applyFont="1" applyFill="1"/>
    <xf numFmtId="0" fontId="6" fillId="3" borderId="0" xfId="0" applyFont="1" applyFill="1"/>
    <xf numFmtId="0" fontId="6" fillId="5" borderId="0" xfId="0" applyFont="1" applyFill="1"/>
    <xf numFmtId="0" fontId="1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171" fontId="0" fillId="0" borderId="3" xfId="0" applyNumberFormat="1" applyBorder="1" applyAlignment="1">
      <alignment horizontal="left"/>
    </xf>
    <xf numFmtId="0" fontId="12" fillId="0" borderId="0" xfId="0" applyFont="1"/>
    <xf numFmtId="0" fontId="1" fillId="2" borderId="0" xfId="0" applyFont="1" applyFill="1" applyAlignment="1">
      <alignment horizontal="center"/>
    </xf>
    <xf numFmtId="0" fontId="6" fillId="2" borderId="6" xfId="0" applyFont="1" applyFill="1" applyBorder="1"/>
    <xf numFmtId="0" fontId="6" fillId="2" borderId="7" xfId="0" applyFont="1" applyFill="1" applyBorder="1"/>
    <xf numFmtId="0" fontId="11" fillId="2" borderId="10" xfId="0" applyFont="1" applyFill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171" fontId="0" fillId="0" borderId="3" xfId="0" applyNumberForma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171" fontId="0" fillId="0" borderId="11" xfId="0" applyNumberFormat="1" applyBorder="1"/>
    <xf numFmtId="164" fontId="0" fillId="0" borderId="0" xfId="0" applyNumberFormat="1"/>
    <xf numFmtId="0" fontId="0" fillId="0" borderId="14" xfId="0" applyBorder="1"/>
    <xf numFmtId="164" fontId="0" fillId="0" borderId="14" xfId="0" applyNumberFormat="1" applyBorder="1"/>
    <xf numFmtId="0" fontId="5" fillId="0" borderId="2" xfId="0" applyFont="1" applyBorder="1" applyAlignment="1">
      <alignment horizontal="center"/>
    </xf>
    <xf numFmtId="171" fontId="4" fillId="0" borderId="0" xfId="0" applyNumberFormat="1" applyFont="1"/>
    <xf numFmtId="0" fontId="10" fillId="0" borderId="2" xfId="0" applyFont="1" applyBorder="1" applyAlignment="1">
      <alignment horizontal="center"/>
    </xf>
    <xf numFmtId="2" fontId="0" fillId="0" borderId="1" xfId="0" applyNumberFormat="1" applyBorder="1"/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'Variance Covariance'!$M$5</c:f>
              <c:strCache>
                <c:ptCount val="1"/>
                <c:pt idx="0">
                  <c:v>JPM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'Variance Covariance'!$L$6:$L$254</c:f>
              <c:numCache>
                <c:formatCode>m/d/yyyy</c:formatCode>
                <c:ptCount val="249"/>
                <c:pt idx="0">
                  <c:v>45597</c:v>
                </c:pt>
                <c:pt idx="1">
                  <c:v>45600</c:v>
                </c:pt>
                <c:pt idx="2">
                  <c:v>45601</c:v>
                </c:pt>
                <c:pt idx="3">
                  <c:v>45602</c:v>
                </c:pt>
                <c:pt idx="4">
                  <c:v>45603</c:v>
                </c:pt>
                <c:pt idx="5">
                  <c:v>45604</c:v>
                </c:pt>
                <c:pt idx="6">
                  <c:v>45607</c:v>
                </c:pt>
                <c:pt idx="7">
                  <c:v>45608</c:v>
                </c:pt>
                <c:pt idx="8">
                  <c:v>45609</c:v>
                </c:pt>
                <c:pt idx="9">
                  <c:v>45610</c:v>
                </c:pt>
                <c:pt idx="10">
                  <c:v>45611</c:v>
                </c:pt>
                <c:pt idx="11">
                  <c:v>45614</c:v>
                </c:pt>
                <c:pt idx="12">
                  <c:v>45615</c:v>
                </c:pt>
                <c:pt idx="13">
                  <c:v>45616</c:v>
                </c:pt>
                <c:pt idx="14">
                  <c:v>45617</c:v>
                </c:pt>
                <c:pt idx="15">
                  <c:v>45618</c:v>
                </c:pt>
                <c:pt idx="16">
                  <c:v>45621</c:v>
                </c:pt>
                <c:pt idx="17">
                  <c:v>45622</c:v>
                </c:pt>
                <c:pt idx="18">
                  <c:v>45623</c:v>
                </c:pt>
                <c:pt idx="19">
                  <c:v>45625</c:v>
                </c:pt>
                <c:pt idx="20">
                  <c:v>45628</c:v>
                </c:pt>
                <c:pt idx="21">
                  <c:v>45629</c:v>
                </c:pt>
                <c:pt idx="22">
                  <c:v>45630</c:v>
                </c:pt>
                <c:pt idx="23">
                  <c:v>45631</c:v>
                </c:pt>
                <c:pt idx="24">
                  <c:v>45632</c:v>
                </c:pt>
                <c:pt idx="25">
                  <c:v>45635</c:v>
                </c:pt>
                <c:pt idx="26">
                  <c:v>45636</c:v>
                </c:pt>
                <c:pt idx="27">
                  <c:v>45637</c:v>
                </c:pt>
                <c:pt idx="28">
                  <c:v>45638</c:v>
                </c:pt>
                <c:pt idx="29">
                  <c:v>45639</c:v>
                </c:pt>
                <c:pt idx="30">
                  <c:v>45642</c:v>
                </c:pt>
                <c:pt idx="31">
                  <c:v>45643</c:v>
                </c:pt>
                <c:pt idx="32">
                  <c:v>45644</c:v>
                </c:pt>
                <c:pt idx="33">
                  <c:v>45645</c:v>
                </c:pt>
                <c:pt idx="34">
                  <c:v>45646</c:v>
                </c:pt>
                <c:pt idx="35">
                  <c:v>45649</c:v>
                </c:pt>
                <c:pt idx="36">
                  <c:v>45650</c:v>
                </c:pt>
                <c:pt idx="37">
                  <c:v>45652</c:v>
                </c:pt>
                <c:pt idx="38">
                  <c:v>45653</c:v>
                </c:pt>
                <c:pt idx="39">
                  <c:v>45656</c:v>
                </c:pt>
                <c:pt idx="40">
                  <c:v>45657</c:v>
                </c:pt>
                <c:pt idx="41">
                  <c:v>45659</c:v>
                </c:pt>
                <c:pt idx="42">
                  <c:v>45660</c:v>
                </c:pt>
                <c:pt idx="43">
                  <c:v>45663</c:v>
                </c:pt>
                <c:pt idx="44">
                  <c:v>45664</c:v>
                </c:pt>
                <c:pt idx="45">
                  <c:v>45665</c:v>
                </c:pt>
                <c:pt idx="46">
                  <c:v>45667</c:v>
                </c:pt>
                <c:pt idx="47">
                  <c:v>45670</c:v>
                </c:pt>
                <c:pt idx="48">
                  <c:v>45671</c:v>
                </c:pt>
                <c:pt idx="49">
                  <c:v>45672</c:v>
                </c:pt>
                <c:pt idx="50">
                  <c:v>45673</c:v>
                </c:pt>
                <c:pt idx="51">
                  <c:v>45674</c:v>
                </c:pt>
                <c:pt idx="52">
                  <c:v>45678</c:v>
                </c:pt>
                <c:pt idx="53">
                  <c:v>45679</c:v>
                </c:pt>
                <c:pt idx="54">
                  <c:v>45680</c:v>
                </c:pt>
                <c:pt idx="55">
                  <c:v>45681</c:v>
                </c:pt>
                <c:pt idx="56">
                  <c:v>45684</c:v>
                </c:pt>
                <c:pt idx="57">
                  <c:v>45685</c:v>
                </c:pt>
                <c:pt idx="58">
                  <c:v>45686</c:v>
                </c:pt>
                <c:pt idx="59">
                  <c:v>45687</c:v>
                </c:pt>
                <c:pt idx="60">
                  <c:v>45688</c:v>
                </c:pt>
                <c:pt idx="61">
                  <c:v>45691</c:v>
                </c:pt>
                <c:pt idx="62">
                  <c:v>45692</c:v>
                </c:pt>
                <c:pt idx="63">
                  <c:v>45693</c:v>
                </c:pt>
                <c:pt idx="64">
                  <c:v>45694</c:v>
                </c:pt>
                <c:pt idx="65">
                  <c:v>45695</c:v>
                </c:pt>
                <c:pt idx="66">
                  <c:v>45698</c:v>
                </c:pt>
                <c:pt idx="67">
                  <c:v>45699</c:v>
                </c:pt>
                <c:pt idx="68">
                  <c:v>45700</c:v>
                </c:pt>
                <c:pt idx="69">
                  <c:v>45701</c:v>
                </c:pt>
                <c:pt idx="70">
                  <c:v>45702</c:v>
                </c:pt>
                <c:pt idx="71">
                  <c:v>45706</c:v>
                </c:pt>
                <c:pt idx="72">
                  <c:v>45707</c:v>
                </c:pt>
                <c:pt idx="73">
                  <c:v>45708</c:v>
                </c:pt>
                <c:pt idx="74">
                  <c:v>45709</c:v>
                </c:pt>
                <c:pt idx="75">
                  <c:v>45712</c:v>
                </c:pt>
                <c:pt idx="76">
                  <c:v>45713</c:v>
                </c:pt>
                <c:pt idx="77">
                  <c:v>45714</c:v>
                </c:pt>
                <c:pt idx="78">
                  <c:v>45715</c:v>
                </c:pt>
                <c:pt idx="79">
                  <c:v>45716</c:v>
                </c:pt>
                <c:pt idx="80">
                  <c:v>45719</c:v>
                </c:pt>
                <c:pt idx="81">
                  <c:v>45720</c:v>
                </c:pt>
                <c:pt idx="82">
                  <c:v>45721</c:v>
                </c:pt>
                <c:pt idx="83">
                  <c:v>45722</c:v>
                </c:pt>
                <c:pt idx="84">
                  <c:v>45723</c:v>
                </c:pt>
                <c:pt idx="85">
                  <c:v>45726</c:v>
                </c:pt>
                <c:pt idx="86">
                  <c:v>45727</c:v>
                </c:pt>
                <c:pt idx="87">
                  <c:v>45728</c:v>
                </c:pt>
                <c:pt idx="88">
                  <c:v>45729</c:v>
                </c:pt>
                <c:pt idx="89">
                  <c:v>45730</c:v>
                </c:pt>
                <c:pt idx="90">
                  <c:v>45733</c:v>
                </c:pt>
                <c:pt idx="91">
                  <c:v>45734</c:v>
                </c:pt>
                <c:pt idx="92">
                  <c:v>45735</c:v>
                </c:pt>
                <c:pt idx="93">
                  <c:v>45736</c:v>
                </c:pt>
                <c:pt idx="94">
                  <c:v>45737</c:v>
                </c:pt>
                <c:pt idx="95">
                  <c:v>45740</c:v>
                </c:pt>
                <c:pt idx="96">
                  <c:v>45741</c:v>
                </c:pt>
                <c:pt idx="97">
                  <c:v>45742</c:v>
                </c:pt>
                <c:pt idx="98">
                  <c:v>45743</c:v>
                </c:pt>
                <c:pt idx="99">
                  <c:v>45744</c:v>
                </c:pt>
                <c:pt idx="100">
                  <c:v>45747</c:v>
                </c:pt>
                <c:pt idx="101">
                  <c:v>45748</c:v>
                </c:pt>
                <c:pt idx="102">
                  <c:v>45749</c:v>
                </c:pt>
                <c:pt idx="103">
                  <c:v>45750</c:v>
                </c:pt>
                <c:pt idx="104">
                  <c:v>45751</c:v>
                </c:pt>
                <c:pt idx="105">
                  <c:v>45754</c:v>
                </c:pt>
                <c:pt idx="106">
                  <c:v>45755</c:v>
                </c:pt>
                <c:pt idx="107">
                  <c:v>45756</c:v>
                </c:pt>
                <c:pt idx="108">
                  <c:v>45757</c:v>
                </c:pt>
                <c:pt idx="109">
                  <c:v>45758</c:v>
                </c:pt>
                <c:pt idx="110">
                  <c:v>45761</c:v>
                </c:pt>
                <c:pt idx="111">
                  <c:v>45762</c:v>
                </c:pt>
                <c:pt idx="112">
                  <c:v>45763</c:v>
                </c:pt>
                <c:pt idx="113">
                  <c:v>45764</c:v>
                </c:pt>
                <c:pt idx="114">
                  <c:v>45768</c:v>
                </c:pt>
                <c:pt idx="115">
                  <c:v>45769</c:v>
                </c:pt>
                <c:pt idx="116">
                  <c:v>45770</c:v>
                </c:pt>
                <c:pt idx="117">
                  <c:v>45771</c:v>
                </c:pt>
                <c:pt idx="118">
                  <c:v>45772</c:v>
                </c:pt>
                <c:pt idx="119">
                  <c:v>45775</c:v>
                </c:pt>
                <c:pt idx="120">
                  <c:v>45776</c:v>
                </c:pt>
                <c:pt idx="121">
                  <c:v>45777</c:v>
                </c:pt>
                <c:pt idx="122">
                  <c:v>45778</c:v>
                </c:pt>
                <c:pt idx="123">
                  <c:v>45779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45789</c:v>
                </c:pt>
                <c:pt idx="130">
                  <c:v>45790</c:v>
                </c:pt>
                <c:pt idx="131">
                  <c:v>45791</c:v>
                </c:pt>
                <c:pt idx="132">
                  <c:v>45792</c:v>
                </c:pt>
                <c:pt idx="133">
                  <c:v>45793</c:v>
                </c:pt>
                <c:pt idx="134">
                  <c:v>45796</c:v>
                </c:pt>
                <c:pt idx="135">
                  <c:v>45797</c:v>
                </c:pt>
                <c:pt idx="136">
                  <c:v>45798</c:v>
                </c:pt>
                <c:pt idx="137">
                  <c:v>45799</c:v>
                </c:pt>
                <c:pt idx="138">
                  <c:v>45800</c:v>
                </c:pt>
                <c:pt idx="139">
                  <c:v>45804</c:v>
                </c:pt>
                <c:pt idx="140">
                  <c:v>45805</c:v>
                </c:pt>
                <c:pt idx="141">
                  <c:v>45806</c:v>
                </c:pt>
                <c:pt idx="142">
                  <c:v>45807</c:v>
                </c:pt>
                <c:pt idx="143">
                  <c:v>45810</c:v>
                </c:pt>
                <c:pt idx="144">
                  <c:v>45811</c:v>
                </c:pt>
                <c:pt idx="145">
                  <c:v>45812</c:v>
                </c:pt>
                <c:pt idx="146">
                  <c:v>45813</c:v>
                </c:pt>
                <c:pt idx="147">
                  <c:v>45814</c:v>
                </c:pt>
                <c:pt idx="148">
                  <c:v>45817</c:v>
                </c:pt>
                <c:pt idx="149">
                  <c:v>45818</c:v>
                </c:pt>
                <c:pt idx="150">
                  <c:v>45819</c:v>
                </c:pt>
                <c:pt idx="151">
                  <c:v>45820</c:v>
                </c:pt>
                <c:pt idx="152">
                  <c:v>45821</c:v>
                </c:pt>
                <c:pt idx="153">
                  <c:v>45824</c:v>
                </c:pt>
                <c:pt idx="154">
                  <c:v>45825</c:v>
                </c:pt>
                <c:pt idx="155">
                  <c:v>45826</c:v>
                </c:pt>
                <c:pt idx="156">
                  <c:v>45828</c:v>
                </c:pt>
                <c:pt idx="157">
                  <c:v>45831</c:v>
                </c:pt>
                <c:pt idx="158">
                  <c:v>45832</c:v>
                </c:pt>
                <c:pt idx="159">
                  <c:v>45833</c:v>
                </c:pt>
                <c:pt idx="160">
                  <c:v>45834</c:v>
                </c:pt>
                <c:pt idx="161">
                  <c:v>45835</c:v>
                </c:pt>
                <c:pt idx="162">
                  <c:v>45838</c:v>
                </c:pt>
                <c:pt idx="163">
                  <c:v>45839</c:v>
                </c:pt>
                <c:pt idx="164">
                  <c:v>45840</c:v>
                </c:pt>
                <c:pt idx="165">
                  <c:v>45841</c:v>
                </c:pt>
                <c:pt idx="166">
                  <c:v>45845</c:v>
                </c:pt>
                <c:pt idx="167">
                  <c:v>45846</c:v>
                </c:pt>
                <c:pt idx="168">
                  <c:v>45847</c:v>
                </c:pt>
                <c:pt idx="169">
                  <c:v>45848</c:v>
                </c:pt>
                <c:pt idx="170">
                  <c:v>45849</c:v>
                </c:pt>
                <c:pt idx="171">
                  <c:v>45852</c:v>
                </c:pt>
                <c:pt idx="172">
                  <c:v>45853</c:v>
                </c:pt>
                <c:pt idx="173">
                  <c:v>45854</c:v>
                </c:pt>
                <c:pt idx="174">
                  <c:v>45855</c:v>
                </c:pt>
                <c:pt idx="175">
                  <c:v>45856</c:v>
                </c:pt>
                <c:pt idx="176">
                  <c:v>45859</c:v>
                </c:pt>
                <c:pt idx="177">
                  <c:v>45860</c:v>
                </c:pt>
                <c:pt idx="178">
                  <c:v>45861</c:v>
                </c:pt>
                <c:pt idx="179">
                  <c:v>45862</c:v>
                </c:pt>
                <c:pt idx="180">
                  <c:v>45863</c:v>
                </c:pt>
                <c:pt idx="181">
                  <c:v>45866</c:v>
                </c:pt>
                <c:pt idx="182">
                  <c:v>45867</c:v>
                </c:pt>
                <c:pt idx="183">
                  <c:v>45868</c:v>
                </c:pt>
                <c:pt idx="184">
                  <c:v>45869</c:v>
                </c:pt>
                <c:pt idx="185">
                  <c:v>45870</c:v>
                </c:pt>
                <c:pt idx="186">
                  <c:v>45873</c:v>
                </c:pt>
                <c:pt idx="187">
                  <c:v>45874</c:v>
                </c:pt>
                <c:pt idx="188">
                  <c:v>45875</c:v>
                </c:pt>
                <c:pt idx="189">
                  <c:v>45876</c:v>
                </c:pt>
                <c:pt idx="190">
                  <c:v>45877</c:v>
                </c:pt>
                <c:pt idx="191">
                  <c:v>45880</c:v>
                </c:pt>
                <c:pt idx="192">
                  <c:v>45881</c:v>
                </c:pt>
                <c:pt idx="193">
                  <c:v>45882</c:v>
                </c:pt>
                <c:pt idx="194">
                  <c:v>45883</c:v>
                </c:pt>
                <c:pt idx="195">
                  <c:v>45884</c:v>
                </c:pt>
                <c:pt idx="196">
                  <c:v>45887</c:v>
                </c:pt>
                <c:pt idx="197">
                  <c:v>45888</c:v>
                </c:pt>
                <c:pt idx="198">
                  <c:v>45889</c:v>
                </c:pt>
                <c:pt idx="199">
                  <c:v>45890</c:v>
                </c:pt>
                <c:pt idx="200">
                  <c:v>45891</c:v>
                </c:pt>
                <c:pt idx="201">
                  <c:v>45894</c:v>
                </c:pt>
                <c:pt idx="202">
                  <c:v>45895</c:v>
                </c:pt>
                <c:pt idx="203">
                  <c:v>45896</c:v>
                </c:pt>
                <c:pt idx="204">
                  <c:v>45897</c:v>
                </c:pt>
                <c:pt idx="205">
                  <c:v>45898</c:v>
                </c:pt>
                <c:pt idx="206">
                  <c:v>45902</c:v>
                </c:pt>
                <c:pt idx="207">
                  <c:v>45903</c:v>
                </c:pt>
                <c:pt idx="208">
                  <c:v>45904</c:v>
                </c:pt>
                <c:pt idx="209">
                  <c:v>45905</c:v>
                </c:pt>
                <c:pt idx="210">
                  <c:v>45908</c:v>
                </c:pt>
                <c:pt idx="211">
                  <c:v>45909</c:v>
                </c:pt>
                <c:pt idx="212">
                  <c:v>45910</c:v>
                </c:pt>
                <c:pt idx="213">
                  <c:v>45911</c:v>
                </c:pt>
                <c:pt idx="214">
                  <c:v>45912</c:v>
                </c:pt>
                <c:pt idx="215">
                  <c:v>45915</c:v>
                </c:pt>
                <c:pt idx="216">
                  <c:v>45916</c:v>
                </c:pt>
                <c:pt idx="217">
                  <c:v>45917</c:v>
                </c:pt>
                <c:pt idx="218">
                  <c:v>45918</c:v>
                </c:pt>
                <c:pt idx="219">
                  <c:v>45919</c:v>
                </c:pt>
                <c:pt idx="220">
                  <c:v>45922</c:v>
                </c:pt>
                <c:pt idx="221">
                  <c:v>45923</c:v>
                </c:pt>
                <c:pt idx="222">
                  <c:v>45924</c:v>
                </c:pt>
                <c:pt idx="223">
                  <c:v>45925</c:v>
                </c:pt>
                <c:pt idx="224">
                  <c:v>45926</c:v>
                </c:pt>
                <c:pt idx="225">
                  <c:v>45929</c:v>
                </c:pt>
                <c:pt idx="226">
                  <c:v>45930</c:v>
                </c:pt>
                <c:pt idx="227">
                  <c:v>45931</c:v>
                </c:pt>
                <c:pt idx="228">
                  <c:v>45932</c:v>
                </c:pt>
                <c:pt idx="229">
                  <c:v>45933</c:v>
                </c:pt>
                <c:pt idx="230">
                  <c:v>45936</c:v>
                </c:pt>
                <c:pt idx="231">
                  <c:v>45937</c:v>
                </c:pt>
                <c:pt idx="232">
                  <c:v>45938</c:v>
                </c:pt>
                <c:pt idx="233">
                  <c:v>45939</c:v>
                </c:pt>
                <c:pt idx="234">
                  <c:v>45940</c:v>
                </c:pt>
                <c:pt idx="235">
                  <c:v>45943</c:v>
                </c:pt>
                <c:pt idx="236">
                  <c:v>45944</c:v>
                </c:pt>
                <c:pt idx="237">
                  <c:v>45945</c:v>
                </c:pt>
                <c:pt idx="238">
                  <c:v>45946</c:v>
                </c:pt>
                <c:pt idx="239">
                  <c:v>45947</c:v>
                </c:pt>
                <c:pt idx="240">
                  <c:v>45950</c:v>
                </c:pt>
                <c:pt idx="241">
                  <c:v>45951</c:v>
                </c:pt>
                <c:pt idx="242">
                  <c:v>45952</c:v>
                </c:pt>
                <c:pt idx="243">
                  <c:v>45953</c:v>
                </c:pt>
                <c:pt idx="244">
                  <c:v>45954</c:v>
                </c:pt>
                <c:pt idx="245">
                  <c:v>45957</c:v>
                </c:pt>
                <c:pt idx="246">
                  <c:v>45958</c:v>
                </c:pt>
                <c:pt idx="247">
                  <c:v>45959</c:v>
                </c:pt>
                <c:pt idx="248">
                  <c:v>45960</c:v>
                </c:pt>
              </c:numCache>
            </c:numRef>
          </c:cat>
          <c:val>
            <c:numRef>
              <c:f>'Variance Covariance'!$M$6:$M$254</c:f>
              <c:numCache>
                <c:formatCode>0.00</c:formatCode>
                <c:ptCount val="249"/>
                <c:pt idx="0">
                  <c:v>218.318435668945</c:v>
                </c:pt>
                <c:pt idx="1">
                  <c:v>215.22393798828099</c:v>
                </c:pt>
                <c:pt idx="2">
                  <c:v>216.89848327636699</c:v>
                </c:pt>
                <c:pt idx="3">
                  <c:v>241.93843078613199</c:v>
                </c:pt>
                <c:pt idx="4">
                  <c:v>231.47981262207</c:v>
                </c:pt>
                <c:pt idx="5">
                  <c:v>232.06736755371</c:v>
                </c:pt>
                <c:pt idx="6">
                  <c:v>234.32946777343699</c:v>
                </c:pt>
                <c:pt idx="7">
                  <c:v>234.59388732910099</c:v>
                </c:pt>
                <c:pt idx="8">
                  <c:v>236.160720825195</c:v>
                </c:pt>
                <c:pt idx="9">
                  <c:v>236.85600280761699</c:v>
                </c:pt>
                <c:pt idx="10">
                  <c:v>240.224685668945</c:v>
                </c:pt>
                <c:pt idx="11">
                  <c:v>239.95048522949199</c:v>
                </c:pt>
                <c:pt idx="12">
                  <c:v>238.05070495605401</c:v>
                </c:pt>
                <c:pt idx="13">
                  <c:v>235.78858947753901</c:v>
                </c:pt>
                <c:pt idx="14">
                  <c:v>239.68609619140599</c:v>
                </c:pt>
                <c:pt idx="15">
                  <c:v>243.397537231445</c:v>
                </c:pt>
                <c:pt idx="16">
                  <c:v>245.101470947265</c:v>
                </c:pt>
                <c:pt idx="17">
                  <c:v>244.7880859375</c:v>
                </c:pt>
                <c:pt idx="18">
                  <c:v>244.61180114746</c:v>
                </c:pt>
                <c:pt idx="19">
                  <c:v>244.54327392578099</c:v>
                </c:pt>
                <c:pt idx="20">
                  <c:v>241.14521789550699</c:v>
                </c:pt>
                <c:pt idx="21">
                  <c:v>239.744857788085</c:v>
                </c:pt>
                <c:pt idx="22">
                  <c:v>238.35426330566401</c:v>
                </c:pt>
                <c:pt idx="23">
                  <c:v>240.39117431640599</c:v>
                </c:pt>
                <c:pt idx="24">
                  <c:v>242.23220825195301</c:v>
                </c:pt>
                <c:pt idx="25">
                  <c:v>238.75578308105401</c:v>
                </c:pt>
                <c:pt idx="26">
                  <c:v>237.82546997070301</c:v>
                </c:pt>
                <c:pt idx="27">
                  <c:v>238.48158264160099</c:v>
                </c:pt>
                <c:pt idx="28">
                  <c:v>236.52305603027301</c:v>
                </c:pt>
                <c:pt idx="29">
                  <c:v>234.96600341796801</c:v>
                </c:pt>
                <c:pt idx="30">
                  <c:v>234.61346435546801</c:v>
                </c:pt>
                <c:pt idx="31">
                  <c:v>233.41876220703099</c:v>
                </c:pt>
                <c:pt idx="32">
                  <c:v>225.59440612792901</c:v>
                </c:pt>
                <c:pt idx="33">
                  <c:v>228.13070678710901</c:v>
                </c:pt>
                <c:pt idx="34">
                  <c:v>232.67453002929599</c:v>
                </c:pt>
                <c:pt idx="35">
                  <c:v>233.448150634765</c:v>
                </c:pt>
                <c:pt idx="36">
                  <c:v>237.28688049316401</c:v>
                </c:pt>
                <c:pt idx="37">
                  <c:v>238.09967041015599</c:v>
                </c:pt>
                <c:pt idx="38">
                  <c:v>236.17050170898401</c:v>
                </c:pt>
                <c:pt idx="39">
                  <c:v>234.35887145996</c:v>
                </c:pt>
                <c:pt idx="40">
                  <c:v>234.74078369140599</c:v>
                </c:pt>
                <c:pt idx="41">
                  <c:v>235.02474975585901</c:v>
                </c:pt>
                <c:pt idx="42">
                  <c:v>238.23677062988199</c:v>
                </c:pt>
                <c:pt idx="43">
                  <c:v>237.07528686523401</c:v>
                </c:pt>
                <c:pt idx="44">
                  <c:v>239.35890197753901</c:v>
                </c:pt>
                <c:pt idx="45">
                  <c:v>239.31954956054599</c:v>
                </c:pt>
                <c:pt idx="46">
                  <c:v>236.11061096191401</c:v>
                </c:pt>
                <c:pt idx="47">
                  <c:v>240.38261413574199</c:v>
                </c:pt>
                <c:pt idx="48">
                  <c:v>243.59150695800699</c:v>
                </c:pt>
                <c:pt idx="49">
                  <c:v>248.39503479003901</c:v>
                </c:pt>
                <c:pt idx="50">
                  <c:v>250.28494262695301</c:v>
                </c:pt>
                <c:pt idx="51">
                  <c:v>255.09829711914</c:v>
                </c:pt>
                <c:pt idx="52">
                  <c:v>258.907623291015</c:v>
                </c:pt>
                <c:pt idx="53">
                  <c:v>258.72064208984301</c:v>
                </c:pt>
                <c:pt idx="54">
                  <c:v>261.78189086914</c:v>
                </c:pt>
                <c:pt idx="55">
                  <c:v>260.68930053710898</c:v>
                </c:pt>
                <c:pt idx="56">
                  <c:v>261.68344116210898</c:v>
                </c:pt>
                <c:pt idx="57">
                  <c:v>262.95324707031199</c:v>
                </c:pt>
                <c:pt idx="58">
                  <c:v>262.40200805664</c:v>
                </c:pt>
                <c:pt idx="59">
                  <c:v>264.02615356445301</c:v>
                </c:pt>
                <c:pt idx="60">
                  <c:v>263.11071777343699</c:v>
                </c:pt>
                <c:pt idx="61">
                  <c:v>262.62838745117102</c:v>
                </c:pt>
                <c:pt idx="62">
                  <c:v>263.74069213867102</c:v>
                </c:pt>
                <c:pt idx="63">
                  <c:v>266.191650390625</c:v>
                </c:pt>
                <c:pt idx="64">
                  <c:v>272.56027221679602</c:v>
                </c:pt>
                <c:pt idx="65">
                  <c:v>271.47747802734301</c:v>
                </c:pt>
                <c:pt idx="66">
                  <c:v>266.79214477539</c:v>
                </c:pt>
                <c:pt idx="67">
                  <c:v>270.68017578125</c:v>
                </c:pt>
                <c:pt idx="68">
                  <c:v>271.13299560546801</c:v>
                </c:pt>
                <c:pt idx="69">
                  <c:v>271.98934936523398</c:v>
                </c:pt>
                <c:pt idx="70">
                  <c:v>272.255126953125</c:v>
                </c:pt>
                <c:pt idx="71">
                  <c:v>275.5625</c:v>
                </c:pt>
                <c:pt idx="72">
                  <c:v>274.873443603515</c:v>
                </c:pt>
                <c:pt idx="73">
                  <c:v>262.618560791015</c:v>
                </c:pt>
                <c:pt idx="74">
                  <c:v>260.09869384765602</c:v>
                </c:pt>
                <c:pt idx="75">
                  <c:v>257.24411010742102</c:v>
                </c:pt>
                <c:pt idx="76">
                  <c:v>253.36587524414</c:v>
                </c:pt>
                <c:pt idx="77">
                  <c:v>254.734115600585</c:v>
                </c:pt>
                <c:pt idx="78">
                  <c:v>254.989990234375</c:v>
                </c:pt>
                <c:pt idx="79">
                  <c:v>260.50225830078102</c:v>
                </c:pt>
                <c:pt idx="80">
                  <c:v>256.53543090820301</c:v>
                </c:pt>
                <c:pt idx="81">
                  <c:v>246.32794189453099</c:v>
                </c:pt>
                <c:pt idx="82">
                  <c:v>247.58787536621</c:v>
                </c:pt>
                <c:pt idx="83">
                  <c:v>242.67608642578099</c:v>
                </c:pt>
                <c:pt idx="84">
                  <c:v>238.48284912109301</c:v>
                </c:pt>
                <c:pt idx="85">
                  <c:v>228.58052062988199</c:v>
                </c:pt>
                <c:pt idx="86">
                  <c:v>225.54879760742099</c:v>
                </c:pt>
                <c:pt idx="87">
                  <c:v>224.32821655273401</c:v>
                </c:pt>
                <c:pt idx="88">
                  <c:v>221.66069030761699</c:v>
                </c:pt>
                <c:pt idx="89">
                  <c:v>228.79705810546801</c:v>
                </c:pt>
                <c:pt idx="90">
                  <c:v>230.26370239257801</c:v>
                </c:pt>
                <c:pt idx="91">
                  <c:v>231.28741455078099</c:v>
                </c:pt>
                <c:pt idx="92">
                  <c:v>235.362533569335</c:v>
                </c:pt>
                <c:pt idx="93">
                  <c:v>235.26409912109301</c:v>
                </c:pt>
                <c:pt idx="94">
                  <c:v>237.84304809570301</c:v>
                </c:pt>
                <c:pt idx="95">
                  <c:v>244.172271728515</c:v>
                </c:pt>
                <c:pt idx="96">
                  <c:v>247.19415283203099</c:v>
                </c:pt>
                <c:pt idx="97">
                  <c:v>247.09571838378901</c:v>
                </c:pt>
                <c:pt idx="98">
                  <c:v>244.23132324218699</c:v>
                </c:pt>
                <c:pt idx="99">
                  <c:v>239.04393005371</c:v>
                </c:pt>
                <c:pt idx="100">
                  <c:v>241.45553588867099</c:v>
                </c:pt>
                <c:pt idx="101">
                  <c:v>239.84123229980401</c:v>
                </c:pt>
                <c:pt idx="102">
                  <c:v>241.96737670898401</c:v>
                </c:pt>
                <c:pt idx="103">
                  <c:v>225.10583496093699</c:v>
                </c:pt>
                <c:pt idx="104">
                  <c:v>208.25930786132801</c:v>
                </c:pt>
                <c:pt idx="105">
                  <c:v>212.37933349609301</c:v>
                </c:pt>
                <c:pt idx="106">
                  <c:v>214.78596496582</c:v>
                </c:pt>
                <c:pt idx="107">
                  <c:v>232.08808898925699</c:v>
                </c:pt>
                <c:pt idx="108">
                  <c:v>224.92756652832</c:v>
                </c:pt>
                <c:pt idx="109">
                  <c:v>233.93022155761699</c:v>
                </c:pt>
                <c:pt idx="110">
                  <c:v>232.464431762695</c:v>
                </c:pt>
                <c:pt idx="111">
                  <c:v>230.88973999023401</c:v>
                </c:pt>
                <c:pt idx="112">
                  <c:v>227.403549194335</c:v>
                </c:pt>
                <c:pt idx="113">
                  <c:v>229.73097229003901</c:v>
                </c:pt>
                <c:pt idx="114">
                  <c:v>226.78950500488199</c:v>
                </c:pt>
                <c:pt idx="115">
                  <c:v>233.326080322265</c:v>
                </c:pt>
                <c:pt idx="116">
                  <c:v>238.56524658203099</c:v>
                </c:pt>
                <c:pt idx="117">
                  <c:v>242.28910827636699</c:v>
                </c:pt>
                <c:pt idx="118">
                  <c:v>241.20959472656199</c:v>
                </c:pt>
                <c:pt idx="119">
                  <c:v>240.88275146484301</c:v>
                </c:pt>
                <c:pt idx="120">
                  <c:v>242.26930236816401</c:v>
                </c:pt>
                <c:pt idx="121">
                  <c:v>242.26930236816401</c:v>
                </c:pt>
                <c:pt idx="122">
                  <c:v>244.51750183105401</c:v>
                </c:pt>
                <c:pt idx="123">
                  <c:v>250.08348083496</c:v>
                </c:pt>
                <c:pt idx="124">
                  <c:v>250.13301086425699</c:v>
                </c:pt>
                <c:pt idx="125">
                  <c:v>246.85481262207</c:v>
                </c:pt>
                <c:pt idx="126">
                  <c:v>246.99346923828099</c:v>
                </c:pt>
                <c:pt idx="127">
                  <c:v>251.034255981445</c:v>
                </c:pt>
                <c:pt idx="128">
                  <c:v>250.64801025390599</c:v>
                </c:pt>
                <c:pt idx="129">
                  <c:v>257.551025390625</c:v>
                </c:pt>
                <c:pt idx="130">
                  <c:v>260.48260498046801</c:v>
                </c:pt>
                <c:pt idx="131">
                  <c:v>263.08734130859301</c:v>
                </c:pt>
                <c:pt idx="132">
                  <c:v>264.91952514648398</c:v>
                </c:pt>
                <c:pt idx="133">
                  <c:v>264.98886108398398</c:v>
                </c:pt>
                <c:pt idx="134">
                  <c:v>262.33462524414</c:v>
                </c:pt>
                <c:pt idx="135">
                  <c:v>263.12692260742102</c:v>
                </c:pt>
                <c:pt idx="136">
                  <c:v>258.53152465820301</c:v>
                </c:pt>
                <c:pt idx="137">
                  <c:v>258.16510009765602</c:v>
                </c:pt>
                <c:pt idx="138">
                  <c:v>258.20468139648398</c:v>
                </c:pt>
                <c:pt idx="139">
                  <c:v>262.74069213867102</c:v>
                </c:pt>
                <c:pt idx="140">
                  <c:v>260.95797729492102</c:v>
                </c:pt>
                <c:pt idx="141">
                  <c:v>261.829498291015</c:v>
                </c:pt>
                <c:pt idx="142">
                  <c:v>261.46307373046801</c:v>
                </c:pt>
                <c:pt idx="143">
                  <c:v>262.11672973632801</c:v>
                </c:pt>
                <c:pt idx="144">
                  <c:v>263.71124267578102</c:v>
                </c:pt>
                <c:pt idx="145">
                  <c:v>261.68096923828102</c:v>
                </c:pt>
                <c:pt idx="146">
                  <c:v>259.43280029296801</c:v>
                </c:pt>
                <c:pt idx="147">
                  <c:v>263.17645263671801</c:v>
                </c:pt>
                <c:pt idx="148">
                  <c:v>264.17672729492102</c:v>
                </c:pt>
                <c:pt idx="149">
                  <c:v>266.01885986328102</c:v>
                </c:pt>
                <c:pt idx="150">
                  <c:v>265.57318115234301</c:v>
                </c:pt>
                <c:pt idx="151">
                  <c:v>265.66229248046801</c:v>
                </c:pt>
                <c:pt idx="152">
                  <c:v>262.40396118164</c:v>
                </c:pt>
                <c:pt idx="153">
                  <c:v>267.76193237304602</c:v>
                </c:pt>
                <c:pt idx="154">
                  <c:v>266.93002319335898</c:v>
                </c:pt>
                <c:pt idx="155">
                  <c:v>271.32736206054602</c:v>
                </c:pt>
                <c:pt idx="156">
                  <c:v>272.35736083984301</c:v>
                </c:pt>
                <c:pt idx="157">
                  <c:v>275.59591674804602</c:v>
                </c:pt>
                <c:pt idx="158">
                  <c:v>278.55722045898398</c:v>
                </c:pt>
                <c:pt idx="159">
                  <c:v>281.33029174804602</c:v>
                </c:pt>
                <c:pt idx="160">
                  <c:v>285.97525024414</c:v>
                </c:pt>
                <c:pt idx="161">
                  <c:v>284.350982666015</c:v>
                </c:pt>
                <c:pt idx="162">
                  <c:v>287.12408447265602</c:v>
                </c:pt>
                <c:pt idx="163">
                  <c:v>287.61929321289</c:v>
                </c:pt>
                <c:pt idx="164">
                  <c:v>289.19403076171801</c:v>
                </c:pt>
                <c:pt idx="165">
                  <c:v>294.56787109375</c:v>
                </c:pt>
                <c:pt idx="166">
                  <c:v>290.557373046875</c:v>
                </c:pt>
                <c:pt idx="167">
                  <c:v>281.41183471679602</c:v>
                </c:pt>
                <c:pt idx="168">
                  <c:v>281.79000854492102</c:v>
                </c:pt>
                <c:pt idx="169">
                  <c:v>286.79568481445301</c:v>
                </c:pt>
                <c:pt idx="170">
                  <c:v>285.472076416015</c:v>
                </c:pt>
                <c:pt idx="171">
                  <c:v>287.30322265625</c:v>
                </c:pt>
                <c:pt idx="172">
                  <c:v>285.16360473632801</c:v>
                </c:pt>
                <c:pt idx="173">
                  <c:v>284.43713378906199</c:v>
                </c:pt>
                <c:pt idx="174">
                  <c:v>288.49740600585898</c:v>
                </c:pt>
                <c:pt idx="175">
                  <c:v>289.860748291015</c:v>
                </c:pt>
                <c:pt idx="176">
                  <c:v>289.56222534179602</c:v>
                </c:pt>
                <c:pt idx="177">
                  <c:v>290.01998901367102</c:v>
                </c:pt>
                <c:pt idx="178">
                  <c:v>295.32421875</c:v>
                </c:pt>
                <c:pt idx="179">
                  <c:v>295.11520385742102</c:v>
                </c:pt>
                <c:pt idx="180">
                  <c:v>297.175201416015</c:v>
                </c:pt>
                <c:pt idx="181">
                  <c:v>296.83685302734301</c:v>
                </c:pt>
                <c:pt idx="182">
                  <c:v>295.60287475585898</c:v>
                </c:pt>
                <c:pt idx="183">
                  <c:v>298.18032836914</c:v>
                </c:pt>
                <c:pt idx="184">
                  <c:v>294.80670166015602</c:v>
                </c:pt>
                <c:pt idx="185">
                  <c:v>287.969970703125</c:v>
                </c:pt>
                <c:pt idx="186">
                  <c:v>292.83630371093699</c:v>
                </c:pt>
                <c:pt idx="187">
                  <c:v>289.96026611328102</c:v>
                </c:pt>
                <c:pt idx="188">
                  <c:v>289.94039916992102</c:v>
                </c:pt>
                <c:pt idx="189">
                  <c:v>285.55172729492102</c:v>
                </c:pt>
                <c:pt idx="190">
                  <c:v>287.36291503906199</c:v>
                </c:pt>
                <c:pt idx="191">
                  <c:v>288.15902709960898</c:v>
                </c:pt>
                <c:pt idx="192">
                  <c:v>291.43313598632801</c:v>
                </c:pt>
                <c:pt idx="193">
                  <c:v>289.12435913085898</c:v>
                </c:pt>
                <c:pt idx="194">
                  <c:v>292.73678588867102</c:v>
                </c:pt>
                <c:pt idx="195">
                  <c:v>289.08453369140602</c:v>
                </c:pt>
                <c:pt idx="196">
                  <c:v>290.11950683593699</c:v>
                </c:pt>
                <c:pt idx="197">
                  <c:v>289.25372314453102</c:v>
                </c:pt>
                <c:pt idx="198">
                  <c:v>290.826080322265</c:v>
                </c:pt>
                <c:pt idx="199">
                  <c:v>290.059814453125</c:v>
                </c:pt>
                <c:pt idx="200">
                  <c:v>294.80670166015602</c:v>
                </c:pt>
                <c:pt idx="201">
                  <c:v>293.47320556640602</c:v>
                </c:pt>
                <c:pt idx="202">
                  <c:v>297.12545776367102</c:v>
                </c:pt>
                <c:pt idx="203">
                  <c:v>297.83200073242102</c:v>
                </c:pt>
                <c:pt idx="204">
                  <c:v>299.61337280273398</c:v>
                </c:pt>
                <c:pt idx="205">
                  <c:v>299.961669921875</c:v>
                </c:pt>
                <c:pt idx="206">
                  <c:v>298.25</c:v>
                </c:pt>
                <c:pt idx="207">
                  <c:v>298.06091308593699</c:v>
                </c:pt>
                <c:pt idx="208">
                  <c:v>302.35006713867102</c:v>
                </c:pt>
                <c:pt idx="209">
                  <c:v>292.95571899414</c:v>
                </c:pt>
                <c:pt idx="210">
                  <c:v>291.49282836914</c:v>
                </c:pt>
                <c:pt idx="211">
                  <c:v>296.408935546875</c:v>
                </c:pt>
                <c:pt idx="212">
                  <c:v>299.0859375</c:v>
                </c:pt>
                <c:pt idx="213">
                  <c:v>304.08163452148398</c:v>
                </c:pt>
                <c:pt idx="214">
                  <c:v>305.42510986328102</c:v>
                </c:pt>
                <c:pt idx="215">
                  <c:v>307.40545654296801</c:v>
                </c:pt>
                <c:pt idx="216">
                  <c:v>307.69406127929602</c:v>
                </c:pt>
                <c:pt idx="217">
                  <c:v>310.24166870117102</c:v>
                </c:pt>
                <c:pt idx="218">
                  <c:v>311.71453857421801</c:v>
                </c:pt>
                <c:pt idx="219">
                  <c:v>313.25701904296801</c:v>
                </c:pt>
                <c:pt idx="220">
                  <c:v>310.92834472656199</c:v>
                </c:pt>
                <c:pt idx="221">
                  <c:v>311.22686767578102</c:v>
                </c:pt>
                <c:pt idx="222">
                  <c:v>311.90362548828102</c:v>
                </c:pt>
                <c:pt idx="223">
                  <c:v>311.93347167968699</c:v>
                </c:pt>
                <c:pt idx="224">
                  <c:v>314.53082275390602</c:v>
                </c:pt>
                <c:pt idx="225">
                  <c:v>314.16262817382801</c:v>
                </c:pt>
                <c:pt idx="226">
                  <c:v>313.90386962890602</c:v>
                </c:pt>
                <c:pt idx="227">
                  <c:v>309.20669555664</c:v>
                </c:pt>
                <c:pt idx="228">
                  <c:v>306.06198120117102</c:v>
                </c:pt>
                <c:pt idx="229">
                  <c:v>308.52999877929602</c:v>
                </c:pt>
                <c:pt idx="230">
                  <c:v>309.17999267578102</c:v>
                </c:pt>
                <c:pt idx="231">
                  <c:v>307.69000244140602</c:v>
                </c:pt>
                <c:pt idx="232">
                  <c:v>304.02999877929602</c:v>
                </c:pt>
                <c:pt idx="233">
                  <c:v>305.52999877929602</c:v>
                </c:pt>
                <c:pt idx="234">
                  <c:v>300.89001464843699</c:v>
                </c:pt>
                <c:pt idx="235">
                  <c:v>307.97000122070301</c:v>
                </c:pt>
                <c:pt idx="236">
                  <c:v>302.079986572265</c:v>
                </c:pt>
                <c:pt idx="237">
                  <c:v>305.69000244140602</c:v>
                </c:pt>
                <c:pt idx="238">
                  <c:v>298.54000854492102</c:v>
                </c:pt>
                <c:pt idx="239">
                  <c:v>297.55999755859301</c:v>
                </c:pt>
                <c:pt idx="240">
                  <c:v>302.35998535156199</c:v>
                </c:pt>
                <c:pt idx="241">
                  <c:v>297.08999633789</c:v>
                </c:pt>
                <c:pt idx="242">
                  <c:v>294.10998535156199</c:v>
                </c:pt>
                <c:pt idx="243">
                  <c:v>294.54000854492102</c:v>
                </c:pt>
                <c:pt idx="244">
                  <c:v>300.44000244140602</c:v>
                </c:pt>
                <c:pt idx="245">
                  <c:v>304.14999389648398</c:v>
                </c:pt>
                <c:pt idx="246">
                  <c:v>305.35998535156199</c:v>
                </c:pt>
                <c:pt idx="247">
                  <c:v>305.510009765625</c:v>
                </c:pt>
                <c:pt idx="248">
                  <c:v>309.44000244140602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56-6243-8E3C-3CC45AA1C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2097376"/>
        <c:axId val="2045241824"/>
      </c:lineChart>
      <c:dateAx>
        <c:axId val="18920973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241824"/>
        <c:crosses val="autoZero"/>
        <c:auto val="1"/>
        <c:lblOffset val="100"/>
        <c:baseTimeUnit val="days"/>
      </c:dateAx>
      <c:valAx>
        <c:axId val="204524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09737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'Variance Covariance'!$O$5</c:f>
              <c:strCache>
                <c:ptCount val="1"/>
                <c:pt idx="0">
                  <c:v>BAC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'Variance Covariance'!$L$6:$L$254</c:f>
              <c:numCache>
                <c:formatCode>m/d/yyyy</c:formatCode>
                <c:ptCount val="249"/>
                <c:pt idx="0">
                  <c:v>45597</c:v>
                </c:pt>
                <c:pt idx="1">
                  <c:v>45600</c:v>
                </c:pt>
                <c:pt idx="2">
                  <c:v>45601</c:v>
                </c:pt>
                <c:pt idx="3">
                  <c:v>45602</c:v>
                </c:pt>
                <c:pt idx="4">
                  <c:v>45603</c:v>
                </c:pt>
                <c:pt idx="5">
                  <c:v>45604</c:v>
                </c:pt>
                <c:pt idx="6">
                  <c:v>45607</c:v>
                </c:pt>
                <c:pt idx="7">
                  <c:v>45608</c:v>
                </c:pt>
                <c:pt idx="8">
                  <c:v>45609</c:v>
                </c:pt>
                <c:pt idx="9">
                  <c:v>45610</c:v>
                </c:pt>
                <c:pt idx="10">
                  <c:v>45611</c:v>
                </c:pt>
                <c:pt idx="11">
                  <c:v>45614</c:v>
                </c:pt>
                <c:pt idx="12">
                  <c:v>45615</c:v>
                </c:pt>
                <c:pt idx="13">
                  <c:v>45616</c:v>
                </c:pt>
                <c:pt idx="14">
                  <c:v>45617</c:v>
                </c:pt>
                <c:pt idx="15">
                  <c:v>45618</c:v>
                </c:pt>
                <c:pt idx="16">
                  <c:v>45621</c:v>
                </c:pt>
                <c:pt idx="17">
                  <c:v>45622</c:v>
                </c:pt>
                <c:pt idx="18">
                  <c:v>45623</c:v>
                </c:pt>
                <c:pt idx="19">
                  <c:v>45625</c:v>
                </c:pt>
                <c:pt idx="20">
                  <c:v>45628</c:v>
                </c:pt>
                <c:pt idx="21">
                  <c:v>45629</c:v>
                </c:pt>
                <c:pt idx="22">
                  <c:v>45630</c:v>
                </c:pt>
                <c:pt idx="23">
                  <c:v>45631</c:v>
                </c:pt>
                <c:pt idx="24">
                  <c:v>45632</c:v>
                </c:pt>
                <c:pt idx="25">
                  <c:v>45635</c:v>
                </c:pt>
                <c:pt idx="26">
                  <c:v>45636</c:v>
                </c:pt>
                <c:pt idx="27">
                  <c:v>45637</c:v>
                </c:pt>
                <c:pt idx="28">
                  <c:v>45638</c:v>
                </c:pt>
                <c:pt idx="29">
                  <c:v>45639</c:v>
                </c:pt>
                <c:pt idx="30">
                  <c:v>45642</c:v>
                </c:pt>
                <c:pt idx="31">
                  <c:v>45643</c:v>
                </c:pt>
                <c:pt idx="32">
                  <c:v>45644</c:v>
                </c:pt>
                <c:pt idx="33">
                  <c:v>45645</c:v>
                </c:pt>
                <c:pt idx="34">
                  <c:v>45646</c:v>
                </c:pt>
                <c:pt idx="35">
                  <c:v>45649</c:v>
                </c:pt>
                <c:pt idx="36">
                  <c:v>45650</c:v>
                </c:pt>
                <c:pt idx="37">
                  <c:v>45652</c:v>
                </c:pt>
                <c:pt idx="38">
                  <c:v>45653</c:v>
                </c:pt>
                <c:pt idx="39">
                  <c:v>45656</c:v>
                </c:pt>
                <c:pt idx="40">
                  <c:v>45657</c:v>
                </c:pt>
                <c:pt idx="41">
                  <c:v>45659</c:v>
                </c:pt>
                <c:pt idx="42">
                  <c:v>45660</c:v>
                </c:pt>
                <c:pt idx="43">
                  <c:v>45663</c:v>
                </c:pt>
                <c:pt idx="44">
                  <c:v>45664</c:v>
                </c:pt>
                <c:pt idx="45">
                  <c:v>45665</c:v>
                </c:pt>
                <c:pt idx="46">
                  <c:v>45667</c:v>
                </c:pt>
                <c:pt idx="47">
                  <c:v>45670</c:v>
                </c:pt>
                <c:pt idx="48">
                  <c:v>45671</c:v>
                </c:pt>
                <c:pt idx="49">
                  <c:v>45672</c:v>
                </c:pt>
                <c:pt idx="50">
                  <c:v>45673</c:v>
                </c:pt>
                <c:pt idx="51">
                  <c:v>45674</c:v>
                </c:pt>
                <c:pt idx="52">
                  <c:v>45678</c:v>
                </c:pt>
                <c:pt idx="53">
                  <c:v>45679</c:v>
                </c:pt>
                <c:pt idx="54">
                  <c:v>45680</c:v>
                </c:pt>
                <c:pt idx="55">
                  <c:v>45681</c:v>
                </c:pt>
                <c:pt idx="56">
                  <c:v>45684</c:v>
                </c:pt>
                <c:pt idx="57">
                  <c:v>45685</c:v>
                </c:pt>
                <c:pt idx="58">
                  <c:v>45686</c:v>
                </c:pt>
                <c:pt idx="59">
                  <c:v>45687</c:v>
                </c:pt>
                <c:pt idx="60">
                  <c:v>45688</c:v>
                </c:pt>
                <c:pt idx="61">
                  <c:v>45691</c:v>
                </c:pt>
                <c:pt idx="62">
                  <c:v>45692</c:v>
                </c:pt>
                <c:pt idx="63">
                  <c:v>45693</c:v>
                </c:pt>
                <c:pt idx="64">
                  <c:v>45694</c:v>
                </c:pt>
                <c:pt idx="65">
                  <c:v>45695</c:v>
                </c:pt>
                <c:pt idx="66">
                  <c:v>45698</c:v>
                </c:pt>
                <c:pt idx="67">
                  <c:v>45699</c:v>
                </c:pt>
                <c:pt idx="68">
                  <c:v>45700</c:v>
                </c:pt>
                <c:pt idx="69">
                  <c:v>45701</c:v>
                </c:pt>
                <c:pt idx="70">
                  <c:v>45702</c:v>
                </c:pt>
                <c:pt idx="71">
                  <c:v>45706</c:v>
                </c:pt>
                <c:pt idx="72">
                  <c:v>45707</c:v>
                </c:pt>
                <c:pt idx="73">
                  <c:v>45708</c:v>
                </c:pt>
                <c:pt idx="74">
                  <c:v>45709</c:v>
                </c:pt>
                <c:pt idx="75">
                  <c:v>45712</c:v>
                </c:pt>
                <c:pt idx="76">
                  <c:v>45713</c:v>
                </c:pt>
                <c:pt idx="77">
                  <c:v>45714</c:v>
                </c:pt>
                <c:pt idx="78">
                  <c:v>45715</c:v>
                </c:pt>
                <c:pt idx="79">
                  <c:v>45716</c:v>
                </c:pt>
                <c:pt idx="80">
                  <c:v>45719</c:v>
                </c:pt>
                <c:pt idx="81">
                  <c:v>45720</c:v>
                </c:pt>
                <c:pt idx="82">
                  <c:v>45721</c:v>
                </c:pt>
                <c:pt idx="83">
                  <c:v>45722</c:v>
                </c:pt>
                <c:pt idx="84">
                  <c:v>45723</c:v>
                </c:pt>
                <c:pt idx="85">
                  <c:v>45726</c:v>
                </c:pt>
                <c:pt idx="86">
                  <c:v>45727</c:v>
                </c:pt>
                <c:pt idx="87">
                  <c:v>45728</c:v>
                </c:pt>
                <c:pt idx="88">
                  <c:v>45729</c:v>
                </c:pt>
                <c:pt idx="89">
                  <c:v>45730</c:v>
                </c:pt>
                <c:pt idx="90">
                  <c:v>45733</c:v>
                </c:pt>
                <c:pt idx="91">
                  <c:v>45734</c:v>
                </c:pt>
                <c:pt idx="92">
                  <c:v>45735</c:v>
                </c:pt>
                <c:pt idx="93">
                  <c:v>45736</c:v>
                </c:pt>
                <c:pt idx="94">
                  <c:v>45737</c:v>
                </c:pt>
                <c:pt idx="95">
                  <c:v>45740</c:v>
                </c:pt>
                <c:pt idx="96">
                  <c:v>45741</c:v>
                </c:pt>
                <c:pt idx="97">
                  <c:v>45742</c:v>
                </c:pt>
                <c:pt idx="98">
                  <c:v>45743</c:v>
                </c:pt>
                <c:pt idx="99">
                  <c:v>45744</c:v>
                </c:pt>
                <c:pt idx="100">
                  <c:v>45747</c:v>
                </c:pt>
                <c:pt idx="101">
                  <c:v>45748</c:v>
                </c:pt>
                <c:pt idx="102">
                  <c:v>45749</c:v>
                </c:pt>
                <c:pt idx="103">
                  <c:v>45750</c:v>
                </c:pt>
                <c:pt idx="104">
                  <c:v>45751</c:v>
                </c:pt>
                <c:pt idx="105">
                  <c:v>45754</c:v>
                </c:pt>
                <c:pt idx="106">
                  <c:v>45755</c:v>
                </c:pt>
                <c:pt idx="107">
                  <c:v>45756</c:v>
                </c:pt>
                <c:pt idx="108">
                  <c:v>45757</c:v>
                </c:pt>
                <c:pt idx="109">
                  <c:v>45758</c:v>
                </c:pt>
                <c:pt idx="110">
                  <c:v>45761</c:v>
                </c:pt>
                <c:pt idx="111">
                  <c:v>45762</c:v>
                </c:pt>
                <c:pt idx="112">
                  <c:v>45763</c:v>
                </c:pt>
                <c:pt idx="113">
                  <c:v>45764</c:v>
                </c:pt>
                <c:pt idx="114">
                  <c:v>45768</c:v>
                </c:pt>
                <c:pt idx="115">
                  <c:v>45769</c:v>
                </c:pt>
                <c:pt idx="116">
                  <c:v>45770</c:v>
                </c:pt>
                <c:pt idx="117">
                  <c:v>45771</c:v>
                </c:pt>
                <c:pt idx="118">
                  <c:v>45772</c:v>
                </c:pt>
                <c:pt idx="119">
                  <c:v>45775</c:v>
                </c:pt>
                <c:pt idx="120">
                  <c:v>45776</c:v>
                </c:pt>
                <c:pt idx="121">
                  <c:v>45777</c:v>
                </c:pt>
                <c:pt idx="122">
                  <c:v>45778</c:v>
                </c:pt>
                <c:pt idx="123">
                  <c:v>45779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45789</c:v>
                </c:pt>
                <c:pt idx="130">
                  <c:v>45790</c:v>
                </c:pt>
                <c:pt idx="131">
                  <c:v>45791</c:v>
                </c:pt>
                <c:pt idx="132">
                  <c:v>45792</c:v>
                </c:pt>
                <c:pt idx="133">
                  <c:v>45793</c:v>
                </c:pt>
                <c:pt idx="134">
                  <c:v>45796</c:v>
                </c:pt>
                <c:pt idx="135">
                  <c:v>45797</c:v>
                </c:pt>
                <c:pt idx="136">
                  <c:v>45798</c:v>
                </c:pt>
                <c:pt idx="137">
                  <c:v>45799</c:v>
                </c:pt>
                <c:pt idx="138">
                  <c:v>45800</c:v>
                </c:pt>
                <c:pt idx="139">
                  <c:v>45804</c:v>
                </c:pt>
                <c:pt idx="140">
                  <c:v>45805</c:v>
                </c:pt>
                <c:pt idx="141">
                  <c:v>45806</c:v>
                </c:pt>
                <c:pt idx="142">
                  <c:v>45807</c:v>
                </c:pt>
                <c:pt idx="143">
                  <c:v>45810</c:v>
                </c:pt>
                <c:pt idx="144">
                  <c:v>45811</c:v>
                </c:pt>
                <c:pt idx="145">
                  <c:v>45812</c:v>
                </c:pt>
                <c:pt idx="146">
                  <c:v>45813</c:v>
                </c:pt>
                <c:pt idx="147">
                  <c:v>45814</c:v>
                </c:pt>
                <c:pt idx="148">
                  <c:v>45817</c:v>
                </c:pt>
                <c:pt idx="149">
                  <c:v>45818</c:v>
                </c:pt>
                <c:pt idx="150">
                  <c:v>45819</c:v>
                </c:pt>
                <c:pt idx="151">
                  <c:v>45820</c:v>
                </c:pt>
                <c:pt idx="152">
                  <c:v>45821</c:v>
                </c:pt>
                <c:pt idx="153">
                  <c:v>45824</c:v>
                </c:pt>
                <c:pt idx="154">
                  <c:v>45825</c:v>
                </c:pt>
                <c:pt idx="155">
                  <c:v>45826</c:v>
                </c:pt>
                <c:pt idx="156">
                  <c:v>45828</c:v>
                </c:pt>
                <c:pt idx="157">
                  <c:v>45831</c:v>
                </c:pt>
                <c:pt idx="158">
                  <c:v>45832</c:v>
                </c:pt>
                <c:pt idx="159">
                  <c:v>45833</c:v>
                </c:pt>
                <c:pt idx="160">
                  <c:v>45834</c:v>
                </c:pt>
                <c:pt idx="161">
                  <c:v>45835</c:v>
                </c:pt>
                <c:pt idx="162">
                  <c:v>45838</c:v>
                </c:pt>
                <c:pt idx="163">
                  <c:v>45839</c:v>
                </c:pt>
                <c:pt idx="164">
                  <c:v>45840</c:v>
                </c:pt>
                <c:pt idx="165">
                  <c:v>45841</c:v>
                </c:pt>
                <c:pt idx="166">
                  <c:v>45845</c:v>
                </c:pt>
                <c:pt idx="167">
                  <c:v>45846</c:v>
                </c:pt>
                <c:pt idx="168">
                  <c:v>45847</c:v>
                </c:pt>
                <c:pt idx="169">
                  <c:v>45848</c:v>
                </c:pt>
                <c:pt idx="170">
                  <c:v>45849</c:v>
                </c:pt>
                <c:pt idx="171">
                  <c:v>45852</c:v>
                </c:pt>
                <c:pt idx="172">
                  <c:v>45853</c:v>
                </c:pt>
                <c:pt idx="173">
                  <c:v>45854</c:v>
                </c:pt>
                <c:pt idx="174">
                  <c:v>45855</c:v>
                </c:pt>
                <c:pt idx="175">
                  <c:v>45856</c:v>
                </c:pt>
                <c:pt idx="176">
                  <c:v>45859</c:v>
                </c:pt>
                <c:pt idx="177">
                  <c:v>45860</c:v>
                </c:pt>
                <c:pt idx="178">
                  <c:v>45861</c:v>
                </c:pt>
                <c:pt idx="179">
                  <c:v>45862</c:v>
                </c:pt>
                <c:pt idx="180">
                  <c:v>45863</c:v>
                </c:pt>
                <c:pt idx="181">
                  <c:v>45866</c:v>
                </c:pt>
                <c:pt idx="182">
                  <c:v>45867</c:v>
                </c:pt>
                <c:pt idx="183">
                  <c:v>45868</c:v>
                </c:pt>
                <c:pt idx="184">
                  <c:v>45869</c:v>
                </c:pt>
                <c:pt idx="185">
                  <c:v>45870</c:v>
                </c:pt>
                <c:pt idx="186">
                  <c:v>45873</c:v>
                </c:pt>
                <c:pt idx="187">
                  <c:v>45874</c:v>
                </c:pt>
                <c:pt idx="188">
                  <c:v>45875</c:v>
                </c:pt>
                <c:pt idx="189">
                  <c:v>45876</c:v>
                </c:pt>
                <c:pt idx="190">
                  <c:v>45877</c:v>
                </c:pt>
                <c:pt idx="191">
                  <c:v>45880</c:v>
                </c:pt>
                <c:pt idx="192">
                  <c:v>45881</c:v>
                </c:pt>
                <c:pt idx="193">
                  <c:v>45882</c:v>
                </c:pt>
                <c:pt idx="194">
                  <c:v>45883</c:v>
                </c:pt>
                <c:pt idx="195">
                  <c:v>45884</c:v>
                </c:pt>
                <c:pt idx="196">
                  <c:v>45887</c:v>
                </c:pt>
                <c:pt idx="197">
                  <c:v>45888</c:v>
                </c:pt>
                <c:pt idx="198">
                  <c:v>45889</c:v>
                </c:pt>
                <c:pt idx="199">
                  <c:v>45890</c:v>
                </c:pt>
                <c:pt idx="200">
                  <c:v>45891</c:v>
                </c:pt>
                <c:pt idx="201">
                  <c:v>45894</c:v>
                </c:pt>
                <c:pt idx="202">
                  <c:v>45895</c:v>
                </c:pt>
                <c:pt idx="203">
                  <c:v>45896</c:v>
                </c:pt>
                <c:pt idx="204">
                  <c:v>45897</c:v>
                </c:pt>
                <c:pt idx="205">
                  <c:v>45898</c:v>
                </c:pt>
                <c:pt idx="206">
                  <c:v>45902</c:v>
                </c:pt>
                <c:pt idx="207">
                  <c:v>45903</c:v>
                </c:pt>
                <c:pt idx="208">
                  <c:v>45904</c:v>
                </c:pt>
                <c:pt idx="209">
                  <c:v>45905</c:v>
                </c:pt>
                <c:pt idx="210">
                  <c:v>45908</c:v>
                </c:pt>
                <c:pt idx="211">
                  <c:v>45909</c:v>
                </c:pt>
                <c:pt idx="212">
                  <c:v>45910</c:v>
                </c:pt>
                <c:pt idx="213">
                  <c:v>45911</c:v>
                </c:pt>
                <c:pt idx="214">
                  <c:v>45912</c:v>
                </c:pt>
                <c:pt idx="215">
                  <c:v>45915</c:v>
                </c:pt>
                <c:pt idx="216">
                  <c:v>45916</c:v>
                </c:pt>
                <c:pt idx="217">
                  <c:v>45917</c:v>
                </c:pt>
                <c:pt idx="218">
                  <c:v>45918</c:v>
                </c:pt>
                <c:pt idx="219">
                  <c:v>45919</c:v>
                </c:pt>
                <c:pt idx="220">
                  <c:v>45922</c:v>
                </c:pt>
                <c:pt idx="221">
                  <c:v>45923</c:v>
                </c:pt>
                <c:pt idx="222">
                  <c:v>45924</c:v>
                </c:pt>
                <c:pt idx="223">
                  <c:v>45925</c:v>
                </c:pt>
                <c:pt idx="224">
                  <c:v>45926</c:v>
                </c:pt>
                <c:pt idx="225">
                  <c:v>45929</c:v>
                </c:pt>
                <c:pt idx="226">
                  <c:v>45930</c:v>
                </c:pt>
                <c:pt idx="227">
                  <c:v>45931</c:v>
                </c:pt>
                <c:pt idx="228">
                  <c:v>45932</c:v>
                </c:pt>
                <c:pt idx="229">
                  <c:v>45933</c:v>
                </c:pt>
                <c:pt idx="230">
                  <c:v>45936</c:v>
                </c:pt>
                <c:pt idx="231">
                  <c:v>45937</c:v>
                </c:pt>
                <c:pt idx="232">
                  <c:v>45938</c:v>
                </c:pt>
                <c:pt idx="233">
                  <c:v>45939</c:v>
                </c:pt>
                <c:pt idx="234">
                  <c:v>45940</c:v>
                </c:pt>
                <c:pt idx="235">
                  <c:v>45943</c:v>
                </c:pt>
                <c:pt idx="236">
                  <c:v>45944</c:v>
                </c:pt>
                <c:pt idx="237">
                  <c:v>45945</c:v>
                </c:pt>
                <c:pt idx="238">
                  <c:v>45946</c:v>
                </c:pt>
                <c:pt idx="239">
                  <c:v>45947</c:v>
                </c:pt>
                <c:pt idx="240">
                  <c:v>45950</c:v>
                </c:pt>
                <c:pt idx="241">
                  <c:v>45951</c:v>
                </c:pt>
                <c:pt idx="242">
                  <c:v>45952</c:v>
                </c:pt>
                <c:pt idx="243">
                  <c:v>45953</c:v>
                </c:pt>
                <c:pt idx="244">
                  <c:v>45954</c:v>
                </c:pt>
                <c:pt idx="245">
                  <c:v>45957</c:v>
                </c:pt>
                <c:pt idx="246">
                  <c:v>45958</c:v>
                </c:pt>
                <c:pt idx="247">
                  <c:v>45959</c:v>
                </c:pt>
                <c:pt idx="248">
                  <c:v>45960</c:v>
                </c:pt>
              </c:numCache>
            </c:numRef>
          </c:cat>
          <c:val>
            <c:numRef>
              <c:f>'Variance Covariance'!$O$6:$O$254</c:f>
              <c:numCache>
                <c:formatCode>0.00</c:formatCode>
                <c:ptCount val="249"/>
                <c:pt idx="0">
                  <c:v>40.799842834472599</c:v>
                </c:pt>
                <c:pt idx="1">
                  <c:v>40.379734039306598</c:v>
                </c:pt>
                <c:pt idx="2">
                  <c:v>40.917087554931598</c:v>
                </c:pt>
                <c:pt idx="3">
                  <c:v>44.365924835205</c:v>
                </c:pt>
                <c:pt idx="4">
                  <c:v>43.740642547607401</c:v>
                </c:pt>
                <c:pt idx="5">
                  <c:v>44.092361450195298</c:v>
                </c:pt>
                <c:pt idx="6">
                  <c:v>45.020523071288999</c:v>
                </c:pt>
                <c:pt idx="7">
                  <c:v>44.805580139160099</c:v>
                </c:pt>
                <c:pt idx="8">
                  <c:v>44.815349578857401</c:v>
                </c:pt>
                <c:pt idx="9">
                  <c:v>44.844657897949197</c:v>
                </c:pt>
                <c:pt idx="10">
                  <c:v>45.675113677978501</c:v>
                </c:pt>
                <c:pt idx="11">
                  <c:v>45.645809173583899</c:v>
                </c:pt>
                <c:pt idx="12">
                  <c:v>45.342933654785099</c:v>
                </c:pt>
                <c:pt idx="13">
                  <c:v>45.000984191894503</c:v>
                </c:pt>
                <c:pt idx="14">
                  <c:v>45.391780853271399</c:v>
                </c:pt>
                <c:pt idx="15">
                  <c:v>45.919368743896399</c:v>
                </c:pt>
                <c:pt idx="16">
                  <c:v>46.407871246337798</c:v>
                </c:pt>
                <c:pt idx="17">
                  <c:v>46.652122497558501</c:v>
                </c:pt>
                <c:pt idx="18">
                  <c:v>46.671661376953097</c:v>
                </c:pt>
                <c:pt idx="19">
                  <c:v>46.417640686035099</c:v>
                </c:pt>
                <c:pt idx="20">
                  <c:v>45.958446502685497</c:v>
                </c:pt>
                <c:pt idx="21">
                  <c:v>45.743503570556598</c:v>
                </c:pt>
                <c:pt idx="22">
                  <c:v>45.3038520812988</c:v>
                </c:pt>
                <c:pt idx="23">
                  <c:v>45.919368743896399</c:v>
                </c:pt>
                <c:pt idx="24">
                  <c:v>45.929191589355398</c:v>
                </c:pt>
                <c:pt idx="25">
                  <c:v>45.1039428710937</c:v>
                </c:pt>
                <c:pt idx="26">
                  <c:v>44.946750640869098</c:v>
                </c:pt>
                <c:pt idx="27">
                  <c:v>45.270957946777301</c:v>
                </c:pt>
                <c:pt idx="28">
                  <c:v>45.270957946777301</c:v>
                </c:pt>
                <c:pt idx="29">
                  <c:v>44.868148803710902</c:v>
                </c:pt>
                <c:pt idx="30">
                  <c:v>44.671665191650298</c:v>
                </c:pt>
                <c:pt idx="31">
                  <c:v>44.259040832519503</c:v>
                </c:pt>
                <c:pt idx="32">
                  <c:v>42.736251831054602</c:v>
                </c:pt>
                <c:pt idx="33">
                  <c:v>42.618358612060497</c:v>
                </c:pt>
                <c:pt idx="34">
                  <c:v>43.39448928833</c:v>
                </c:pt>
                <c:pt idx="35">
                  <c:v>43.1194038391113</c:v>
                </c:pt>
                <c:pt idx="36">
                  <c:v>43.600803375244098</c:v>
                </c:pt>
                <c:pt idx="37">
                  <c:v>43.767818450927699</c:v>
                </c:pt>
                <c:pt idx="38">
                  <c:v>43.561504364013601</c:v>
                </c:pt>
                <c:pt idx="39">
                  <c:v>43.139053344726499</c:v>
                </c:pt>
                <c:pt idx="40">
                  <c:v>43.178352355957003</c:v>
                </c:pt>
                <c:pt idx="41">
                  <c:v>43.512382507324197</c:v>
                </c:pt>
                <c:pt idx="42">
                  <c:v>44.0232543945312</c:v>
                </c:pt>
                <c:pt idx="43">
                  <c:v>44.602893829345703</c:v>
                </c:pt>
                <c:pt idx="44">
                  <c:v>45.270957946777301</c:v>
                </c:pt>
                <c:pt idx="45">
                  <c:v>45.398670196533203</c:v>
                </c:pt>
                <c:pt idx="46">
                  <c:v>44.317985534667898</c:v>
                </c:pt>
                <c:pt idx="47">
                  <c:v>44.268863677978501</c:v>
                </c:pt>
                <c:pt idx="48">
                  <c:v>44.976222991943303</c:v>
                </c:pt>
                <c:pt idx="49">
                  <c:v>46.273048400878899</c:v>
                </c:pt>
                <c:pt idx="50">
                  <c:v>45.8211250305175</c:v>
                </c:pt>
                <c:pt idx="51">
                  <c:v>45.713054656982401</c:v>
                </c:pt>
                <c:pt idx="52">
                  <c:v>45.840770721435497</c:v>
                </c:pt>
                <c:pt idx="53">
                  <c:v>44.986045837402301</c:v>
                </c:pt>
                <c:pt idx="54">
                  <c:v>45.575511932372997</c:v>
                </c:pt>
                <c:pt idx="55">
                  <c:v>45.703231811523402</c:v>
                </c:pt>
                <c:pt idx="56">
                  <c:v>46.263221740722599</c:v>
                </c:pt>
                <c:pt idx="57">
                  <c:v>46.017608642578097</c:v>
                </c:pt>
                <c:pt idx="58">
                  <c:v>45.929191589355398</c:v>
                </c:pt>
                <c:pt idx="59">
                  <c:v>45.899715423583899</c:v>
                </c:pt>
                <c:pt idx="60">
                  <c:v>45.487094879150298</c:v>
                </c:pt>
                <c:pt idx="61">
                  <c:v>45.398670196533203</c:v>
                </c:pt>
                <c:pt idx="62">
                  <c:v>45.889896392822202</c:v>
                </c:pt>
                <c:pt idx="63">
                  <c:v>46.282867431640597</c:v>
                </c:pt>
                <c:pt idx="64">
                  <c:v>46.901809692382798</c:v>
                </c:pt>
                <c:pt idx="65">
                  <c:v>46.567779541015597</c:v>
                </c:pt>
                <c:pt idx="66">
                  <c:v>45.850589752197202</c:v>
                </c:pt>
                <c:pt idx="67">
                  <c:v>45.968490600585902</c:v>
                </c:pt>
                <c:pt idx="68">
                  <c:v>45.398670196533203</c:v>
                </c:pt>
                <c:pt idx="69">
                  <c:v>45.516563415527301</c:v>
                </c:pt>
                <c:pt idx="70">
                  <c:v>46.135505676269503</c:v>
                </c:pt>
                <c:pt idx="71">
                  <c:v>45.713054656982401</c:v>
                </c:pt>
                <c:pt idx="72">
                  <c:v>45.202178955078097</c:v>
                </c:pt>
                <c:pt idx="73">
                  <c:v>44.504653930663999</c:v>
                </c:pt>
                <c:pt idx="74">
                  <c:v>44.0232543945312</c:v>
                </c:pt>
                <c:pt idx="75">
                  <c:v>43.679397583007798</c:v>
                </c:pt>
                <c:pt idx="76">
                  <c:v>43.168525695800703</c:v>
                </c:pt>
                <c:pt idx="77">
                  <c:v>43.168525695800703</c:v>
                </c:pt>
                <c:pt idx="78">
                  <c:v>43.345363616943303</c:v>
                </c:pt>
                <c:pt idx="79">
                  <c:v>45.290599822997997</c:v>
                </c:pt>
                <c:pt idx="80">
                  <c:v>44.760086059570298</c:v>
                </c:pt>
                <c:pt idx="81">
                  <c:v>41.920822143554602</c:v>
                </c:pt>
                <c:pt idx="82">
                  <c:v>41.547500610351499</c:v>
                </c:pt>
                <c:pt idx="83">
                  <c:v>40.732067108154297</c:v>
                </c:pt>
                <c:pt idx="84">
                  <c:v>40.929801940917898</c:v>
                </c:pt>
                <c:pt idx="85">
                  <c:v>39.377632141113203</c:v>
                </c:pt>
                <c:pt idx="86">
                  <c:v>39.160129547119098</c:v>
                </c:pt>
                <c:pt idx="87">
                  <c:v>39.456722259521399</c:v>
                </c:pt>
                <c:pt idx="88">
                  <c:v>39.219444274902301</c:v>
                </c:pt>
                <c:pt idx="89">
                  <c:v>40.425590515136697</c:v>
                </c:pt>
                <c:pt idx="90">
                  <c:v>40.969345092773402</c:v>
                </c:pt>
                <c:pt idx="91">
                  <c:v>41.176959991455</c:v>
                </c:pt>
                <c:pt idx="92">
                  <c:v>41.730598449707003</c:v>
                </c:pt>
                <c:pt idx="93">
                  <c:v>41.997535705566399</c:v>
                </c:pt>
                <c:pt idx="94">
                  <c:v>41.987648010253899</c:v>
                </c:pt>
                <c:pt idx="95">
                  <c:v>42.5808296203613</c:v>
                </c:pt>
                <c:pt idx="96">
                  <c:v>42.788448333740199</c:v>
                </c:pt>
                <c:pt idx="97">
                  <c:v>42.333671569824197</c:v>
                </c:pt>
                <c:pt idx="98">
                  <c:v>42.076625823974602</c:v>
                </c:pt>
                <c:pt idx="99">
                  <c:v>40.781501770019503</c:v>
                </c:pt>
                <c:pt idx="100">
                  <c:v>41.256050109863203</c:v>
                </c:pt>
                <c:pt idx="101">
                  <c:v>41.018779754638601</c:v>
                </c:pt>
                <c:pt idx="102">
                  <c:v>41.374687194824197</c:v>
                </c:pt>
                <c:pt idx="103">
                  <c:v>36.797275543212798</c:v>
                </c:pt>
                <c:pt idx="104">
                  <c:v>33.999412536621001</c:v>
                </c:pt>
                <c:pt idx="105">
                  <c:v>35.1759033203125</c:v>
                </c:pt>
                <c:pt idx="106">
                  <c:v>34.632144927978501</c:v>
                </c:pt>
                <c:pt idx="107">
                  <c:v>36.728069305419901</c:v>
                </c:pt>
                <c:pt idx="108">
                  <c:v>35.44282913208</c:v>
                </c:pt>
                <c:pt idx="109">
                  <c:v>35.541698455810497</c:v>
                </c:pt>
                <c:pt idx="110">
                  <c:v>36.253517150878899</c:v>
                </c:pt>
                <c:pt idx="111">
                  <c:v>37.558528900146399</c:v>
                </c:pt>
                <c:pt idx="112">
                  <c:v>36.9060249328613</c:v>
                </c:pt>
                <c:pt idx="113">
                  <c:v>36.985115051269503</c:v>
                </c:pt>
                <c:pt idx="114">
                  <c:v>36.500679016113203</c:v>
                </c:pt>
                <c:pt idx="115">
                  <c:v>37.884780883788999</c:v>
                </c:pt>
                <c:pt idx="116">
                  <c:v>38.3098945617675</c:v>
                </c:pt>
                <c:pt idx="117">
                  <c:v>39.130474090576101</c:v>
                </c:pt>
                <c:pt idx="118">
                  <c:v>39.239219665527301</c:v>
                </c:pt>
                <c:pt idx="119">
                  <c:v>39.328197479247997</c:v>
                </c:pt>
                <c:pt idx="120">
                  <c:v>39.535812377929602</c:v>
                </c:pt>
                <c:pt idx="121">
                  <c:v>39.4270629882812</c:v>
                </c:pt>
                <c:pt idx="122">
                  <c:v>39.713768005371001</c:v>
                </c:pt>
                <c:pt idx="123">
                  <c:v>40.603546142578097</c:v>
                </c:pt>
                <c:pt idx="124">
                  <c:v>40.652980804443303</c:v>
                </c:pt>
                <c:pt idx="125">
                  <c:v>40.3761596679687</c:v>
                </c:pt>
                <c:pt idx="126">
                  <c:v>40.465137481689403</c:v>
                </c:pt>
                <c:pt idx="127">
                  <c:v>41.127529144287102</c:v>
                </c:pt>
                <c:pt idx="128">
                  <c:v>41.3153686523437</c:v>
                </c:pt>
                <c:pt idx="129">
                  <c:v>42.867542266845703</c:v>
                </c:pt>
                <c:pt idx="130">
                  <c:v>43.777088165283203</c:v>
                </c:pt>
                <c:pt idx="131">
                  <c:v>44.231868743896399</c:v>
                </c:pt>
                <c:pt idx="132">
                  <c:v>43.875957489013601</c:v>
                </c:pt>
                <c:pt idx="133">
                  <c:v>44.182430267333899</c:v>
                </c:pt>
                <c:pt idx="134">
                  <c:v>44.261524200439403</c:v>
                </c:pt>
                <c:pt idx="135">
                  <c:v>44.182430267333899</c:v>
                </c:pt>
                <c:pt idx="136">
                  <c:v>42.7587890625</c:v>
                </c:pt>
                <c:pt idx="137">
                  <c:v>42.818107604980398</c:v>
                </c:pt>
                <c:pt idx="138">
                  <c:v>42.709358215332003</c:v>
                </c:pt>
                <c:pt idx="139">
                  <c:v>43.7177734375</c:v>
                </c:pt>
                <c:pt idx="140">
                  <c:v>43.5595893859863</c:v>
                </c:pt>
                <c:pt idx="141">
                  <c:v>43.737548828125</c:v>
                </c:pt>
                <c:pt idx="142">
                  <c:v>43.628795623779297</c:v>
                </c:pt>
                <c:pt idx="143">
                  <c:v>43.5793647766113</c:v>
                </c:pt>
                <c:pt idx="144">
                  <c:v>44.142887115478501</c:v>
                </c:pt>
                <c:pt idx="145">
                  <c:v>43.856182098388601</c:v>
                </c:pt>
                <c:pt idx="146">
                  <c:v>43.875957489013601</c:v>
                </c:pt>
                <c:pt idx="147">
                  <c:v>44.7212524414062</c:v>
                </c:pt>
                <c:pt idx="148">
                  <c:v>44.621803283691399</c:v>
                </c:pt>
                <c:pt idx="149">
                  <c:v>44.840587615966797</c:v>
                </c:pt>
                <c:pt idx="150">
                  <c:v>44.482578277587798</c:v>
                </c:pt>
                <c:pt idx="151">
                  <c:v>44.3731880187988</c:v>
                </c:pt>
                <c:pt idx="152">
                  <c:v>43.846118927001903</c:v>
                </c:pt>
                <c:pt idx="153">
                  <c:v>44.164348602294901</c:v>
                </c:pt>
                <c:pt idx="154">
                  <c:v>43.985343933105398</c:v>
                </c:pt>
                <c:pt idx="155">
                  <c:v>44.810756683349602</c:v>
                </c:pt>
                <c:pt idx="156">
                  <c:v>45.248321533203097</c:v>
                </c:pt>
                <c:pt idx="157">
                  <c:v>46.043895721435497</c:v>
                </c:pt>
                <c:pt idx="158">
                  <c:v>46.401905059814403</c:v>
                </c:pt>
                <c:pt idx="159">
                  <c:v>46.590850830078097</c:v>
                </c:pt>
                <c:pt idx="160">
                  <c:v>47.197479248046797</c:v>
                </c:pt>
                <c:pt idx="161">
                  <c:v>46.859359741210902</c:v>
                </c:pt>
                <c:pt idx="162">
                  <c:v>47.058254241943303</c:v>
                </c:pt>
                <c:pt idx="163">
                  <c:v>47.883663177490199</c:v>
                </c:pt>
                <c:pt idx="164">
                  <c:v>48.440563201904297</c:v>
                </c:pt>
                <c:pt idx="165">
                  <c:v>48.659347534179602</c:v>
                </c:pt>
                <c:pt idx="166">
                  <c:v>48.390838623046797</c:v>
                </c:pt>
                <c:pt idx="167">
                  <c:v>46.889194488525298</c:v>
                </c:pt>
                <c:pt idx="168">
                  <c:v>46.580909729003899</c:v>
                </c:pt>
                <c:pt idx="169">
                  <c:v>46.710189819335902</c:v>
                </c:pt>
                <c:pt idx="170">
                  <c:v>46.4715156555175</c:v>
                </c:pt>
                <c:pt idx="171">
                  <c:v>46.809635162353501</c:v>
                </c:pt>
                <c:pt idx="172">
                  <c:v>45.894725799560497</c:v>
                </c:pt>
                <c:pt idx="173">
                  <c:v>45.775386810302699</c:v>
                </c:pt>
                <c:pt idx="174">
                  <c:v>46.759914398193303</c:v>
                </c:pt>
                <c:pt idx="175">
                  <c:v>47.058254241943303</c:v>
                </c:pt>
                <c:pt idx="176">
                  <c:v>47.217369079589801</c:v>
                </c:pt>
                <c:pt idx="177">
                  <c:v>47.505764007568303</c:v>
                </c:pt>
                <c:pt idx="178">
                  <c:v>47.873714447021399</c:v>
                </c:pt>
                <c:pt idx="179">
                  <c:v>48.1223335266113</c:v>
                </c:pt>
                <c:pt idx="180">
                  <c:v>48.182003021240199</c:v>
                </c:pt>
                <c:pt idx="181">
                  <c:v>47.963218688964801</c:v>
                </c:pt>
                <c:pt idx="182">
                  <c:v>47.684768676757798</c:v>
                </c:pt>
                <c:pt idx="183">
                  <c:v>47.694713592529297</c:v>
                </c:pt>
                <c:pt idx="184">
                  <c:v>47.008529663085902</c:v>
                </c:pt>
                <c:pt idx="185">
                  <c:v>45.407436370849602</c:v>
                </c:pt>
                <c:pt idx="186">
                  <c:v>45.596382141113203</c:v>
                </c:pt>
                <c:pt idx="187">
                  <c:v>45.307991027832003</c:v>
                </c:pt>
                <c:pt idx="188">
                  <c:v>45.1687622070312</c:v>
                </c:pt>
                <c:pt idx="189">
                  <c:v>44.6715278625488</c:v>
                </c:pt>
                <c:pt idx="190">
                  <c:v>45.755496978759702</c:v>
                </c:pt>
                <c:pt idx="191">
                  <c:v>45.904670715332003</c:v>
                </c:pt>
                <c:pt idx="192">
                  <c:v>47.237258911132798</c:v>
                </c:pt>
                <c:pt idx="193">
                  <c:v>46.9786987304687</c:v>
                </c:pt>
                <c:pt idx="194">
                  <c:v>47.446094512939403</c:v>
                </c:pt>
                <c:pt idx="195">
                  <c:v>46.680355072021399</c:v>
                </c:pt>
                <c:pt idx="196">
                  <c:v>47.654933929443303</c:v>
                </c:pt>
                <c:pt idx="197">
                  <c:v>47.814048767089801</c:v>
                </c:pt>
                <c:pt idx="198">
                  <c:v>48.082553863525298</c:v>
                </c:pt>
                <c:pt idx="199">
                  <c:v>47.993049621582003</c:v>
                </c:pt>
                <c:pt idx="200">
                  <c:v>49.206302642822202</c:v>
                </c:pt>
                <c:pt idx="201">
                  <c:v>49.206302642822202</c:v>
                </c:pt>
                <c:pt idx="202">
                  <c:v>49.9720458984375</c:v>
                </c:pt>
                <c:pt idx="203">
                  <c:v>50.101325988769503</c:v>
                </c:pt>
                <c:pt idx="204">
                  <c:v>50.210720062255803</c:v>
                </c:pt>
                <c:pt idx="205">
                  <c:v>50.459335327148402</c:v>
                </c:pt>
                <c:pt idx="206">
                  <c:v>50.141101837158203</c:v>
                </c:pt>
                <c:pt idx="207">
                  <c:v>49.783096313476499</c:v>
                </c:pt>
                <c:pt idx="208">
                  <c:v>50.339996337890597</c:v>
                </c:pt>
                <c:pt idx="209">
                  <c:v>49.770000457763601</c:v>
                </c:pt>
                <c:pt idx="210">
                  <c:v>49.459999084472599</c:v>
                </c:pt>
                <c:pt idx="211">
                  <c:v>50.290000915527301</c:v>
                </c:pt>
                <c:pt idx="212">
                  <c:v>50.130001068115199</c:v>
                </c:pt>
                <c:pt idx="213">
                  <c:v>50.75</c:v>
                </c:pt>
                <c:pt idx="214">
                  <c:v>50.580001831054602</c:v>
                </c:pt>
                <c:pt idx="215">
                  <c:v>50.590000152587798</c:v>
                </c:pt>
                <c:pt idx="216">
                  <c:v>50.659999847412102</c:v>
                </c:pt>
                <c:pt idx="217">
                  <c:v>51.400001525878899</c:v>
                </c:pt>
                <c:pt idx="218">
                  <c:v>52.130001068115199</c:v>
                </c:pt>
                <c:pt idx="219">
                  <c:v>52.25</c:v>
                </c:pt>
                <c:pt idx="220">
                  <c:v>51.919998168945298</c:v>
                </c:pt>
                <c:pt idx="221">
                  <c:v>51.700000762939403</c:v>
                </c:pt>
                <c:pt idx="222">
                  <c:v>51.700000762939403</c:v>
                </c:pt>
                <c:pt idx="223">
                  <c:v>51.849998474121001</c:v>
                </c:pt>
                <c:pt idx="224">
                  <c:v>52.209999084472599</c:v>
                </c:pt>
                <c:pt idx="225">
                  <c:v>52.419998168945298</c:v>
                </c:pt>
                <c:pt idx="226">
                  <c:v>51.590000152587798</c:v>
                </c:pt>
                <c:pt idx="227">
                  <c:v>50.680000305175703</c:v>
                </c:pt>
                <c:pt idx="228">
                  <c:v>50.4799995422363</c:v>
                </c:pt>
                <c:pt idx="229">
                  <c:v>50.639999389648402</c:v>
                </c:pt>
                <c:pt idx="230">
                  <c:v>50.389999389648402</c:v>
                </c:pt>
                <c:pt idx="231">
                  <c:v>50.290000915527301</c:v>
                </c:pt>
                <c:pt idx="232">
                  <c:v>49.840000152587798</c:v>
                </c:pt>
                <c:pt idx="233">
                  <c:v>49.790000915527301</c:v>
                </c:pt>
                <c:pt idx="234">
                  <c:v>48.650001525878899</c:v>
                </c:pt>
                <c:pt idx="235">
                  <c:v>48.860000610351499</c:v>
                </c:pt>
                <c:pt idx="236">
                  <c:v>50.090000152587798</c:v>
                </c:pt>
                <c:pt idx="237">
                  <c:v>52.279998779296797</c:v>
                </c:pt>
                <c:pt idx="238">
                  <c:v>50.439998626708899</c:v>
                </c:pt>
                <c:pt idx="239">
                  <c:v>51.279998779296797</c:v>
                </c:pt>
                <c:pt idx="240">
                  <c:v>52.040000915527301</c:v>
                </c:pt>
                <c:pt idx="241">
                  <c:v>51.520000457763601</c:v>
                </c:pt>
                <c:pt idx="242">
                  <c:v>51.099998474121001</c:v>
                </c:pt>
                <c:pt idx="243">
                  <c:v>51.759998321533203</c:v>
                </c:pt>
                <c:pt idx="244">
                  <c:v>52.569999694824197</c:v>
                </c:pt>
                <c:pt idx="245">
                  <c:v>53.020000457763601</c:v>
                </c:pt>
                <c:pt idx="246">
                  <c:v>52.869998931884702</c:v>
                </c:pt>
                <c:pt idx="247">
                  <c:v>52.580001831054602</c:v>
                </c:pt>
                <c:pt idx="248">
                  <c:v>53.029998779296797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43-5243-B0A6-A4ED8413C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4542592"/>
        <c:axId val="159109295"/>
      </c:lineChart>
      <c:dateAx>
        <c:axId val="1664542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09295"/>
        <c:crosses val="autoZero"/>
        <c:auto val="1"/>
        <c:lblOffset val="100"/>
        <c:baseTimeUnit val="days"/>
      </c:dateAx>
      <c:valAx>
        <c:axId val="15910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54259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'Variance Covariance'!$N$5</c:f>
              <c:strCache>
                <c:ptCount val="1"/>
                <c:pt idx="0">
                  <c:v>MS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'Variance Covariance'!$L$6:$L$254</c:f>
              <c:numCache>
                <c:formatCode>m/d/yyyy</c:formatCode>
                <c:ptCount val="249"/>
                <c:pt idx="0">
                  <c:v>45597</c:v>
                </c:pt>
                <c:pt idx="1">
                  <c:v>45600</c:v>
                </c:pt>
                <c:pt idx="2">
                  <c:v>45601</c:v>
                </c:pt>
                <c:pt idx="3">
                  <c:v>45602</c:v>
                </c:pt>
                <c:pt idx="4">
                  <c:v>45603</c:v>
                </c:pt>
                <c:pt idx="5">
                  <c:v>45604</c:v>
                </c:pt>
                <c:pt idx="6">
                  <c:v>45607</c:v>
                </c:pt>
                <c:pt idx="7">
                  <c:v>45608</c:v>
                </c:pt>
                <c:pt idx="8">
                  <c:v>45609</c:v>
                </c:pt>
                <c:pt idx="9">
                  <c:v>45610</c:v>
                </c:pt>
                <c:pt idx="10">
                  <c:v>45611</c:v>
                </c:pt>
                <c:pt idx="11">
                  <c:v>45614</c:v>
                </c:pt>
                <c:pt idx="12">
                  <c:v>45615</c:v>
                </c:pt>
                <c:pt idx="13">
                  <c:v>45616</c:v>
                </c:pt>
                <c:pt idx="14">
                  <c:v>45617</c:v>
                </c:pt>
                <c:pt idx="15">
                  <c:v>45618</c:v>
                </c:pt>
                <c:pt idx="16">
                  <c:v>45621</c:v>
                </c:pt>
                <c:pt idx="17">
                  <c:v>45622</c:v>
                </c:pt>
                <c:pt idx="18">
                  <c:v>45623</c:v>
                </c:pt>
                <c:pt idx="19">
                  <c:v>45625</c:v>
                </c:pt>
                <c:pt idx="20">
                  <c:v>45628</c:v>
                </c:pt>
                <c:pt idx="21">
                  <c:v>45629</c:v>
                </c:pt>
                <c:pt idx="22">
                  <c:v>45630</c:v>
                </c:pt>
                <c:pt idx="23">
                  <c:v>45631</c:v>
                </c:pt>
                <c:pt idx="24">
                  <c:v>45632</c:v>
                </c:pt>
                <c:pt idx="25">
                  <c:v>45635</c:v>
                </c:pt>
                <c:pt idx="26">
                  <c:v>45636</c:v>
                </c:pt>
                <c:pt idx="27">
                  <c:v>45637</c:v>
                </c:pt>
                <c:pt idx="28">
                  <c:v>45638</c:v>
                </c:pt>
                <c:pt idx="29">
                  <c:v>45639</c:v>
                </c:pt>
                <c:pt idx="30">
                  <c:v>45642</c:v>
                </c:pt>
                <c:pt idx="31">
                  <c:v>45643</c:v>
                </c:pt>
                <c:pt idx="32">
                  <c:v>45644</c:v>
                </c:pt>
                <c:pt idx="33">
                  <c:v>45645</c:v>
                </c:pt>
                <c:pt idx="34">
                  <c:v>45646</c:v>
                </c:pt>
                <c:pt idx="35">
                  <c:v>45649</c:v>
                </c:pt>
                <c:pt idx="36">
                  <c:v>45650</c:v>
                </c:pt>
                <c:pt idx="37">
                  <c:v>45652</c:v>
                </c:pt>
                <c:pt idx="38">
                  <c:v>45653</c:v>
                </c:pt>
                <c:pt idx="39">
                  <c:v>45656</c:v>
                </c:pt>
                <c:pt idx="40">
                  <c:v>45657</c:v>
                </c:pt>
                <c:pt idx="41">
                  <c:v>45659</c:v>
                </c:pt>
                <c:pt idx="42">
                  <c:v>45660</c:v>
                </c:pt>
                <c:pt idx="43">
                  <c:v>45663</c:v>
                </c:pt>
                <c:pt idx="44">
                  <c:v>45664</c:v>
                </c:pt>
                <c:pt idx="45">
                  <c:v>45665</c:v>
                </c:pt>
                <c:pt idx="46">
                  <c:v>45667</c:v>
                </c:pt>
                <c:pt idx="47">
                  <c:v>45670</c:v>
                </c:pt>
                <c:pt idx="48">
                  <c:v>45671</c:v>
                </c:pt>
                <c:pt idx="49">
                  <c:v>45672</c:v>
                </c:pt>
                <c:pt idx="50">
                  <c:v>45673</c:v>
                </c:pt>
                <c:pt idx="51">
                  <c:v>45674</c:v>
                </c:pt>
                <c:pt idx="52">
                  <c:v>45678</c:v>
                </c:pt>
                <c:pt idx="53">
                  <c:v>45679</c:v>
                </c:pt>
                <c:pt idx="54">
                  <c:v>45680</c:v>
                </c:pt>
                <c:pt idx="55">
                  <c:v>45681</c:v>
                </c:pt>
                <c:pt idx="56">
                  <c:v>45684</c:v>
                </c:pt>
                <c:pt idx="57">
                  <c:v>45685</c:v>
                </c:pt>
                <c:pt idx="58">
                  <c:v>45686</c:v>
                </c:pt>
                <c:pt idx="59">
                  <c:v>45687</c:v>
                </c:pt>
                <c:pt idx="60">
                  <c:v>45688</c:v>
                </c:pt>
                <c:pt idx="61">
                  <c:v>45691</c:v>
                </c:pt>
                <c:pt idx="62">
                  <c:v>45692</c:v>
                </c:pt>
                <c:pt idx="63">
                  <c:v>45693</c:v>
                </c:pt>
                <c:pt idx="64">
                  <c:v>45694</c:v>
                </c:pt>
                <c:pt idx="65">
                  <c:v>45695</c:v>
                </c:pt>
                <c:pt idx="66">
                  <c:v>45698</c:v>
                </c:pt>
                <c:pt idx="67">
                  <c:v>45699</c:v>
                </c:pt>
                <c:pt idx="68">
                  <c:v>45700</c:v>
                </c:pt>
                <c:pt idx="69">
                  <c:v>45701</c:v>
                </c:pt>
                <c:pt idx="70">
                  <c:v>45702</c:v>
                </c:pt>
                <c:pt idx="71">
                  <c:v>45706</c:v>
                </c:pt>
                <c:pt idx="72">
                  <c:v>45707</c:v>
                </c:pt>
                <c:pt idx="73">
                  <c:v>45708</c:v>
                </c:pt>
                <c:pt idx="74">
                  <c:v>45709</c:v>
                </c:pt>
                <c:pt idx="75">
                  <c:v>45712</c:v>
                </c:pt>
                <c:pt idx="76">
                  <c:v>45713</c:v>
                </c:pt>
                <c:pt idx="77">
                  <c:v>45714</c:v>
                </c:pt>
                <c:pt idx="78">
                  <c:v>45715</c:v>
                </c:pt>
                <c:pt idx="79">
                  <c:v>45716</c:v>
                </c:pt>
                <c:pt idx="80">
                  <c:v>45719</c:v>
                </c:pt>
                <c:pt idx="81">
                  <c:v>45720</c:v>
                </c:pt>
                <c:pt idx="82">
                  <c:v>45721</c:v>
                </c:pt>
                <c:pt idx="83">
                  <c:v>45722</c:v>
                </c:pt>
                <c:pt idx="84">
                  <c:v>45723</c:v>
                </c:pt>
                <c:pt idx="85">
                  <c:v>45726</c:v>
                </c:pt>
                <c:pt idx="86">
                  <c:v>45727</c:v>
                </c:pt>
                <c:pt idx="87">
                  <c:v>45728</c:v>
                </c:pt>
                <c:pt idx="88">
                  <c:v>45729</c:v>
                </c:pt>
                <c:pt idx="89">
                  <c:v>45730</c:v>
                </c:pt>
                <c:pt idx="90">
                  <c:v>45733</c:v>
                </c:pt>
                <c:pt idx="91">
                  <c:v>45734</c:v>
                </c:pt>
                <c:pt idx="92">
                  <c:v>45735</c:v>
                </c:pt>
                <c:pt idx="93">
                  <c:v>45736</c:v>
                </c:pt>
                <c:pt idx="94">
                  <c:v>45737</c:v>
                </c:pt>
                <c:pt idx="95">
                  <c:v>45740</c:v>
                </c:pt>
                <c:pt idx="96">
                  <c:v>45741</c:v>
                </c:pt>
                <c:pt idx="97">
                  <c:v>45742</c:v>
                </c:pt>
                <c:pt idx="98">
                  <c:v>45743</c:v>
                </c:pt>
                <c:pt idx="99">
                  <c:v>45744</c:v>
                </c:pt>
                <c:pt idx="100">
                  <c:v>45747</c:v>
                </c:pt>
                <c:pt idx="101">
                  <c:v>45748</c:v>
                </c:pt>
                <c:pt idx="102">
                  <c:v>45749</c:v>
                </c:pt>
                <c:pt idx="103">
                  <c:v>45750</c:v>
                </c:pt>
                <c:pt idx="104">
                  <c:v>45751</c:v>
                </c:pt>
                <c:pt idx="105">
                  <c:v>45754</c:v>
                </c:pt>
                <c:pt idx="106">
                  <c:v>45755</c:v>
                </c:pt>
                <c:pt idx="107">
                  <c:v>45756</c:v>
                </c:pt>
                <c:pt idx="108">
                  <c:v>45757</c:v>
                </c:pt>
                <c:pt idx="109">
                  <c:v>45758</c:v>
                </c:pt>
                <c:pt idx="110">
                  <c:v>45761</c:v>
                </c:pt>
                <c:pt idx="111">
                  <c:v>45762</c:v>
                </c:pt>
                <c:pt idx="112">
                  <c:v>45763</c:v>
                </c:pt>
                <c:pt idx="113">
                  <c:v>45764</c:v>
                </c:pt>
                <c:pt idx="114">
                  <c:v>45768</c:v>
                </c:pt>
                <c:pt idx="115">
                  <c:v>45769</c:v>
                </c:pt>
                <c:pt idx="116">
                  <c:v>45770</c:v>
                </c:pt>
                <c:pt idx="117">
                  <c:v>45771</c:v>
                </c:pt>
                <c:pt idx="118">
                  <c:v>45772</c:v>
                </c:pt>
                <c:pt idx="119">
                  <c:v>45775</c:v>
                </c:pt>
                <c:pt idx="120">
                  <c:v>45776</c:v>
                </c:pt>
                <c:pt idx="121">
                  <c:v>45777</c:v>
                </c:pt>
                <c:pt idx="122">
                  <c:v>45778</c:v>
                </c:pt>
                <c:pt idx="123">
                  <c:v>45779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45789</c:v>
                </c:pt>
                <c:pt idx="130">
                  <c:v>45790</c:v>
                </c:pt>
                <c:pt idx="131">
                  <c:v>45791</c:v>
                </c:pt>
                <c:pt idx="132">
                  <c:v>45792</c:v>
                </c:pt>
                <c:pt idx="133">
                  <c:v>45793</c:v>
                </c:pt>
                <c:pt idx="134">
                  <c:v>45796</c:v>
                </c:pt>
                <c:pt idx="135">
                  <c:v>45797</c:v>
                </c:pt>
                <c:pt idx="136">
                  <c:v>45798</c:v>
                </c:pt>
                <c:pt idx="137">
                  <c:v>45799</c:v>
                </c:pt>
                <c:pt idx="138">
                  <c:v>45800</c:v>
                </c:pt>
                <c:pt idx="139">
                  <c:v>45804</c:v>
                </c:pt>
                <c:pt idx="140">
                  <c:v>45805</c:v>
                </c:pt>
                <c:pt idx="141">
                  <c:v>45806</c:v>
                </c:pt>
                <c:pt idx="142">
                  <c:v>45807</c:v>
                </c:pt>
                <c:pt idx="143">
                  <c:v>45810</c:v>
                </c:pt>
                <c:pt idx="144">
                  <c:v>45811</c:v>
                </c:pt>
                <c:pt idx="145">
                  <c:v>45812</c:v>
                </c:pt>
                <c:pt idx="146">
                  <c:v>45813</c:v>
                </c:pt>
                <c:pt idx="147">
                  <c:v>45814</c:v>
                </c:pt>
                <c:pt idx="148">
                  <c:v>45817</c:v>
                </c:pt>
                <c:pt idx="149">
                  <c:v>45818</c:v>
                </c:pt>
                <c:pt idx="150">
                  <c:v>45819</c:v>
                </c:pt>
                <c:pt idx="151">
                  <c:v>45820</c:v>
                </c:pt>
                <c:pt idx="152">
                  <c:v>45821</c:v>
                </c:pt>
                <c:pt idx="153">
                  <c:v>45824</c:v>
                </c:pt>
                <c:pt idx="154">
                  <c:v>45825</c:v>
                </c:pt>
                <c:pt idx="155">
                  <c:v>45826</c:v>
                </c:pt>
                <c:pt idx="156">
                  <c:v>45828</c:v>
                </c:pt>
                <c:pt idx="157">
                  <c:v>45831</c:v>
                </c:pt>
                <c:pt idx="158">
                  <c:v>45832</c:v>
                </c:pt>
                <c:pt idx="159">
                  <c:v>45833</c:v>
                </c:pt>
                <c:pt idx="160">
                  <c:v>45834</c:v>
                </c:pt>
                <c:pt idx="161">
                  <c:v>45835</c:v>
                </c:pt>
                <c:pt idx="162">
                  <c:v>45838</c:v>
                </c:pt>
                <c:pt idx="163">
                  <c:v>45839</c:v>
                </c:pt>
                <c:pt idx="164">
                  <c:v>45840</c:v>
                </c:pt>
                <c:pt idx="165">
                  <c:v>45841</c:v>
                </c:pt>
                <c:pt idx="166">
                  <c:v>45845</c:v>
                </c:pt>
                <c:pt idx="167">
                  <c:v>45846</c:v>
                </c:pt>
                <c:pt idx="168">
                  <c:v>45847</c:v>
                </c:pt>
                <c:pt idx="169">
                  <c:v>45848</c:v>
                </c:pt>
                <c:pt idx="170">
                  <c:v>45849</c:v>
                </c:pt>
                <c:pt idx="171">
                  <c:v>45852</c:v>
                </c:pt>
                <c:pt idx="172">
                  <c:v>45853</c:v>
                </c:pt>
                <c:pt idx="173">
                  <c:v>45854</c:v>
                </c:pt>
                <c:pt idx="174">
                  <c:v>45855</c:v>
                </c:pt>
                <c:pt idx="175">
                  <c:v>45856</c:v>
                </c:pt>
                <c:pt idx="176">
                  <c:v>45859</c:v>
                </c:pt>
                <c:pt idx="177">
                  <c:v>45860</c:v>
                </c:pt>
                <c:pt idx="178">
                  <c:v>45861</c:v>
                </c:pt>
                <c:pt idx="179">
                  <c:v>45862</c:v>
                </c:pt>
                <c:pt idx="180">
                  <c:v>45863</c:v>
                </c:pt>
                <c:pt idx="181">
                  <c:v>45866</c:v>
                </c:pt>
                <c:pt idx="182">
                  <c:v>45867</c:v>
                </c:pt>
                <c:pt idx="183">
                  <c:v>45868</c:v>
                </c:pt>
                <c:pt idx="184">
                  <c:v>45869</c:v>
                </c:pt>
                <c:pt idx="185">
                  <c:v>45870</c:v>
                </c:pt>
                <c:pt idx="186">
                  <c:v>45873</c:v>
                </c:pt>
                <c:pt idx="187">
                  <c:v>45874</c:v>
                </c:pt>
                <c:pt idx="188">
                  <c:v>45875</c:v>
                </c:pt>
                <c:pt idx="189">
                  <c:v>45876</c:v>
                </c:pt>
                <c:pt idx="190">
                  <c:v>45877</c:v>
                </c:pt>
                <c:pt idx="191">
                  <c:v>45880</c:v>
                </c:pt>
                <c:pt idx="192">
                  <c:v>45881</c:v>
                </c:pt>
                <c:pt idx="193">
                  <c:v>45882</c:v>
                </c:pt>
                <c:pt idx="194">
                  <c:v>45883</c:v>
                </c:pt>
                <c:pt idx="195">
                  <c:v>45884</c:v>
                </c:pt>
                <c:pt idx="196">
                  <c:v>45887</c:v>
                </c:pt>
                <c:pt idx="197">
                  <c:v>45888</c:v>
                </c:pt>
                <c:pt idx="198">
                  <c:v>45889</c:v>
                </c:pt>
                <c:pt idx="199">
                  <c:v>45890</c:v>
                </c:pt>
                <c:pt idx="200">
                  <c:v>45891</c:v>
                </c:pt>
                <c:pt idx="201">
                  <c:v>45894</c:v>
                </c:pt>
                <c:pt idx="202">
                  <c:v>45895</c:v>
                </c:pt>
                <c:pt idx="203">
                  <c:v>45896</c:v>
                </c:pt>
                <c:pt idx="204">
                  <c:v>45897</c:v>
                </c:pt>
                <c:pt idx="205">
                  <c:v>45898</c:v>
                </c:pt>
                <c:pt idx="206">
                  <c:v>45902</c:v>
                </c:pt>
                <c:pt idx="207">
                  <c:v>45903</c:v>
                </c:pt>
                <c:pt idx="208">
                  <c:v>45904</c:v>
                </c:pt>
                <c:pt idx="209">
                  <c:v>45905</c:v>
                </c:pt>
                <c:pt idx="210">
                  <c:v>45908</c:v>
                </c:pt>
                <c:pt idx="211">
                  <c:v>45909</c:v>
                </c:pt>
                <c:pt idx="212">
                  <c:v>45910</c:v>
                </c:pt>
                <c:pt idx="213">
                  <c:v>45911</c:v>
                </c:pt>
                <c:pt idx="214">
                  <c:v>45912</c:v>
                </c:pt>
                <c:pt idx="215">
                  <c:v>45915</c:v>
                </c:pt>
                <c:pt idx="216">
                  <c:v>45916</c:v>
                </c:pt>
                <c:pt idx="217">
                  <c:v>45917</c:v>
                </c:pt>
                <c:pt idx="218">
                  <c:v>45918</c:v>
                </c:pt>
                <c:pt idx="219">
                  <c:v>45919</c:v>
                </c:pt>
                <c:pt idx="220">
                  <c:v>45922</c:v>
                </c:pt>
                <c:pt idx="221">
                  <c:v>45923</c:v>
                </c:pt>
                <c:pt idx="222">
                  <c:v>45924</c:v>
                </c:pt>
                <c:pt idx="223">
                  <c:v>45925</c:v>
                </c:pt>
                <c:pt idx="224">
                  <c:v>45926</c:v>
                </c:pt>
                <c:pt idx="225">
                  <c:v>45929</c:v>
                </c:pt>
                <c:pt idx="226">
                  <c:v>45930</c:v>
                </c:pt>
                <c:pt idx="227">
                  <c:v>45931</c:v>
                </c:pt>
                <c:pt idx="228">
                  <c:v>45932</c:v>
                </c:pt>
                <c:pt idx="229">
                  <c:v>45933</c:v>
                </c:pt>
                <c:pt idx="230">
                  <c:v>45936</c:v>
                </c:pt>
                <c:pt idx="231">
                  <c:v>45937</c:v>
                </c:pt>
                <c:pt idx="232">
                  <c:v>45938</c:v>
                </c:pt>
                <c:pt idx="233">
                  <c:v>45939</c:v>
                </c:pt>
                <c:pt idx="234">
                  <c:v>45940</c:v>
                </c:pt>
                <c:pt idx="235">
                  <c:v>45943</c:v>
                </c:pt>
                <c:pt idx="236">
                  <c:v>45944</c:v>
                </c:pt>
                <c:pt idx="237">
                  <c:v>45945</c:v>
                </c:pt>
                <c:pt idx="238">
                  <c:v>45946</c:v>
                </c:pt>
                <c:pt idx="239">
                  <c:v>45947</c:v>
                </c:pt>
                <c:pt idx="240">
                  <c:v>45950</c:v>
                </c:pt>
                <c:pt idx="241">
                  <c:v>45951</c:v>
                </c:pt>
                <c:pt idx="242">
                  <c:v>45952</c:v>
                </c:pt>
                <c:pt idx="243">
                  <c:v>45953</c:v>
                </c:pt>
                <c:pt idx="244">
                  <c:v>45954</c:v>
                </c:pt>
                <c:pt idx="245">
                  <c:v>45957</c:v>
                </c:pt>
                <c:pt idx="246">
                  <c:v>45958</c:v>
                </c:pt>
                <c:pt idx="247">
                  <c:v>45959</c:v>
                </c:pt>
                <c:pt idx="248">
                  <c:v>45960</c:v>
                </c:pt>
              </c:numCache>
            </c:numRef>
          </c:cat>
          <c:val>
            <c:numRef>
              <c:f>'Variance Covariance'!$N$6:$N$254</c:f>
              <c:numCache>
                <c:formatCode>0.00</c:formatCode>
                <c:ptCount val="249"/>
                <c:pt idx="0">
                  <c:v>113.667182922363</c:v>
                </c:pt>
                <c:pt idx="1">
                  <c:v>112.976524353027</c:v>
                </c:pt>
                <c:pt idx="2">
                  <c:v>114.60104370117099</c:v>
                </c:pt>
                <c:pt idx="3">
                  <c:v>127.90841674804599</c:v>
                </c:pt>
                <c:pt idx="4">
                  <c:v>124.941505432128</c:v>
                </c:pt>
                <c:pt idx="5">
                  <c:v>126.00179290771401</c:v>
                </c:pt>
                <c:pt idx="6">
                  <c:v>129.88313293457</c:v>
                </c:pt>
                <c:pt idx="7">
                  <c:v>128.70608520507801</c:v>
                </c:pt>
                <c:pt idx="8">
                  <c:v>129.14382934570301</c:v>
                </c:pt>
                <c:pt idx="9">
                  <c:v>128.82279968261699</c:v>
                </c:pt>
                <c:pt idx="10">
                  <c:v>130.40841674804599</c:v>
                </c:pt>
                <c:pt idx="11">
                  <c:v>130.13604736328099</c:v>
                </c:pt>
                <c:pt idx="12">
                  <c:v>128.63801574707</c:v>
                </c:pt>
                <c:pt idx="13">
                  <c:v>128.10299682617099</c:v>
                </c:pt>
                <c:pt idx="14">
                  <c:v>131.31309509277301</c:v>
                </c:pt>
                <c:pt idx="15">
                  <c:v>131.02125549316401</c:v>
                </c:pt>
                <c:pt idx="16">
                  <c:v>130.01930236816401</c:v>
                </c:pt>
                <c:pt idx="17">
                  <c:v>127.704132080078</c:v>
                </c:pt>
                <c:pt idx="18">
                  <c:v>127.63606262207</c:v>
                </c:pt>
                <c:pt idx="19">
                  <c:v>128.025146484375</c:v>
                </c:pt>
                <c:pt idx="20">
                  <c:v>127.4609375</c:v>
                </c:pt>
                <c:pt idx="21">
                  <c:v>126.88701629638599</c:v>
                </c:pt>
                <c:pt idx="22">
                  <c:v>126.44927978515599</c:v>
                </c:pt>
                <c:pt idx="23">
                  <c:v>126.770294189453</c:v>
                </c:pt>
                <c:pt idx="24">
                  <c:v>126.420104980468</c:v>
                </c:pt>
                <c:pt idx="25">
                  <c:v>125.07769012451099</c:v>
                </c:pt>
                <c:pt idx="26">
                  <c:v>123.33644104003901</c:v>
                </c:pt>
                <c:pt idx="27">
                  <c:v>124.11464691162099</c:v>
                </c:pt>
                <c:pt idx="28">
                  <c:v>124.42592620849599</c:v>
                </c:pt>
                <c:pt idx="29">
                  <c:v>123.92982482910099</c:v>
                </c:pt>
                <c:pt idx="30">
                  <c:v>125.515426635742</c:v>
                </c:pt>
                <c:pt idx="31">
                  <c:v>124.260566711425</c:v>
                </c:pt>
                <c:pt idx="32">
                  <c:v>117.74305725097599</c:v>
                </c:pt>
                <c:pt idx="33">
                  <c:v>117.217765808105</c:v>
                </c:pt>
                <c:pt idx="34">
                  <c:v>120.07769775390599</c:v>
                </c:pt>
                <c:pt idx="35">
                  <c:v>121.060173034667</c:v>
                </c:pt>
                <c:pt idx="36">
                  <c:v>123.599082946777</c:v>
                </c:pt>
                <c:pt idx="37">
                  <c:v>124.542663574218</c:v>
                </c:pt>
                <c:pt idx="38">
                  <c:v>123.307258605957</c:v>
                </c:pt>
                <c:pt idx="39">
                  <c:v>122.3247756958</c:v>
                </c:pt>
                <c:pt idx="40">
                  <c:v>122.29557800292901</c:v>
                </c:pt>
                <c:pt idx="41">
                  <c:v>121.38118743896401</c:v>
                </c:pt>
                <c:pt idx="42">
                  <c:v>122.509590148925</c:v>
                </c:pt>
                <c:pt idx="43">
                  <c:v>125.13604736328099</c:v>
                </c:pt>
                <c:pt idx="44">
                  <c:v>123.42398071289</c:v>
                </c:pt>
                <c:pt idx="45">
                  <c:v>124.377296447753</c:v>
                </c:pt>
                <c:pt idx="46">
                  <c:v>120.08740997314401</c:v>
                </c:pt>
                <c:pt idx="47">
                  <c:v>120.612701416015</c:v>
                </c:pt>
                <c:pt idx="48">
                  <c:v>121.22555541992099</c:v>
                </c:pt>
                <c:pt idx="49">
                  <c:v>126.99403381347599</c:v>
                </c:pt>
                <c:pt idx="50">
                  <c:v>132.11076354980401</c:v>
                </c:pt>
                <c:pt idx="51">
                  <c:v>134.11463928222599</c:v>
                </c:pt>
                <c:pt idx="52">
                  <c:v>133.56016540527301</c:v>
                </c:pt>
                <c:pt idx="53">
                  <c:v>132.29559326171801</c:v>
                </c:pt>
                <c:pt idx="54">
                  <c:v>134.04655456542901</c:v>
                </c:pt>
                <c:pt idx="55">
                  <c:v>134.06600952148401</c:v>
                </c:pt>
                <c:pt idx="56">
                  <c:v>132.92787170410099</c:v>
                </c:pt>
                <c:pt idx="57">
                  <c:v>134.76638793945301</c:v>
                </c:pt>
                <c:pt idx="58">
                  <c:v>134.93176269531199</c:v>
                </c:pt>
                <c:pt idx="59">
                  <c:v>136.12826538085901</c:v>
                </c:pt>
                <c:pt idx="60">
                  <c:v>135.55538940429599</c:v>
                </c:pt>
                <c:pt idx="61">
                  <c:v>134.31178283691401</c:v>
                </c:pt>
                <c:pt idx="62">
                  <c:v>133.92988586425699</c:v>
                </c:pt>
                <c:pt idx="63">
                  <c:v>136.04502868652301</c:v>
                </c:pt>
                <c:pt idx="64">
                  <c:v>138.15037536621</c:v>
                </c:pt>
                <c:pt idx="65">
                  <c:v>137.07321166992099</c:v>
                </c:pt>
                <c:pt idx="66">
                  <c:v>134.45866394042901</c:v>
                </c:pt>
                <c:pt idx="67">
                  <c:v>134.92869567871</c:v>
                </c:pt>
                <c:pt idx="68">
                  <c:v>134.26281738281199</c:v>
                </c:pt>
                <c:pt idx="69">
                  <c:v>133.99841308593699</c:v>
                </c:pt>
                <c:pt idx="70">
                  <c:v>136.06462097167901</c:v>
                </c:pt>
                <c:pt idx="71">
                  <c:v>137.78807067871</c:v>
                </c:pt>
                <c:pt idx="72">
                  <c:v>137.76847839355401</c:v>
                </c:pt>
                <c:pt idx="73">
                  <c:v>131.55033874511699</c:v>
                </c:pt>
                <c:pt idx="74">
                  <c:v>128.95536804199199</c:v>
                </c:pt>
                <c:pt idx="75">
                  <c:v>127.271095275878</c:v>
                </c:pt>
                <c:pt idx="76">
                  <c:v>126.908767700195</c:v>
                </c:pt>
                <c:pt idx="77">
                  <c:v>128.32865905761699</c:v>
                </c:pt>
                <c:pt idx="78">
                  <c:v>126.55624389648401</c:v>
                </c:pt>
                <c:pt idx="79">
                  <c:v>130.34588623046801</c:v>
                </c:pt>
                <c:pt idx="80">
                  <c:v>126.448532104492</c:v>
                </c:pt>
                <c:pt idx="81">
                  <c:v>119.19239807128901</c:v>
                </c:pt>
                <c:pt idx="82">
                  <c:v>121.1802444458</c:v>
                </c:pt>
                <c:pt idx="83">
                  <c:v>116.89120483398401</c:v>
                </c:pt>
                <c:pt idx="84">
                  <c:v>116.812858581542</c:v>
                </c:pt>
                <c:pt idx="85">
                  <c:v>109.370681762695</c:v>
                </c:pt>
                <c:pt idx="86">
                  <c:v>109.713409423828</c:v>
                </c:pt>
                <c:pt idx="87">
                  <c:v>111.63271331787099</c:v>
                </c:pt>
                <c:pt idx="88">
                  <c:v>109.36089324951099</c:v>
                </c:pt>
                <c:pt idx="89">
                  <c:v>112.94487762451099</c:v>
                </c:pt>
                <c:pt idx="90">
                  <c:v>115.51047515869099</c:v>
                </c:pt>
                <c:pt idx="91">
                  <c:v>115.65736389160099</c:v>
                </c:pt>
                <c:pt idx="92">
                  <c:v>117.36122894287099</c:v>
                </c:pt>
                <c:pt idx="93">
                  <c:v>117.968360900878</c:v>
                </c:pt>
                <c:pt idx="94">
                  <c:v>117.645210266113</c:v>
                </c:pt>
                <c:pt idx="95">
                  <c:v>121.68943786621</c:v>
                </c:pt>
                <c:pt idx="96">
                  <c:v>122.600135803222</c:v>
                </c:pt>
                <c:pt idx="97">
                  <c:v>119.66242980957</c:v>
                </c:pt>
                <c:pt idx="98">
                  <c:v>116.5288772583</c:v>
                </c:pt>
                <c:pt idx="99">
                  <c:v>112.935096740722</c:v>
                </c:pt>
                <c:pt idx="100">
                  <c:v>114.247261047363</c:v>
                </c:pt>
                <c:pt idx="101">
                  <c:v>113.33657073974599</c:v>
                </c:pt>
                <c:pt idx="102">
                  <c:v>116.79327392578099</c:v>
                </c:pt>
                <c:pt idx="103">
                  <c:v>105.688758850097</c:v>
                </c:pt>
                <c:pt idx="104">
                  <c:v>97.7569580078125</c:v>
                </c:pt>
                <c:pt idx="105">
                  <c:v>98.824325561523395</c:v>
                </c:pt>
                <c:pt idx="106">
                  <c:v>98.226989746093693</c:v>
                </c:pt>
                <c:pt idx="107">
                  <c:v>109.380470275878</c:v>
                </c:pt>
                <c:pt idx="108">
                  <c:v>104.36679077148401</c:v>
                </c:pt>
                <c:pt idx="109">
                  <c:v>105.87480926513599</c:v>
                </c:pt>
                <c:pt idx="110">
                  <c:v>106.84425354003901</c:v>
                </c:pt>
                <c:pt idx="111">
                  <c:v>108.14663696289</c:v>
                </c:pt>
                <c:pt idx="112">
                  <c:v>105.620216369628</c:v>
                </c:pt>
                <c:pt idx="113">
                  <c:v>106.912803649902</c:v>
                </c:pt>
                <c:pt idx="114">
                  <c:v>104.09261322021401</c:v>
                </c:pt>
                <c:pt idx="115">
                  <c:v>108.087882995605</c:v>
                </c:pt>
                <c:pt idx="116">
                  <c:v>109.97779846191401</c:v>
                </c:pt>
                <c:pt idx="117">
                  <c:v>113.199485778808</c:v>
                </c:pt>
                <c:pt idx="118">
                  <c:v>113.600982666015</c:v>
                </c:pt>
                <c:pt idx="119">
                  <c:v>113.42470550537099</c:v>
                </c:pt>
                <c:pt idx="120">
                  <c:v>113.796813964843</c:v>
                </c:pt>
                <c:pt idx="121">
                  <c:v>113.93007659912099</c:v>
                </c:pt>
                <c:pt idx="122">
                  <c:v>115.25277709960901</c:v>
                </c:pt>
                <c:pt idx="123">
                  <c:v>118.66811370849599</c:v>
                </c:pt>
                <c:pt idx="124">
                  <c:v>118.056114196777</c:v>
                </c:pt>
                <c:pt idx="125">
                  <c:v>116.802513122558</c:v>
                </c:pt>
                <c:pt idx="126">
                  <c:v>117.56256866455</c:v>
                </c:pt>
                <c:pt idx="127">
                  <c:v>120.306678771972</c:v>
                </c:pt>
                <c:pt idx="128">
                  <c:v>120.129005432128</c:v>
                </c:pt>
                <c:pt idx="129">
                  <c:v>125.41981506347599</c:v>
                </c:pt>
                <c:pt idx="130">
                  <c:v>127.68026733398401</c:v>
                </c:pt>
                <c:pt idx="131">
                  <c:v>129.34841918945301</c:v>
                </c:pt>
                <c:pt idx="132">
                  <c:v>130.79946899414</c:v>
                </c:pt>
                <c:pt idx="133">
                  <c:v>130.473709106445</c:v>
                </c:pt>
                <c:pt idx="134">
                  <c:v>129.15101623535099</c:v>
                </c:pt>
                <c:pt idx="135">
                  <c:v>127.46310424804599</c:v>
                </c:pt>
                <c:pt idx="136">
                  <c:v>123.68253326416</c:v>
                </c:pt>
                <c:pt idx="137">
                  <c:v>124.63014221191401</c:v>
                </c:pt>
                <c:pt idx="138">
                  <c:v>124.44259643554599</c:v>
                </c:pt>
                <c:pt idx="139">
                  <c:v>127.542068481445</c:v>
                </c:pt>
                <c:pt idx="140">
                  <c:v>125.864013671875</c:v>
                </c:pt>
                <c:pt idx="141">
                  <c:v>126.50562286376901</c:v>
                </c:pt>
                <c:pt idx="142">
                  <c:v>126.37728881835901</c:v>
                </c:pt>
                <c:pt idx="143">
                  <c:v>126.74251556396401</c:v>
                </c:pt>
                <c:pt idx="144">
                  <c:v>127.018898010253</c:v>
                </c:pt>
                <c:pt idx="145">
                  <c:v>126.50562286376901</c:v>
                </c:pt>
                <c:pt idx="146">
                  <c:v>128.93385314941401</c:v>
                </c:pt>
                <c:pt idx="147">
                  <c:v>130.11837768554599</c:v>
                </c:pt>
                <c:pt idx="148">
                  <c:v>130.24668884277301</c:v>
                </c:pt>
                <c:pt idx="149">
                  <c:v>130.11837768554599</c:v>
                </c:pt>
                <c:pt idx="150">
                  <c:v>130.10848999023401</c:v>
                </c:pt>
                <c:pt idx="151">
                  <c:v>130.21707153320301</c:v>
                </c:pt>
                <c:pt idx="152">
                  <c:v>127.81845092773401</c:v>
                </c:pt>
                <c:pt idx="153">
                  <c:v>129.21023559570301</c:v>
                </c:pt>
                <c:pt idx="154">
                  <c:v>128.41069030761699</c:v>
                </c:pt>
                <c:pt idx="155">
                  <c:v>130.80934143066401</c:v>
                </c:pt>
                <c:pt idx="156">
                  <c:v>130.99688720703099</c:v>
                </c:pt>
                <c:pt idx="157">
                  <c:v>132.27023315429599</c:v>
                </c:pt>
                <c:pt idx="158">
                  <c:v>134.14569091796801</c:v>
                </c:pt>
                <c:pt idx="159">
                  <c:v>135.94219970703099</c:v>
                </c:pt>
                <c:pt idx="160">
                  <c:v>137.94599914550699</c:v>
                </c:pt>
                <c:pt idx="161">
                  <c:v>138.87388610839801</c:v>
                </c:pt>
                <c:pt idx="162">
                  <c:v>139.04167175292901</c:v>
                </c:pt>
                <c:pt idx="163">
                  <c:v>139.24897766113199</c:v>
                </c:pt>
                <c:pt idx="164">
                  <c:v>141.015853881835</c:v>
                </c:pt>
                <c:pt idx="165">
                  <c:v>142.27932739257801</c:v>
                </c:pt>
                <c:pt idx="166">
                  <c:v>141.884506225585</c:v>
                </c:pt>
                <c:pt idx="167">
                  <c:v>139.30819702148401</c:v>
                </c:pt>
                <c:pt idx="168">
                  <c:v>139.72277832031199</c:v>
                </c:pt>
                <c:pt idx="169">
                  <c:v>141.24288940429599</c:v>
                </c:pt>
                <c:pt idx="170">
                  <c:v>140.44334411621</c:v>
                </c:pt>
                <c:pt idx="171">
                  <c:v>142.11152648925699</c:v>
                </c:pt>
                <c:pt idx="172">
                  <c:v>139.76225280761699</c:v>
                </c:pt>
                <c:pt idx="173">
                  <c:v>137.98548889160099</c:v>
                </c:pt>
                <c:pt idx="174">
                  <c:v>139.08114624023401</c:v>
                </c:pt>
                <c:pt idx="175">
                  <c:v>139.01206970214801</c:v>
                </c:pt>
                <c:pt idx="176">
                  <c:v>138.65670776367099</c:v>
                </c:pt>
                <c:pt idx="177">
                  <c:v>138.23225402832</c:v>
                </c:pt>
                <c:pt idx="178">
                  <c:v>140.374252319335</c:v>
                </c:pt>
                <c:pt idx="179">
                  <c:v>140.66050720214801</c:v>
                </c:pt>
                <c:pt idx="180">
                  <c:v>141.16392517089801</c:v>
                </c:pt>
                <c:pt idx="181">
                  <c:v>140.7197265625</c:v>
                </c:pt>
                <c:pt idx="182">
                  <c:v>141.70681762695301</c:v>
                </c:pt>
                <c:pt idx="183">
                  <c:v>143.06900024414</c:v>
                </c:pt>
                <c:pt idx="184">
                  <c:v>141.59797668457</c:v>
                </c:pt>
                <c:pt idx="185">
                  <c:v>138.24835205078099</c:v>
                </c:pt>
                <c:pt idx="186">
                  <c:v>140.504623413085</c:v>
                </c:pt>
                <c:pt idx="187">
                  <c:v>139.61007690429599</c:v>
                </c:pt>
                <c:pt idx="188">
                  <c:v>140.44499206542901</c:v>
                </c:pt>
                <c:pt idx="189">
                  <c:v>140.06727600097599</c:v>
                </c:pt>
                <c:pt idx="190">
                  <c:v>142.31359863281199</c:v>
                </c:pt>
                <c:pt idx="191">
                  <c:v>143.00938415527301</c:v>
                </c:pt>
                <c:pt idx="192">
                  <c:v>146.39872741699199</c:v>
                </c:pt>
                <c:pt idx="193">
                  <c:v>146.86589050292901</c:v>
                </c:pt>
                <c:pt idx="194">
                  <c:v>147.61135864257801</c:v>
                </c:pt>
                <c:pt idx="195">
                  <c:v>143.75483703613199</c:v>
                </c:pt>
                <c:pt idx="196">
                  <c:v>143.90393066406199</c:v>
                </c:pt>
                <c:pt idx="197">
                  <c:v>143.19822692871</c:v>
                </c:pt>
                <c:pt idx="198">
                  <c:v>143.24790954589801</c:v>
                </c:pt>
                <c:pt idx="199">
                  <c:v>143.16839599609301</c:v>
                </c:pt>
                <c:pt idx="200">
                  <c:v>147.12432861328099</c:v>
                </c:pt>
                <c:pt idx="201">
                  <c:v>146.75656127929599</c:v>
                </c:pt>
                <c:pt idx="202">
                  <c:v>148.06857299804599</c:v>
                </c:pt>
                <c:pt idx="203">
                  <c:v>148.47608947753901</c:v>
                </c:pt>
                <c:pt idx="204">
                  <c:v>149.271240234375</c:v>
                </c:pt>
                <c:pt idx="205">
                  <c:v>149.56942749023401</c:v>
                </c:pt>
                <c:pt idx="206">
                  <c:v>147.94931030273401</c:v>
                </c:pt>
                <c:pt idx="207">
                  <c:v>147.63124084472599</c:v>
                </c:pt>
                <c:pt idx="208">
                  <c:v>149.61912536621</c:v>
                </c:pt>
                <c:pt idx="209">
                  <c:v>147.19389343261699</c:v>
                </c:pt>
                <c:pt idx="210">
                  <c:v>147.8896484375</c:v>
                </c:pt>
                <c:pt idx="211">
                  <c:v>151.298904418945</c:v>
                </c:pt>
                <c:pt idx="212">
                  <c:v>153.187408447265</c:v>
                </c:pt>
                <c:pt idx="213">
                  <c:v>155.53312683105401</c:v>
                </c:pt>
                <c:pt idx="214">
                  <c:v>155.44367980957</c:v>
                </c:pt>
                <c:pt idx="215">
                  <c:v>155.69215393066401</c:v>
                </c:pt>
                <c:pt idx="216">
                  <c:v>154.8671875</c:v>
                </c:pt>
                <c:pt idx="217">
                  <c:v>156.45750427246</c:v>
                </c:pt>
                <c:pt idx="218">
                  <c:v>158.27642822265599</c:v>
                </c:pt>
                <c:pt idx="219">
                  <c:v>158.9423828125</c:v>
                </c:pt>
                <c:pt idx="220">
                  <c:v>159.737533569335</c:v>
                </c:pt>
                <c:pt idx="221">
                  <c:v>159.78723144531199</c:v>
                </c:pt>
                <c:pt idx="222">
                  <c:v>156.92466735839801</c:v>
                </c:pt>
                <c:pt idx="223">
                  <c:v>157.98817443847599</c:v>
                </c:pt>
                <c:pt idx="224">
                  <c:v>159.14115905761699</c:v>
                </c:pt>
                <c:pt idx="225">
                  <c:v>160.184814453125</c:v>
                </c:pt>
                <c:pt idx="226">
                  <c:v>157.998123168945</c:v>
                </c:pt>
                <c:pt idx="227">
                  <c:v>155.94064331054599</c:v>
                </c:pt>
                <c:pt idx="228">
                  <c:v>154.36027526855401</c:v>
                </c:pt>
                <c:pt idx="229">
                  <c:v>156.63641357421801</c:v>
                </c:pt>
                <c:pt idx="230">
                  <c:v>157.133377075195</c:v>
                </c:pt>
                <c:pt idx="231">
                  <c:v>155.02621459960901</c:v>
                </c:pt>
                <c:pt idx="232">
                  <c:v>154.70814514160099</c:v>
                </c:pt>
                <c:pt idx="233">
                  <c:v>155.32440185546801</c:v>
                </c:pt>
                <c:pt idx="234">
                  <c:v>150.94108581542901</c:v>
                </c:pt>
                <c:pt idx="235">
                  <c:v>154.19129943847599</c:v>
                </c:pt>
                <c:pt idx="236">
                  <c:v>154.40002441406199</c:v>
                </c:pt>
                <c:pt idx="237">
                  <c:v>161.66578674316401</c:v>
                </c:pt>
                <c:pt idx="238">
                  <c:v>159.05171203613199</c:v>
                </c:pt>
                <c:pt idx="239">
                  <c:v>157.709869384765</c:v>
                </c:pt>
                <c:pt idx="240">
                  <c:v>160.98991394042901</c:v>
                </c:pt>
                <c:pt idx="241">
                  <c:v>158.26647949218699</c:v>
                </c:pt>
                <c:pt idx="242">
                  <c:v>157.16320800781199</c:v>
                </c:pt>
                <c:pt idx="243">
                  <c:v>158.34600830078099</c:v>
                </c:pt>
                <c:pt idx="244">
                  <c:v>162.86846923828099</c:v>
                </c:pt>
                <c:pt idx="245">
                  <c:v>165.01541137695301</c:v>
                </c:pt>
                <c:pt idx="246">
                  <c:v>164.21031188964801</c:v>
                </c:pt>
                <c:pt idx="247">
                  <c:v>163.03744506835901</c:v>
                </c:pt>
                <c:pt idx="248">
                  <c:v>164.259994506835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B-4744-A732-ACE757744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809104"/>
        <c:axId val="159120207"/>
      </c:lineChart>
      <c:dateAx>
        <c:axId val="18918091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20207"/>
        <c:crosses val="autoZero"/>
        <c:auto val="1"/>
        <c:lblOffset val="100"/>
        <c:baseTimeUnit val="days"/>
      </c:dateAx>
      <c:valAx>
        <c:axId val="15912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80910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VaR Using Historical Simulation Method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VaR Using Historical Simulation Method</a:t>
          </a:r>
        </a:p>
      </cx:txPr>
    </cx:title>
    <cx:plotArea>
      <cx:plotAreaRegion>
        <cx:series layoutId="clusteredColumn" uniqueId="{061AE610-694E-4D39-AB53-16CDC2659391}">
          <cx:tx>
            <cx:txData>
              <cx:f>_xlchart.v1.0</cx:f>
              <cx:v>Portfoilo Returns</cx:v>
            </cx:txData>
          </cx:tx>
          <cx:spPr>
            <a:solidFill>
              <a:srgbClr val="C00000"/>
            </a:solidFill>
            <a:ln>
              <a:solidFill>
                <a:schemeClr val="bg1"/>
              </a:solidFill>
            </a:ln>
          </cx:spPr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Returns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1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Returns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200" b="1" i="0" baseline="0">
                <a:effectLst/>
              </a:rPr>
              <a:t>VaR Using Monte Carlo Method; Simulation = 1000</a:t>
            </a:r>
            <a:endParaRPr lang="en-US" sz="1200">
              <a:effectLst/>
            </a:endParaRPr>
          </a:p>
        </cx:rich>
      </cx:tx>
    </cx:title>
    <cx:plotArea>
      <cx:plotAreaRegion>
        <cx:series layoutId="clusteredColumn" uniqueId="{4288092D-A530-4E00-BB48-9127A0A22171}">
          <cx:tx>
            <cx:txData>
              <cx:f>_xlchart.v1.2</cx:f>
              <cx:v>Portfolio Return</cx:v>
            </cx:txData>
          </cx:tx>
          <cx:spPr>
            <a:solidFill>
              <a:srgbClr val="C00000"/>
            </a:solidFill>
            <a:ln>
              <a:solidFill>
                <a:schemeClr val="bg1"/>
              </a:solidFill>
            </a:ln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0.0%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1</xdr:row>
      <xdr:rowOff>0</xdr:rowOff>
    </xdr:from>
    <xdr:to>
      <xdr:col>13</xdr:col>
      <xdr:colOff>674370</xdr:colOff>
      <xdr:row>15</xdr:row>
      <xdr:rowOff>157480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299294-2994-2B43-8C5B-AF23E7E1E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673100</xdr:colOff>
      <xdr:row>0</xdr:row>
      <xdr:rowOff>195157</xdr:rowOff>
    </xdr:from>
    <xdr:to>
      <xdr:col>20</xdr:col>
      <xdr:colOff>665311</xdr:colOff>
      <xdr:row>15</xdr:row>
      <xdr:rowOff>128355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55851B-70F8-9F46-AB98-9B2FB55A9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13</xdr:col>
      <xdr:colOff>669545</xdr:colOff>
      <xdr:row>30</xdr:row>
      <xdr:rowOff>169452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1CF2D2-8C98-FF48-AF1F-6E85BCD78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328892</xdr:colOff>
      <xdr:row>19</xdr:row>
      <xdr:rowOff>79819</xdr:rowOff>
    </xdr:from>
    <xdr:to>
      <xdr:col>16</xdr:col>
      <xdr:colOff>1293656</xdr:colOff>
      <xdr:row>38</xdr:row>
      <xdr:rowOff>155054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0" name="Chart 29">
              <a:extLst>
                <a:ext uri="{FF2B5EF4-FFF2-40B4-BE49-F238E27FC236}">
                  <a16:creationId xmlns:a16="http://schemas.microsoft.com/office/drawing/2014/main" id="{2A6C9F15-970C-43DB-9A41-5F1BB07277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6792" y="3554539"/>
              <a:ext cx="6367344" cy="35499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1107877</xdr:colOff>
      <xdr:row>23</xdr:row>
      <xdr:rowOff>82821</xdr:rowOff>
    </xdr:from>
    <xdr:to>
      <xdr:col>11</xdr:col>
      <xdr:colOff>1908530</xdr:colOff>
      <xdr:row>31</xdr:row>
      <xdr:rowOff>42718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8AB744BB-DCEA-3790-BD81-2BCC0367EDCF}"/>
            </a:ext>
          </a:extLst>
        </xdr:cNvPr>
        <xdr:cNvGrpSpPr/>
      </xdr:nvGrpSpPr>
      <xdr:grpSpPr>
        <a:xfrm>
          <a:off x="7540761" y="4325958"/>
          <a:ext cx="800653" cy="1435771"/>
          <a:chOff x="17308791" y="3453485"/>
          <a:chExt cx="800653" cy="1450359"/>
        </a:xfrm>
      </xdr:grpSpPr>
      <xdr:cxnSp macro="">
        <xdr:nvCxnSpPr>
          <xdr:cNvPr id="32" name="Straight Arrow Connector 31">
            <a:extLst>
              <a:ext uri="{FF2B5EF4-FFF2-40B4-BE49-F238E27FC236}">
                <a16:creationId xmlns:a16="http://schemas.microsoft.com/office/drawing/2014/main" id="{791FBEB9-220A-7897-F368-C401E21B1EAA}"/>
              </a:ext>
            </a:extLst>
          </xdr:cNvPr>
          <xdr:cNvCxnSpPr/>
        </xdr:nvCxnSpPr>
        <xdr:spPr>
          <a:xfrm>
            <a:off x="17713784" y="3751181"/>
            <a:ext cx="6901" cy="1152663"/>
          </a:xfrm>
          <a:prstGeom prst="straightConnector1">
            <a:avLst/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5D5A42E3-6DA9-B94F-26E1-6AE40506B77F}"/>
              </a:ext>
            </a:extLst>
          </xdr:cNvPr>
          <xdr:cNvSpPr txBox="1"/>
        </xdr:nvSpPr>
        <xdr:spPr>
          <a:xfrm>
            <a:off x="17308791" y="3453485"/>
            <a:ext cx="800653" cy="331304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VaR (99%)</a:t>
            </a:r>
          </a:p>
        </xdr:txBody>
      </xdr:sp>
    </xdr:grpSp>
    <xdr:clientData/>
  </xdr:twoCellAnchor>
  <xdr:twoCellAnchor>
    <xdr:from>
      <xdr:col>12</xdr:col>
      <xdr:colOff>171246</xdr:colOff>
      <xdr:row>25</xdr:row>
      <xdr:rowOff>39175</xdr:rowOff>
    </xdr:from>
    <xdr:to>
      <xdr:col>12</xdr:col>
      <xdr:colOff>178700</xdr:colOff>
      <xdr:row>28</xdr:row>
      <xdr:rowOff>182796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97F4D74F-6C39-0EF2-5E83-2E4357BE707E}"/>
            </a:ext>
          </a:extLst>
        </xdr:cNvPr>
        <xdr:cNvCxnSpPr/>
      </xdr:nvCxnSpPr>
      <xdr:spPr>
        <a:xfrm>
          <a:off x="9018467" y="4651280"/>
          <a:ext cx="7454" cy="69707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1934279</xdr:colOff>
      <xdr:row>23</xdr:row>
      <xdr:rowOff>84681</xdr:rowOff>
    </xdr:from>
    <xdr:to>
      <xdr:col>12</xdr:col>
      <xdr:colOff>538922</xdr:colOff>
      <xdr:row>25</xdr:row>
      <xdr:rowOff>43268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54D006B-1D99-46BB-D962-D20EAA28277E}"/>
            </a:ext>
          </a:extLst>
        </xdr:cNvPr>
        <xdr:cNvSpPr txBox="1"/>
      </xdr:nvSpPr>
      <xdr:spPr>
        <a:xfrm>
          <a:off x="8367163" y="4327818"/>
          <a:ext cx="762306" cy="327555"/>
        </a:xfrm>
        <a:prstGeom prst="rect">
          <a:avLst/>
        </a:prstGeom>
        <a:solidFill>
          <a:schemeClr val="lt1"/>
        </a:solidFill>
        <a:ln w="952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VaR(95%)</a:t>
          </a:r>
        </a:p>
      </xdr:txBody>
    </xdr:sp>
    <xdr:clientData/>
  </xdr:twoCellAnchor>
  <xdr:twoCellAnchor>
    <xdr:from>
      <xdr:col>12</xdr:col>
      <xdr:colOff>516166</xdr:colOff>
      <xdr:row>23</xdr:row>
      <xdr:rowOff>62310</xdr:rowOff>
    </xdr:from>
    <xdr:to>
      <xdr:col>12</xdr:col>
      <xdr:colOff>521965</xdr:colOff>
      <xdr:row>28</xdr:row>
      <xdr:rowOff>111727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355B57CC-B12A-464A-825D-16BB26A5B4AB}"/>
            </a:ext>
          </a:extLst>
        </xdr:cNvPr>
        <xdr:cNvCxnSpPr/>
      </xdr:nvCxnSpPr>
      <xdr:spPr>
        <a:xfrm flipH="1">
          <a:off x="9363387" y="4305447"/>
          <a:ext cx="5799" cy="97183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92896</xdr:colOff>
      <xdr:row>21</xdr:row>
      <xdr:rowOff>71620</xdr:rowOff>
    </xdr:from>
    <xdr:to>
      <xdr:col>13</xdr:col>
      <xdr:colOff>85428</xdr:colOff>
      <xdr:row>23</xdr:row>
      <xdr:rowOff>30207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48ECBB60-1072-488F-AFC7-19E68F4FA028}"/>
            </a:ext>
          </a:extLst>
        </xdr:cNvPr>
        <xdr:cNvSpPr txBox="1"/>
      </xdr:nvSpPr>
      <xdr:spPr>
        <a:xfrm>
          <a:off x="8940117" y="3945788"/>
          <a:ext cx="786616" cy="327556"/>
        </a:xfrm>
        <a:prstGeom prst="rect">
          <a:avLst/>
        </a:prstGeom>
        <a:solidFill>
          <a:schemeClr val="lt1"/>
        </a:solidFill>
        <a:ln w="952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VaR (90%)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512884</xdr:colOff>
      <xdr:row>29</xdr:row>
      <xdr:rowOff>80600</xdr:rowOff>
    </xdr:from>
    <xdr:to>
      <xdr:col>18</xdr:col>
      <xdr:colOff>432287</xdr:colOff>
      <xdr:row>45</xdr:row>
      <xdr:rowOff>95252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4C424CD-631B-46AA-9B97-1D1B7FB707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20264" y="5399360"/>
              <a:ext cx="8171863" cy="29407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505560</xdr:colOff>
      <xdr:row>33</xdr:row>
      <xdr:rowOff>146543</xdr:rowOff>
    </xdr:from>
    <xdr:to>
      <xdr:col>10</xdr:col>
      <xdr:colOff>1518693</xdr:colOff>
      <xdr:row>41</xdr:row>
      <xdr:rowOff>23303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B5A2F46-E66F-4123-89E6-EF597F67002B}"/>
            </a:ext>
          </a:extLst>
        </xdr:cNvPr>
        <xdr:cNvGrpSpPr/>
      </xdr:nvGrpSpPr>
      <xdr:grpSpPr>
        <a:xfrm>
          <a:off x="7158406" y="6205908"/>
          <a:ext cx="1013133" cy="1342145"/>
          <a:chOff x="17456972" y="2960837"/>
          <a:chExt cx="800653" cy="1348801"/>
        </a:xfrm>
      </xdr:grpSpPr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5C96BDB6-8572-AF42-AC5A-8FB706E3F276}"/>
              </a:ext>
            </a:extLst>
          </xdr:cNvPr>
          <xdr:cNvCxnSpPr/>
        </xdr:nvCxnSpPr>
        <xdr:spPr>
          <a:xfrm>
            <a:off x="17876861" y="3156975"/>
            <a:ext cx="6901" cy="1152663"/>
          </a:xfrm>
          <a:prstGeom prst="straightConnector1">
            <a:avLst/>
          </a:prstGeom>
          <a:ln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BD803302-4F89-E844-55B0-C36B7D001220}"/>
              </a:ext>
            </a:extLst>
          </xdr:cNvPr>
          <xdr:cNvSpPr txBox="1"/>
        </xdr:nvSpPr>
        <xdr:spPr>
          <a:xfrm>
            <a:off x="17456972" y="2960837"/>
            <a:ext cx="800653" cy="331304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VaR (99%)</a:t>
            </a:r>
          </a:p>
        </xdr:txBody>
      </xdr:sp>
    </xdr:grpSp>
    <xdr:clientData/>
  </xdr:twoCellAnchor>
  <xdr:twoCellAnchor>
    <xdr:from>
      <xdr:col>10</xdr:col>
      <xdr:colOff>1377463</xdr:colOff>
      <xdr:row>32</xdr:row>
      <xdr:rowOff>109906</xdr:rowOff>
    </xdr:from>
    <xdr:to>
      <xdr:col>11</xdr:col>
      <xdr:colOff>504817</xdr:colOff>
      <xdr:row>34</xdr:row>
      <xdr:rowOff>72910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1C52136-8786-4EEF-908A-F190F7B1A504}"/>
            </a:ext>
          </a:extLst>
        </xdr:cNvPr>
        <xdr:cNvSpPr txBox="1"/>
      </xdr:nvSpPr>
      <xdr:spPr>
        <a:xfrm>
          <a:off x="8030309" y="5986098"/>
          <a:ext cx="797893" cy="329350"/>
        </a:xfrm>
        <a:prstGeom prst="rect">
          <a:avLst/>
        </a:prstGeom>
        <a:solidFill>
          <a:schemeClr val="lt1"/>
        </a:solidFill>
        <a:ln w="952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VaR (95%)</a:t>
          </a:r>
        </a:p>
      </xdr:txBody>
    </xdr:sp>
    <xdr:clientData/>
  </xdr:twoCellAnchor>
  <xdr:twoCellAnchor>
    <xdr:from>
      <xdr:col>10</xdr:col>
      <xdr:colOff>1611923</xdr:colOff>
      <xdr:row>34</xdr:row>
      <xdr:rowOff>124558</xdr:rowOff>
    </xdr:from>
    <xdr:to>
      <xdr:col>10</xdr:col>
      <xdr:colOff>1619378</xdr:colOff>
      <xdr:row>39</xdr:row>
      <xdr:rowOff>39034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6A75375-7972-4152-B7A6-8632784C0762}"/>
            </a:ext>
          </a:extLst>
        </xdr:cNvPr>
        <xdr:cNvCxnSpPr/>
      </xdr:nvCxnSpPr>
      <xdr:spPr>
        <a:xfrm>
          <a:off x="8264769" y="6367096"/>
          <a:ext cx="7455" cy="83034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351693</xdr:colOff>
      <xdr:row>30</xdr:row>
      <xdr:rowOff>109907</xdr:rowOff>
    </xdr:from>
    <xdr:to>
      <xdr:col>12</xdr:col>
      <xdr:colOff>507578</xdr:colOff>
      <xdr:row>32</xdr:row>
      <xdr:rowOff>70702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F62FE5C-A955-497A-92D6-E3B54E8F0136}"/>
            </a:ext>
          </a:extLst>
        </xdr:cNvPr>
        <xdr:cNvSpPr txBox="1"/>
      </xdr:nvSpPr>
      <xdr:spPr>
        <a:xfrm>
          <a:off x="8675078" y="5619753"/>
          <a:ext cx="969173" cy="327141"/>
        </a:xfrm>
        <a:prstGeom prst="rect">
          <a:avLst/>
        </a:prstGeom>
        <a:solidFill>
          <a:schemeClr val="lt1"/>
        </a:solidFill>
        <a:ln w="952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VaR (90%)</a:t>
          </a:r>
        </a:p>
      </xdr:txBody>
    </xdr:sp>
    <xdr:clientData/>
  </xdr:twoCellAnchor>
  <xdr:twoCellAnchor>
    <xdr:from>
      <xdr:col>11</xdr:col>
      <xdr:colOff>548394</xdr:colOff>
      <xdr:row>32</xdr:row>
      <xdr:rowOff>73270</xdr:rowOff>
    </xdr:from>
    <xdr:to>
      <xdr:col>11</xdr:col>
      <xdr:colOff>549519</xdr:colOff>
      <xdr:row>37</xdr:row>
      <xdr:rowOff>109116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1F41D06-803E-4497-8B52-8B5D2D8E54C7}"/>
            </a:ext>
          </a:extLst>
        </xdr:cNvPr>
        <xdr:cNvCxnSpPr/>
      </xdr:nvCxnSpPr>
      <xdr:spPr>
        <a:xfrm flipH="1">
          <a:off x="8871779" y="5949462"/>
          <a:ext cx="1125" cy="95171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E372-75B4-453F-B9AE-D889D99B87A3}">
  <dimension ref="B2:E29"/>
  <sheetViews>
    <sheetView showGridLines="0" tabSelected="1" zoomScale="106" workbookViewId="0">
      <selection activeCell="F11" sqref="F11"/>
    </sheetView>
  </sheetViews>
  <sheetFormatPr defaultColWidth="8.77734375" defaultRowHeight="14.4" x14ac:dyDescent="0.3"/>
  <cols>
    <col min="2" max="2" width="24.5546875" customWidth="1"/>
    <col min="3" max="3" width="17" bestFit="1" customWidth="1"/>
    <col min="4" max="4" width="19.6640625" customWidth="1"/>
    <col min="5" max="5" width="18.109375" bestFit="1" customWidth="1"/>
  </cols>
  <sheetData>
    <row r="2" spans="2:5" ht="15" customHeight="1" thickBot="1" x14ac:dyDescent="0.35"/>
    <row r="3" spans="2:5" ht="16.05" customHeight="1" thickBot="1" x14ac:dyDescent="0.35">
      <c r="B3" s="72" t="s">
        <v>55</v>
      </c>
      <c r="C3" s="73"/>
      <c r="D3" s="73"/>
      <c r="E3" s="74"/>
    </row>
    <row r="4" spans="2:5" ht="15" thickBot="1" x14ac:dyDescent="0.35">
      <c r="B4" s="25" t="s">
        <v>47</v>
      </c>
      <c r="C4" s="27" t="s">
        <v>46</v>
      </c>
      <c r="D4" s="27" t="s">
        <v>53</v>
      </c>
      <c r="E4" s="28" t="s">
        <v>54</v>
      </c>
    </row>
    <row r="5" spans="2:5" ht="15" thickBot="1" x14ac:dyDescent="0.35">
      <c r="B5" s="25" t="s">
        <v>43</v>
      </c>
      <c r="C5" s="61">
        <f>'Variance Covariance'!H12</f>
        <v>-39803.30964875433</v>
      </c>
      <c r="D5" s="61">
        <f>'Variance Covariance'!I12</f>
        <v>-27700.755764282065</v>
      </c>
      <c r="E5" s="61">
        <f>'Variance Covariance'!J12</f>
        <v>-21248.929071253631</v>
      </c>
    </row>
    <row r="6" spans="2:5" ht="15" thickBot="1" x14ac:dyDescent="0.35">
      <c r="B6" s="25" t="s">
        <v>44</v>
      </c>
      <c r="C6" s="61">
        <f>'Historical Simulation'!$M$16</f>
        <v>-53920.453460100311</v>
      </c>
      <c r="D6" s="61">
        <f>'Historical Simulation'!$N$16</f>
        <v>-25997.085063977465</v>
      </c>
      <c r="E6" s="61">
        <f>'Historical Simulation'!$O$16</f>
        <v>-14989.7142044783</v>
      </c>
    </row>
    <row r="7" spans="2:5" ht="15" thickBot="1" x14ac:dyDescent="0.35">
      <c r="B7" s="26" t="s">
        <v>45</v>
      </c>
      <c r="C7" s="61">
        <f>'Monte Carlo Simulation'!L13</f>
        <v>-38068.767024374371</v>
      </c>
      <c r="D7" s="61">
        <f>'Monte Carlo Simulation'!M13</f>
        <v>-29734.167223071836</v>
      </c>
      <c r="E7" s="61">
        <f>'Monte Carlo Simulation'!N13</f>
        <v>-23804.262243076613</v>
      </c>
    </row>
    <row r="9" spans="2:5" ht="15" thickBot="1" x14ac:dyDescent="0.35"/>
    <row r="10" spans="2:5" ht="16.2" thickBot="1" x14ac:dyDescent="0.35">
      <c r="B10" s="72" t="s">
        <v>66</v>
      </c>
      <c r="C10" s="73"/>
      <c r="D10" s="74"/>
    </row>
    <row r="11" spans="2:5" ht="15" thickBot="1" x14ac:dyDescent="0.35">
      <c r="B11" s="25" t="s">
        <v>47</v>
      </c>
      <c r="C11" s="36" t="s">
        <v>46</v>
      </c>
      <c r="D11" s="28" t="s">
        <v>77</v>
      </c>
    </row>
    <row r="12" spans="2:5" ht="15" thickBot="1" x14ac:dyDescent="0.35">
      <c r="B12" s="25" t="s">
        <v>43</v>
      </c>
      <c r="C12" s="37">
        <f>'Backtesting (Traffic Light)'!L17</f>
        <v>5</v>
      </c>
      <c r="D12" s="38" t="str" cm="1">
        <f t="array" ref="D12">_xlfn.IFS(C12&lt;5, "Green Zone", C12&lt;10, "Yellow Zone", C12&gt;=10, "Red Zone")</f>
        <v>Yellow Zone</v>
      </c>
    </row>
    <row r="13" spans="2:5" ht="15" thickBot="1" x14ac:dyDescent="0.35">
      <c r="B13" s="25" t="s">
        <v>44</v>
      </c>
      <c r="C13" s="37">
        <f>'Backtesting (Traffic Light)'!L18</f>
        <v>2</v>
      </c>
      <c r="D13" s="38" t="str" cm="1">
        <f t="array" ref="D13">_xlfn.IFS(C13&lt;5, "Green Zone", C13&lt;10, "Yellow Zone", C13&gt;=10, "Red Zone")</f>
        <v>Green Zone</v>
      </c>
    </row>
    <row r="14" spans="2:5" ht="15" thickBot="1" x14ac:dyDescent="0.35">
      <c r="B14" s="26" t="s">
        <v>45</v>
      </c>
      <c r="C14" s="37">
        <f>'Backtesting (Traffic Light)'!L19</f>
        <v>6</v>
      </c>
      <c r="D14" s="39" t="str" cm="1">
        <f t="array" ref="D14">_xlfn.IFS(C14&lt;5, "Green Zone", C14&lt;10, "Yellow Zone", C14&gt;=10, "Red Zone")</f>
        <v>Yellow Zone</v>
      </c>
    </row>
    <row r="16" spans="2:5" ht="15" thickBot="1" x14ac:dyDescent="0.35"/>
    <row r="17" spans="2:5" ht="15" thickBot="1" x14ac:dyDescent="0.35">
      <c r="B17" s="51" t="s">
        <v>86</v>
      </c>
      <c r="C17" s="56" t="s">
        <v>43</v>
      </c>
      <c r="D17" s="56" t="s">
        <v>67</v>
      </c>
      <c r="E17" s="57" t="s">
        <v>93</v>
      </c>
    </row>
    <row r="18" spans="2:5" x14ac:dyDescent="0.3">
      <c r="B18" s="58" t="s">
        <v>106</v>
      </c>
      <c r="C18" s="48">
        <f>'Backtesting (Kupiec)'!L15</f>
        <v>0.01</v>
      </c>
      <c r="D18" s="48">
        <f>'Backtesting (Kupiec)'!M15</f>
        <v>0.01</v>
      </c>
      <c r="E18" s="48">
        <f>'Backtesting (Kupiec)'!N15</f>
        <v>0.01</v>
      </c>
    </row>
    <row r="19" spans="2:5" x14ac:dyDescent="0.3">
      <c r="B19" s="58" t="s">
        <v>103</v>
      </c>
      <c r="C19" s="47">
        <f>'Backtesting (Kupiec)'!L16</f>
        <v>5</v>
      </c>
      <c r="D19" s="47">
        <f>'Backtesting (Kupiec)'!M16</f>
        <v>2</v>
      </c>
      <c r="E19" s="47">
        <f>'Backtesting (Kupiec)'!N16</f>
        <v>6</v>
      </c>
    </row>
    <row r="20" spans="2:5" x14ac:dyDescent="0.3">
      <c r="B20" s="58" t="s">
        <v>108</v>
      </c>
      <c r="C20" s="47">
        <f>'Backtesting (Kupiec)'!L17</f>
        <v>248</v>
      </c>
      <c r="D20" s="47">
        <f>'Backtesting (Kupiec)'!M17</f>
        <v>248</v>
      </c>
      <c r="E20" s="47">
        <f>'Backtesting (Kupiec)'!N17</f>
        <v>248</v>
      </c>
    </row>
    <row r="21" spans="2:5" x14ac:dyDescent="0.3">
      <c r="B21" s="58" t="s">
        <v>105</v>
      </c>
      <c r="C21" s="59">
        <f>'Backtesting (Kupiec)'!L18</f>
        <v>2.0161290322580645E-2</v>
      </c>
      <c r="D21" s="59">
        <f>'Backtesting (Kupiec)'!M18</f>
        <v>8.0645161290322578E-3</v>
      </c>
      <c r="E21" s="59">
        <f>'Backtesting (Kupiec)'!N18</f>
        <v>2.4193548387096774E-2</v>
      </c>
    </row>
    <row r="22" spans="2:5" x14ac:dyDescent="0.3">
      <c r="B22" s="58" t="s">
        <v>107</v>
      </c>
      <c r="C22" s="50">
        <f>'Backtesting (Kupiec)'!L19</f>
        <v>1.997747574699025</v>
      </c>
      <c r="D22" s="50">
        <f>'Backtesting (Kupiec)'!M19</f>
        <v>0.1004922870062234</v>
      </c>
      <c r="E22" s="50">
        <f>'Backtesting (Kupiec)'!N19</f>
        <v>3.6127197776935369</v>
      </c>
    </row>
    <row r="23" spans="2:5" x14ac:dyDescent="0.3">
      <c r="B23" s="58" t="s">
        <v>85</v>
      </c>
      <c r="C23" s="59">
        <f>'Backtesting (Kupiec)'!L20</f>
        <v>0.15753315428258249</v>
      </c>
      <c r="D23" s="59">
        <f>'Backtesting (Kupiec)'!M20</f>
        <v>0.75123966832490707</v>
      </c>
      <c r="E23" s="59">
        <f>'Backtesting (Kupiec)'!N20</f>
        <v>5.7339274594523121E-2</v>
      </c>
    </row>
    <row r="24" spans="2:5" ht="15" thickBot="1" x14ac:dyDescent="0.35">
      <c r="B24" s="60" t="s">
        <v>89</v>
      </c>
      <c r="C24" s="62" t="s">
        <v>88</v>
      </c>
      <c r="D24" s="62" t="s">
        <v>87</v>
      </c>
      <c r="E24" s="63" t="s">
        <v>87</v>
      </c>
    </row>
    <row r="25" spans="2:5" ht="15" thickBot="1" x14ac:dyDescent="0.35"/>
    <row r="26" spans="2:5" ht="15" thickBot="1" x14ac:dyDescent="0.35">
      <c r="B26" s="51" t="s">
        <v>91</v>
      </c>
      <c r="C26" s="56" t="s">
        <v>43</v>
      </c>
      <c r="D26" s="56" t="s">
        <v>67</v>
      </c>
      <c r="E26" s="57" t="s">
        <v>93</v>
      </c>
    </row>
    <row r="27" spans="2:5" ht="15" thickBot="1" x14ac:dyDescent="0.35">
      <c r="B27" s="25" t="s">
        <v>92</v>
      </c>
      <c r="C27" s="27" t="s">
        <v>46</v>
      </c>
      <c r="D27" s="27" t="s">
        <v>53</v>
      </c>
      <c r="E27" s="28" t="s">
        <v>54</v>
      </c>
    </row>
    <row r="28" spans="2:5" ht="15" thickBot="1" x14ac:dyDescent="0.35">
      <c r="B28" s="25" t="s">
        <v>44</v>
      </c>
      <c r="C28" s="29">
        <f>'Historical Simulation'!M17</f>
        <v>-83704.074056962374</v>
      </c>
      <c r="D28" s="29">
        <f>'Historical Simulation'!N17</f>
        <v>-43332.589052644376</v>
      </c>
      <c r="E28" s="64">
        <f>'Historical Simulation'!O17</f>
        <v>-31732.783490798658</v>
      </c>
    </row>
    <row r="29" spans="2:5" ht="15" thickBot="1" x14ac:dyDescent="0.35">
      <c r="B29" s="26" t="s">
        <v>45</v>
      </c>
      <c r="C29" s="29">
        <f>'Monte Carlo Simulation'!L14</f>
        <v>-45314.427744012348</v>
      </c>
      <c r="D29" s="29">
        <f>'Monte Carlo Simulation'!M14</f>
        <v>-35152.795021890226</v>
      </c>
      <c r="E29" s="64">
        <f>'Monte Carlo Simulation'!N14</f>
        <v>-30929.007585017542</v>
      </c>
    </row>
  </sheetData>
  <mergeCells count="2">
    <mergeCell ref="B10:D10"/>
    <mergeCell ref="B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1F63-276B-49E6-8F73-513557E25DDD}">
  <dimension ref="B4:BQ257"/>
  <sheetViews>
    <sheetView showGridLines="0" showWhiteSpace="0" zoomScale="99" zoomScaleNormal="99" zoomScaleSheetLayoutView="58" zoomScalePageLayoutView="84" workbookViewId="0">
      <selection activeCell="J12" sqref="J12"/>
    </sheetView>
  </sheetViews>
  <sheetFormatPr defaultColWidth="8.77734375" defaultRowHeight="14.4" x14ac:dyDescent="0.3"/>
  <cols>
    <col min="2" max="2" width="20.6640625" customWidth="1"/>
    <col min="3" max="3" width="10.5546875" bestFit="1" customWidth="1"/>
    <col min="4" max="5" width="9.5546875" bestFit="1" customWidth="1"/>
    <col min="7" max="7" width="14.33203125" customWidth="1"/>
    <col min="8" max="10" width="10" bestFit="1" customWidth="1"/>
    <col min="12" max="12" width="10.44140625" bestFit="1" customWidth="1"/>
    <col min="17" max="17" width="10.44140625" bestFit="1" customWidth="1"/>
    <col min="22" max="22" width="12.109375" customWidth="1"/>
    <col min="23" max="23" width="10.5546875" bestFit="1" customWidth="1"/>
    <col min="24" max="24" width="10.6640625" bestFit="1" customWidth="1"/>
    <col min="25" max="25" width="9.5546875" bestFit="1" customWidth="1"/>
    <col min="27" max="27" width="10.44140625" bestFit="1" customWidth="1"/>
    <col min="30" max="30" width="10.44140625" bestFit="1" customWidth="1"/>
    <col min="34" max="34" width="14.6640625" customWidth="1"/>
    <col min="35" max="35" width="14.77734375" bestFit="1" customWidth="1"/>
    <col min="36" max="36" width="11.33203125" bestFit="1" customWidth="1"/>
    <col min="37" max="37" width="10.44140625" bestFit="1" customWidth="1"/>
    <col min="38" max="38" width="9.77734375" bestFit="1" customWidth="1"/>
    <col min="41" max="41" width="10" bestFit="1" customWidth="1"/>
    <col min="42" max="42" width="20.6640625" bestFit="1" customWidth="1"/>
    <col min="43" max="43" width="10" bestFit="1" customWidth="1"/>
    <col min="46" max="46" width="11.44140625" bestFit="1" customWidth="1"/>
    <col min="47" max="47" width="13.44140625" bestFit="1" customWidth="1"/>
    <col min="48" max="48" width="13.77734375" bestFit="1" customWidth="1"/>
    <col min="49" max="49" width="13.77734375" customWidth="1"/>
    <col min="50" max="50" width="22.33203125" customWidth="1"/>
    <col min="58" max="58" width="10.6640625" bestFit="1" customWidth="1"/>
    <col min="64" max="64" width="18.6640625" customWidth="1"/>
    <col min="65" max="65" width="12.109375" bestFit="1" customWidth="1"/>
    <col min="67" max="67" width="24.6640625" bestFit="1" customWidth="1"/>
    <col min="89" max="89" width="12.6640625" customWidth="1"/>
    <col min="90" max="92" width="12.44140625" bestFit="1" customWidth="1"/>
  </cols>
  <sheetData>
    <row r="4" spans="2:69" x14ac:dyDescent="0.3">
      <c r="B4" s="23" t="s">
        <v>28</v>
      </c>
      <c r="L4" s="23" t="s">
        <v>95</v>
      </c>
      <c r="Q4" s="23" t="s">
        <v>96</v>
      </c>
      <c r="V4" s="23" t="s">
        <v>97</v>
      </c>
    </row>
    <row r="5" spans="2:69" x14ac:dyDescent="0.3">
      <c r="B5" s="2" t="s">
        <v>9</v>
      </c>
      <c r="C5" s="2" t="s">
        <v>5</v>
      </c>
      <c r="D5" s="2" t="s">
        <v>6</v>
      </c>
      <c r="E5" s="2" t="s">
        <v>7</v>
      </c>
      <c r="G5" s="17" t="s">
        <v>21</v>
      </c>
      <c r="H5" s="2"/>
      <c r="I5" s="2"/>
      <c r="J5" s="2"/>
      <c r="L5" s="2" t="s">
        <v>0</v>
      </c>
      <c r="M5" s="2" t="s">
        <v>5</v>
      </c>
      <c r="N5" s="2" t="s">
        <v>6</v>
      </c>
      <c r="O5" s="2" t="s">
        <v>7</v>
      </c>
      <c r="Q5" s="2" t="s">
        <v>0</v>
      </c>
      <c r="R5" s="2" t="s">
        <v>5</v>
      </c>
      <c r="S5" s="2" t="s">
        <v>6</v>
      </c>
      <c r="T5" s="2" t="s">
        <v>7</v>
      </c>
      <c r="V5" s="2" t="s">
        <v>0</v>
      </c>
      <c r="W5" s="2" t="s">
        <v>14</v>
      </c>
    </row>
    <row r="6" spans="2:69" x14ac:dyDescent="0.3">
      <c r="B6" t="s">
        <v>8</v>
      </c>
      <c r="C6" s="5">
        <v>0.3</v>
      </c>
      <c r="D6" s="5">
        <v>0.4</v>
      </c>
      <c r="E6" s="5">
        <v>0.3</v>
      </c>
      <c r="G6" s="2" t="s">
        <v>11</v>
      </c>
      <c r="H6" s="32">
        <f>C12</f>
        <v>1.50995252455736E-3</v>
      </c>
      <c r="I6" s="32">
        <f>H6</f>
        <v>1.50995252455736E-3</v>
      </c>
      <c r="J6" s="32">
        <f>H6</f>
        <v>1.50995252455736E-3</v>
      </c>
      <c r="L6" s="1">
        <v>45597</v>
      </c>
      <c r="M6" s="3">
        <f>Data!B3</f>
        <v>218.318435668945</v>
      </c>
      <c r="N6" s="3">
        <f>Data!H3</f>
        <v>113.667182922363</v>
      </c>
      <c r="O6" s="3">
        <f>Data!N3</f>
        <v>40.799842834472599</v>
      </c>
      <c r="Q6" s="1">
        <v>45597</v>
      </c>
      <c r="V6" s="1">
        <v>45597</v>
      </c>
      <c r="AD6" s="1"/>
      <c r="AE6" s="6"/>
      <c r="AF6" s="6"/>
      <c r="AG6" s="6"/>
      <c r="AV6" s="14"/>
      <c r="AW6" s="14"/>
    </row>
    <row r="7" spans="2:69" x14ac:dyDescent="0.3">
      <c r="B7" t="s">
        <v>10</v>
      </c>
      <c r="C7" s="65">
        <v>1000000</v>
      </c>
      <c r="G7" s="2" t="s">
        <v>22</v>
      </c>
      <c r="H7" s="6">
        <f>C24</f>
        <v>1.7758849669181679E-2</v>
      </c>
      <c r="I7" s="6">
        <f>H7</f>
        <v>1.7758849669181679E-2</v>
      </c>
      <c r="J7" s="6">
        <f>H7</f>
        <v>1.7758849669181679E-2</v>
      </c>
      <c r="L7" s="1">
        <v>45600</v>
      </c>
      <c r="M7" s="3">
        <f>Data!B4</f>
        <v>215.22393798828099</v>
      </c>
      <c r="N7" s="3">
        <f>Data!H4</f>
        <v>112.976524353027</v>
      </c>
      <c r="O7" s="3">
        <f>Data!N4</f>
        <v>40.379734039306598</v>
      </c>
      <c r="Q7" s="1">
        <v>45600</v>
      </c>
      <c r="R7" s="4">
        <f t="shared" ref="R7:R70" si="0">(M7/M6)-1</f>
        <v>-1.4174238978866938E-2</v>
      </c>
      <c r="S7" s="4">
        <f t="shared" ref="S7:S70" si="1">(N7/N6)-1</f>
        <v>-6.0761474999141418E-3</v>
      </c>
      <c r="T7" s="4">
        <f t="shared" ref="T7:T70" si="2">(O7/O6)-1</f>
        <v>-1.0296823859601845E-2</v>
      </c>
      <c r="V7" s="1">
        <v>45600</v>
      </c>
      <c r="W7" s="6">
        <f t="shared" ref="W7:W70" si="3">SUMPRODUCT(R7:T7,$C$6:$E$6)</f>
        <v>-9.7717778515062914E-3</v>
      </c>
      <c r="AD7" s="1"/>
      <c r="AE7" s="6"/>
      <c r="AF7" s="6"/>
      <c r="AG7" s="6"/>
      <c r="AV7" s="14"/>
      <c r="AW7" s="14"/>
    </row>
    <row r="8" spans="2:69" x14ac:dyDescent="0.3">
      <c r="B8" s="66" t="s">
        <v>12</v>
      </c>
      <c r="C8" s="67">
        <f>C7*C6</f>
        <v>300000</v>
      </c>
      <c r="D8" s="67">
        <f>C7*D6</f>
        <v>400000</v>
      </c>
      <c r="E8" s="67">
        <f>C7*E6</f>
        <v>300000</v>
      </c>
      <c r="G8" s="17" t="s">
        <v>23</v>
      </c>
      <c r="H8" s="16">
        <v>0.99</v>
      </c>
      <c r="I8" s="16">
        <v>0.95</v>
      </c>
      <c r="J8" s="16">
        <v>0.9</v>
      </c>
      <c r="L8" s="1">
        <v>45601</v>
      </c>
      <c r="M8" s="3">
        <f>Data!B5</f>
        <v>216.89848327636699</v>
      </c>
      <c r="N8" s="3">
        <f>Data!H5</f>
        <v>114.60104370117099</v>
      </c>
      <c r="O8" s="3">
        <f>Data!N5</f>
        <v>40.917087554931598</v>
      </c>
      <c r="Q8" s="1">
        <v>45601</v>
      </c>
      <c r="R8" s="4">
        <f t="shared" si="0"/>
        <v>7.7804788061128782E-3</v>
      </c>
      <c r="S8" s="4">
        <f t="shared" si="1"/>
        <v>1.4379264696333882E-2</v>
      </c>
      <c r="T8" s="4">
        <f t="shared" si="2"/>
        <v>1.3307505074251491E-2</v>
      </c>
      <c r="V8" s="1">
        <v>45601</v>
      </c>
      <c r="W8" s="6">
        <f t="shared" si="3"/>
        <v>1.2078101042642864E-2</v>
      </c>
      <c r="AD8" s="1"/>
      <c r="AE8" s="6"/>
      <c r="AF8" s="6"/>
      <c r="AG8" s="6"/>
      <c r="AV8" s="14"/>
      <c r="AW8" s="14"/>
    </row>
    <row r="9" spans="2:69" x14ac:dyDescent="0.3">
      <c r="G9" s="2" t="s">
        <v>24</v>
      </c>
      <c r="H9" s="5">
        <f>1-H8</f>
        <v>1.0000000000000009E-2</v>
      </c>
      <c r="I9" s="5">
        <f>1-I8</f>
        <v>5.0000000000000044E-2</v>
      </c>
      <c r="J9" s="5">
        <f>1-J8</f>
        <v>9.9999999999999978E-2</v>
      </c>
      <c r="L9" s="1">
        <v>45602</v>
      </c>
      <c r="M9" s="3">
        <f>Data!B6</f>
        <v>241.93843078613199</v>
      </c>
      <c r="N9" s="3">
        <f>Data!H6</f>
        <v>127.90841674804599</v>
      </c>
      <c r="O9" s="3">
        <f>Data!N6</f>
        <v>44.365924835205</v>
      </c>
      <c r="Q9" s="1">
        <v>45602</v>
      </c>
      <c r="R9" s="4">
        <f t="shared" si="0"/>
        <v>0.11544547076366451</v>
      </c>
      <c r="S9" s="4">
        <f t="shared" si="1"/>
        <v>0.11611912611873554</v>
      </c>
      <c r="T9" s="4">
        <f t="shared" si="2"/>
        <v>8.4288435134668438E-2</v>
      </c>
      <c r="V9" s="1">
        <v>45602</v>
      </c>
      <c r="W9" s="6">
        <f t="shared" si="3"/>
        <v>0.10636782221699409</v>
      </c>
      <c r="AD9" s="1"/>
      <c r="AE9" s="6"/>
      <c r="AF9" s="6"/>
      <c r="AG9" s="6"/>
      <c r="AV9" s="14"/>
      <c r="AW9" s="14"/>
    </row>
    <row r="10" spans="2:69" x14ac:dyDescent="0.3">
      <c r="G10" s="2" t="s">
        <v>56</v>
      </c>
      <c r="H10" s="24">
        <f>_xlfn.NORM.S.INV(H9)</f>
        <v>-2.3263478740408408</v>
      </c>
      <c r="I10" s="24">
        <f t="shared" ref="I10:J10" si="4">_xlfn.NORM.S.INV(I9)</f>
        <v>-1.6448536269514715</v>
      </c>
      <c r="J10" s="24">
        <f t="shared" si="4"/>
        <v>-1.2815515655446006</v>
      </c>
      <c r="L10" s="1">
        <v>45603</v>
      </c>
      <c r="M10" s="3">
        <f>Data!B7</f>
        <v>231.47981262207</v>
      </c>
      <c r="N10" s="3">
        <f>Data!H7</f>
        <v>124.941505432128</v>
      </c>
      <c r="O10" s="3">
        <f>Data!N7</f>
        <v>43.740642547607401</v>
      </c>
      <c r="Q10" s="1">
        <v>45603</v>
      </c>
      <c r="R10" s="4">
        <f t="shared" si="0"/>
        <v>-4.32284285306751E-2</v>
      </c>
      <c r="S10" s="4">
        <f t="shared" si="1"/>
        <v>-2.319559096538748E-2</v>
      </c>
      <c r="T10" s="4">
        <f t="shared" si="2"/>
        <v>-1.4093750776529079E-2</v>
      </c>
      <c r="V10" s="1">
        <v>45603</v>
      </c>
      <c r="W10" s="6">
        <f t="shared" si="3"/>
        <v>-2.6474890178316248E-2</v>
      </c>
      <c r="AD10" s="1"/>
      <c r="AE10" s="6"/>
      <c r="AF10" s="6"/>
      <c r="AG10" s="6"/>
      <c r="AV10" s="14"/>
      <c r="AW10" s="14"/>
    </row>
    <row r="11" spans="2:69" ht="15" thickBot="1" x14ac:dyDescent="0.35">
      <c r="G11" s="2" t="s">
        <v>25</v>
      </c>
      <c r="H11" s="18">
        <f>1000000</f>
        <v>1000000</v>
      </c>
      <c r="I11" s="18">
        <f>H11</f>
        <v>1000000</v>
      </c>
      <c r="J11" s="18">
        <f>I11</f>
        <v>1000000</v>
      </c>
      <c r="L11" s="1">
        <v>45604</v>
      </c>
      <c r="M11" s="3">
        <f>Data!B8</f>
        <v>232.06736755371</v>
      </c>
      <c r="N11" s="3">
        <f>Data!H8</f>
        <v>126.00179290771401</v>
      </c>
      <c r="O11" s="3">
        <f>Data!N8</f>
        <v>44.092361450195298</v>
      </c>
      <c r="Q11" s="1">
        <v>45604</v>
      </c>
      <c r="R11" s="4">
        <f t="shared" si="0"/>
        <v>2.5382556041690929E-3</v>
      </c>
      <c r="S11" s="4">
        <f t="shared" si="1"/>
        <v>8.4862710107329598E-3</v>
      </c>
      <c r="T11" s="4">
        <f t="shared" si="2"/>
        <v>8.0410090502234244E-3</v>
      </c>
      <c r="V11" s="1">
        <v>45604</v>
      </c>
      <c r="W11" s="6">
        <f t="shared" si="3"/>
        <v>6.5682878006109394E-3</v>
      </c>
      <c r="AD11" s="1"/>
      <c r="AE11" s="6"/>
      <c r="AF11" s="6"/>
      <c r="AG11" s="6"/>
      <c r="AV11" s="14"/>
      <c r="AW11" s="14"/>
    </row>
    <row r="12" spans="2:69" ht="15" thickBot="1" x14ac:dyDescent="0.35">
      <c r="B12" s="2" t="s">
        <v>13</v>
      </c>
      <c r="C12" s="8">
        <f>AVERAGE(W7:W254)</f>
        <v>1.50995252455736E-3</v>
      </c>
      <c r="G12" s="2" t="s">
        <v>26</v>
      </c>
      <c r="H12" s="21">
        <f>(H6+H7*H10)*H11</f>
        <v>-39803.30964875433</v>
      </c>
      <c r="I12" s="21">
        <f t="shared" ref="I12:J12" si="5">(I6+I7*I10)*I11</f>
        <v>-27700.755764282065</v>
      </c>
      <c r="J12" s="21">
        <f t="shared" si="5"/>
        <v>-21248.929071253631</v>
      </c>
      <c r="L12" s="1">
        <v>45607</v>
      </c>
      <c r="M12" s="3">
        <f>Data!B9</f>
        <v>234.32946777343699</v>
      </c>
      <c r="N12" s="3">
        <f>Data!H9</f>
        <v>129.88313293457</v>
      </c>
      <c r="O12" s="3">
        <f>Data!N9</f>
        <v>45.020523071288999</v>
      </c>
      <c r="Q12" s="1">
        <v>45607</v>
      </c>
      <c r="R12" s="4">
        <f t="shared" si="0"/>
        <v>9.7476014985322657E-3</v>
      </c>
      <c r="S12" s="4">
        <f t="shared" si="1"/>
        <v>3.0803847606349244E-2</v>
      </c>
      <c r="T12" s="4">
        <f t="shared" si="2"/>
        <v>2.1050394911193537E-2</v>
      </c>
      <c r="V12" s="1">
        <v>45607</v>
      </c>
      <c r="W12" s="6">
        <f t="shared" si="3"/>
        <v>2.1560937965457438E-2</v>
      </c>
      <c r="AD12" s="1"/>
      <c r="AE12" s="6"/>
      <c r="AF12" s="6"/>
      <c r="AG12" s="6"/>
      <c r="AV12" s="14"/>
      <c r="AW12" s="14"/>
    </row>
    <row r="13" spans="2:69" x14ac:dyDescent="0.3">
      <c r="L13" s="1">
        <v>45608</v>
      </c>
      <c r="M13" s="3">
        <f>Data!B10</f>
        <v>234.59388732910099</v>
      </c>
      <c r="N13" s="3">
        <f>Data!H10</f>
        <v>128.70608520507801</v>
      </c>
      <c r="O13" s="3">
        <f>Data!N10</f>
        <v>44.805580139160099</v>
      </c>
      <c r="Q13" s="1">
        <v>45608</v>
      </c>
      <c r="R13" s="4">
        <f t="shared" si="0"/>
        <v>1.1284093211856305E-3</v>
      </c>
      <c r="S13" s="4">
        <f t="shared" si="1"/>
        <v>-9.062360160999039E-3</v>
      </c>
      <c r="T13" s="4">
        <f t="shared" si="2"/>
        <v>-4.774332181537333E-3</v>
      </c>
      <c r="V13" s="1">
        <v>45608</v>
      </c>
      <c r="W13" s="6">
        <f t="shared" si="3"/>
        <v>-4.7187209225051261E-3</v>
      </c>
      <c r="AD13" s="1"/>
      <c r="AE13" s="6"/>
      <c r="AF13" s="6"/>
      <c r="AG13" s="6"/>
      <c r="AV13" s="14"/>
      <c r="AW13" s="14"/>
    </row>
    <row r="14" spans="2:69" x14ac:dyDescent="0.3">
      <c r="B14" s="9" t="s">
        <v>15</v>
      </c>
      <c r="L14" s="1">
        <v>45609</v>
      </c>
      <c r="M14" s="3">
        <f>Data!B11</f>
        <v>236.160720825195</v>
      </c>
      <c r="N14" s="3">
        <f>Data!H11</f>
        <v>129.14382934570301</v>
      </c>
      <c r="O14" s="3">
        <f>Data!N11</f>
        <v>44.815349578857401</v>
      </c>
      <c r="Q14" s="1">
        <v>45609</v>
      </c>
      <c r="R14" s="4">
        <f t="shared" si="0"/>
        <v>6.6789186791382793E-3</v>
      </c>
      <c r="S14" s="4">
        <f t="shared" si="1"/>
        <v>3.4011145621242189E-3</v>
      </c>
      <c r="T14" s="4">
        <f t="shared" si="2"/>
        <v>2.1804069196207365E-4</v>
      </c>
      <c r="V14" s="1">
        <v>45609</v>
      </c>
      <c r="W14" s="6">
        <f t="shared" si="3"/>
        <v>3.4295336361797935E-3</v>
      </c>
      <c r="AD14" s="1"/>
      <c r="AE14" s="6"/>
      <c r="AF14" s="6"/>
      <c r="AG14" s="6"/>
      <c r="AV14" s="14"/>
      <c r="AW14" s="14"/>
      <c r="BK14" s="15"/>
      <c r="BQ14" s="4"/>
    </row>
    <row r="15" spans="2:69" ht="15" thickBot="1" x14ac:dyDescent="0.35">
      <c r="G15" s="23" t="s">
        <v>58</v>
      </c>
      <c r="L15" s="1">
        <v>45610</v>
      </c>
      <c r="M15" s="3">
        <f>Data!B12</f>
        <v>236.85600280761699</v>
      </c>
      <c r="N15" s="3">
        <f>Data!H12</f>
        <v>128.82279968261699</v>
      </c>
      <c r="O15" s="3">
        <f>Data!N12</f>
        <v>44.844657897949197</v>
      </c>
      <c r="Q15" s="1">
        <v>45610</v>
      </c>
      <c r="R15" s="4">
        <f t="shared" si="0"/>
        <v>2.9441050992413675E-3</v>
      </c>
      <c r="S15" s="4">
        <f t="shared" si="1"/>
        <v>-2.4858304474359993E-3</v>
      </c>
      <c r="T15" s="4">
        <f t="shared" si="2"/>
        <v>6.5397948174483744E-4</v>
      </c>
      <c r="V15" s="1">
        <v>45610</v>
      </c>
      <c r="W15" s="6">
        <f t="shared" si="3"/>
        <v>8.5093195321461594E-5</v>
      </c>
      <c r="AD15" s="1"/>
      <c r="AE15" s="6"/>
      <c r="AF15" s="6"/>
      <c r="AG15" s="6"/>
      <c r="AV15" s="14"/>
      <c r="AW15" s="14"/>
    </row>
    <row r="16" spans="2:69" x14ac:dyDescent="0.3">
      <c r="C16" s="2" t="s">
        <v>5</v>
      </c>
      <c r="D16" s="2" t="s">
        <v>6</v>
      </c>
      <c r="E16" s="2" t="s">
        <v>7</v>
      </c>
      <c r="G16" s="68"/>
      <c r="H16" s="2" t="s">
        <v>5</v>
      </c>
      <c r="I16" s="2" t="s">
        <v>6</v>
      </c>
      <c r="J16" s="2" t="s">
        <v>7</v>
      </c>
      <c r="L16" s="1">
        <v>45611</v>
      </c>
      <c r="M16" s="3">
        <f>Data!B13</f>
        <v>240.224685668945</v>
      </c>
      <c r="N16" s="3">
        <f>Data!H13</f>
        <v>130.40841674804599</v>
      </c>
      <c r="O16" s="3">
        <f>Data!N13</f>
        <v>45.675113677978501</v>
      </c>
      <c r="Q16" s="1">
        <v>45611</v>
      </c>
      <c r="R16" s="4">
        <f t="shared" si="0"/>
        <v>1.4222493081858634E-2</v>
      </c>
      <c r="S16" s="4">
        <f t="shared" si="1"/>
        <v>1.2308512696009632E-2</v>
      </c>
      <c r="T16" s="4">
        <f t="shared" si="2"/>
        <v>1.8518499615252537E-2</v>
      </c>
      <c r="V16" s="1">
        <v>45611</v>
      </c>
      <c r="W16" s="6">
        <f t="shared" si="3"/>
        <v>1.4745702887537203E-2</v>
      </c>
      <c r="AD16" s="1"/>
      <c r="AE16" s="6"/>
      <c r="AF16" s="6"/>
      <c r="AG16" s="6"/>
      <c r="AV16" s="14"/>
      <c r="AW16" s="14"/>
    </row>
    <row r="17" spans="2:49" x14ac:dyDescent="0.3">
      <c r="B17" s="2" t="s">
        <v>16</v>
      </c>
      <c r="C17" s="6">
        <f>AVERAGE(R7:R254)</f>
        <v>1.5504217470040391E-3</v>
      </c>
      <c r="D17" s="6">
        <f>AVERAGE(S7:S254)</f>
        <v>1.6997955098659956E-3</v>
      </c>
      <c r="E17" s="6">
        <f>AVERAGE(T7:T254)</f>
        <v>1.2163593216991662E-3</v>
      </c>
      <c r="G17" s="2" t="s">
        <v>5</v>
      </c>
      <c r="H17" s="10">
        <f>VARP('Variance Covariance'!$R$7:$R$254)</f>
        <v>2.8798902821921651E-4</v>
      </c>
      <c r="I17" s="10">
        <f>H18</f>
        <v>3.0641081748783444E-4</v>
      </c>
      <c r="J17" s="10">
        <f>H19</f>
        <v>2.4532712678703648E-4</v>
      </c>
      <c r="L17" s="1">
        <v>45614</v>
      </c>
      <c r="M17" s="3">
        <f>Data!B14</f>
        <v>239.95048522949199</v>
      </c>
      <c r="N17" s="3">
        <f>Data!H14</f>
        <v>130.13604736328099</v>
      </c>
      <c r="O17" s="3">
        <f>Data!N14</f>
        <v>45.645809173583899</v>
      </c>
      <c r="Q17" s="1">
        <v>45614</v>
      </c>
      <c r="R17" s="4">
        <f t="shared" si="0"/>
        <v>-1.1414332323484988E-3</v>
      </c>
      <c r="S17" s="4">
        <f t="shared" si="1"/>
        <v>-2.0885874666450865E-3</v>
      </c>
      <c r="T17" s="4">
        <f t="shared" si="2"/>
        <v>-6.4158580099449303E-4</v>
      </c>
      <c r="V17" s="1">
        <v>45614</v>
      </c>
      <c r="W17" s="6">
        <f t="shared" si="3"/>
        <v>-1.3703406966609323E-3</v>
      </c>
      <c r="AD17" s="1"/>
      <c r="AE17" s="6"/>
      <c r="AF17" s="6"/>
      <c r="AG17" s="6"/>
      <c r="AV17" s="14"/>
      <c r="AW17" s="14"/>
    </row>
    <row r="18" spans="2:49" x14ac:dyDescent="0.3">
      <c r="B18" s="2" t="s">
        <v>8</v>
      </c>
      <c r="C18" s="5">
        <f>C6</f>
        <v>0.3</v>
      </c>
      <c r="D18" s="5">
        <f>D6</f>
        <v>0.4</v>
      </c>
      <c r="E18" s="5">
        <f>E6</f>
        <v>0.3</v>
      </c>
      <c r="G18" s="2" t="s">
        <v>6</v>
      </c>
      <c r="H18" s="10">
        <v>3.0641081748783444E-4</v>
      </c>
      <c r="I18" s="10">
        <f>VARP('Variance Covariance'!$S$7:$S$254)</f>
        <v>4.3054373651835653E-4</v>
      </c>
      <c r="J18" s="10">
        <f>I19</f>
        <v>3.1100676075023636E-4</v>
      </c>
      <c r="L18" s="1">
        <v>45615</v>
      </c>
      <c r="M18" s="3">
        <f>Data!B15</f>
        <v>238.05070495605401</v>
      </c>
      <c r="N18" s="3">
        <f>Data!H15</f>
        <v>128.63801574707</v>
      </c>
      <c r="O18" s="3">
        <f>Data!N15</f>
        <v>45.342933654785099</v>
      </c>
      <c r="Q18" s="1">
        <v>45615</v>
      </c>
      <c r="R18" s="4">
        <f t="shared" si="0"/>
        <v>-7.9173845871618465E-3</v>
      </c>
      <c r="S18" s="4">
        <f t="shared" si="1"/>
        <v>-1.1511273367856067E-2</v>
      </c>
      <c r="T18" s="4">
        <f t="shared" si="2"/>
        <v>-6.6353412127498901E-3</v>
      </c>
      <c r="V18" s="1">
        <v>45615</v>
      </c>
      <c r="W18" s="6">
        <f t="shared" si="3"/>
        <v>-8.9703270871159466E-3</v>
      </c>
      <c r="AD18" s="1"/>
      <c r="AE18" s="6"/>
      <c r="AF18" s="6"/>
      <c r="AG18" s="6"/>
      <c r="AV18" s="14"/>
      <c r="AW18" s="14"/>
    </row>
    <row r="19" spans="2:49" ht="15" thickBot="1" x14ac:dyDescent="0.35">
      <c r="B19" s="2" t="s">
        <v>17</v>
      </c>
      <c r="C19" s="7">
        <f>SUMPRODUCT(C17:E17,C18:E18)</f>
        <v>1.50995252455736E-3</v>
      </c>
      <c r="G19" s="2" t="s">
        <v>7</v>
      </c>
      <c r="H19" s="11">
        <v>2.4532712678703648E-4</v>
      </c>
      <c r="I19" s="11">
        <v>3.1100676075023636E-4</v>
      </c>
      <c r="J19" s="11">
        <f>VARP('Variance Covariance'!$T$7:$T$254)</f>
        <v>3.1368477323471302E-4</v>
      </c>
      <c r="L19" s="1">
        <v>45616</v>
      </c>
      <c r="M19" s="3">
        <f>Data!B16</f>
        <v>235.78858947753901</v>
      </c>
      <c r="N19" s="3">
        <f>Data!H16</f>
        <v>128.10299682617099</v>
      </c>
      <c r="O19" s="3">
        <f>Data!N16</f>
        <v>45.000984191894503</v>
      </c>
      <c r="Q19" s="1">
        <v>45616</v>
      </c>
      <c r="R19" s="4">
        <f t="shared" si="0"/>
        <v>-9.5026623799858712E-3</v>
      </c>
      <c r="S19" s="4">
        <f t="shared" si="1"/>
        <v>-4.1591042724956617E-3</v>
      </c>
      <c r="T19" s="4">
        <f t="shared" si="2"/>
        <v>-7.5414058008245188E-3</v>
      </c>
      <c r="V19" s="1">
        <v>45616</v>
      </c>
      <c r="W19" s="6">
        <f t="shared" si="3"/>
        <v>-6.776862163241382E-3</v>
      </c>
      <c r="AD19" s="1"/>
      <c r="AE19" s="6"/>
      <c r="AF19" s="6"/>
      <c r="AG19" s="6"/>
      <c r="AV19" s="14"/>
      <c r="AW19" s="14"/>
    </row>
    <row r="20" spans="2:49" x14ac:dyDescent="0.3">
      <c r="C20" s="10"/>
      <c r="D20" s="10"/>
      <c r="E20" s="10"/>
      <c r="L20" s="1">
        <v>45617</v>
      </c>
      <c r="M20" s="3">
        <f>Data!B17</f>
        <v>239.68609619140599</v>
      </c>
      <c r="N20" s="3">
        <f>Data!H17</f>
        <v>131.31309509277301</v>
      </c>
      <c r="O20" s="3">
        <f>Data!N17</f>
        <v>45.391780853271399</v>
      </c>
      <c r="Q20" s="1">
        <v>45617</v>
      </c>
      <c r="R20" s="4">
        <f t="shared" si="0"/>
        <v>1.6529666352825156E-2</v>
      </c>
      <c r="S20" s="4">
        <f t="shared" si="1"/>
        <v>2.505872888327465E-2</v>
      </c>
      <c r="T20" s="4">
        <f t="shared" si="2"/>
        <v>8.6841803217114766E-3</v>
      </c>
      <c r="V20" s="1">
        <v>45617</v>
      </c>
      <c r="W20" s="6">
        <f t="shared" si="3"/>
        <v>1.7587645555670852E-2</v>
      </c>
      <c r="AD20" s="1"/>
      <c r="AE20" s="6"/>
      <c r="AF20" s="6"/>
      <c r="AG20" s="6"/>
      <c r="AV20" s="14"/>
      <c r="AW20" s="14"/>
    </row>
    <row r="21" spans="2:49" x14ac:dyDescent="0.3">
      <c r="L21" s="1">
        <v>45618</v>
      </c>
      <c r="M21" s="3">
        <f>Data!B18</f>
        <v>243.397537231445</v>
      </c>
      <c r="N21" s="3">
        <f>Data!H18</f>
        <v>131.02125549316401</v>
      </c>
      <c r="O21" s="3">
        <f>Data!N18</f>
        <v>45.919368743896399</v>
      </c>
      <c r="Q21" s="1">
        <v>45618</v>
      </c>
      <c r="R21" s="4">
        <f t="shared" si="0"/>
        <v>1.5484590466503967E-2</v>
      </c>
      <c r="S21" s="4">
        <f t="shared" si="1"/>
        <v>-2.2224714100510523E-3</v>
      </c>
      <c r="T21" s="4">
        <f t="shared" si="2"/>
        <v>1.1622982855209463E-2</v>
      </c>
      <c r="V21" s="1">
        <v>45618</v>
      </c>
      <c r="W21" s="6">
        <f t="shared" si="3"/>
        <v>7.2432834324936074E-3</v>
      </c>
      <c r="AD21" s="1"/>
      <c r="AE21" s="6"/>
      <c r="AF21" s="6"/>
      <c r="AG21" s="6"/>
      <c r="AV21" s="14"/>
      <c r="AW21" s="14"/>
    </row>
    <row r="22" spans="2:49" x14ac:dyDescent="0.3">
      <c r="L22" s="1">
        <v>45621</v>
      </c>
      <c r="M22" s="3">
        <f>Data!B19</f>
        <v>245.101470947265</v>
      </c>
      <c r="N22" s="3">
        <f>Data!H19</f>
        <v>130.01930236816401</v>
      </c>
      <c r="O22" s="3">
        <f>Data!N19</f>
        <v>46.407871246337798</v>
      </c>
      <c r="Q22" s="1">
        <v>45621</v>
      </c>
      <c r="R22" s="4">
        <f t="shared" si="0"/>
        <v>7.0006202001942075E-3</v>
      </c>
      <c r="S22" s="4">
        <f t="shared" si="1"/>
        <v>-7.6472563266826166E-3</v>
      </c>
      <c r="T22" s="4">
        <f t="shared" si="2"/>
        <v>1.0638266940599772E-2</v>
      </c>
      <c r="V22" s="1">
        <v>45621</v>
      </c>
      <c r="W22" s="6">
        <f t="shared" si="3"/>
        <v>2.2327636115651471E-3</v>
      </c>
      <c r="AD22" s="1"/>
      <c r="AE22" s="6"/>
      <c r="AF22" s="6"/>
      <c r="AG22" s="6"/>
      <c r="AV22" s="14"/>
      <c r="AW22" s="14"/>
    </row>
    <row r="23" spans="2:49" x14ac:dyDescent="0.3">
      <c r="L23" s="1">
        <v>45622</v>
      </c>
      <c r="M23" s="3">
        <f>Data!B20</f>
        <v>244.7880859375</v>
      </c>
      <c r="N23" s="3">
        <f>Data!H20</f>
        <v>127.704132080078</v>
      </c>
      <c r="O23" s="3">
        <f>Data!N20</f>
        <v>46.652122497558501</v>
      </c>
      <c r="Q23" s="1">
        <v>45622</v>
      </c>
      <c r="R23" s="4">
        <f t="shared" si="0"/>
        <v>-1.278592937667189E-3</v>
      </c>
      <c r="S23" s="4">
        <f t="shared" si="1"/>
        <v>-1.7806358332321692E-2</v>
      </c>
      <c r="T23" s="4">
        <f t="shared" si="2"/>
        <v>5.2631427527496388E-3</v>
      </c>
      <c r="V23" s="1">
        <v>45622</v>
      </c>
      <c r="W23" s="6">
        <f t="shared" si="3"/>
        <v>-5.9271783884039418E-3</v>
      </c>
      <c r="AD23" s="1"/>
      <c r="AE23" s="6"/>
      <c r="AF23" s="6"/>
      <c r="AG23" s="6"/>
      <c r="AV23" s="14"/>
      <c r="AW23" s="14"/>
    </row>
    <row r="24" spans="2:49" x14ac:dyDescent="0.3">
      <c r="B24" s="2" t="s">
        <v>18</v>
      </c>
      <c r="C24" s="12" cm="1">
        <f t="array" ref="C24">SQRT(MMULT(MMULT(C6:E6,H17:J19),TRANSPOSE(C6:E6)))</f>
        <v>1.7758849669181679E-2</v>
      </c>
      <c r="L24" s="1">
        <v>45623</v>
      </c>
      <c r="M24" s="3">
        <f>Data!B21</f>
        <v>244.61180114746</v>
      </c>
      <c r="N24" s="3">
        <f>Data!H21</f>
        <v>127.63606262207</v>
      </c>
      <c r="O24" s="3">
        <f>Data!N21</f>
        <v>46.671661376953097</v>
      </c>
      <c r="Q24" s="1">
        <v>45623</v>
      </c>
      <c r="R24" s="4">
        <f t="shared" si="0"/>
        <v>-7.2015265516234273E-4</v>
      </c>
      <c r="S24" s="4">
        <f t="shared" si="1"/>
        <v>-5.3302471031491105E-4</v>
      </c>
      <c r="T24" s="4">
        <f t="shared" si="2"/>
        <v>4.188208027537943E-4</v>
      </c>
      <c r="V24" s="1">
        <v>45623</v>
      </c>
      <c r="W24" s="6">
        <f t="shared" si="3"/>
        <v>-3.0360943984852895E-4</v>
      </c>
      <c r="AD24" s="1"/>
      <c r="AE24" s="6"/>
      <c r="AF24" s="6"/>
      <c r="AG24" s="6"/>
      <c r="AV24" s="14"/>
      <c r="AW24" s="14"/>
    </row>
    <row r="25" spans="2:49" x14ac:dyDescent="0.3">
      <c r="B25" s="2" t="s">
        <v>19</v>
      </c>
      <c r="L25" s="1">
        <v>45625</v>
      </c>
      <c r="M25" s="3">
        <f>Data!B22</f>
        <v>244.54327392578099</v>
      </c>
      <c r="N25" s="3">
        <f>Data!H22</f>
        <v>128.025146484375</v>
      </c>
      <c r="O25" s="3">
        <f>Data!N22</f>
        <v>46.417640686035099</v>
      </c>
      <c r="Q25" s="1">
        <v>45625</v>
      </c>
      <c r="R25" s="4">
        <f t="shared" si="0"/>
        <v>-2.8014683411659025E-4</v>
      </c>
      <c r="S25" s="4">
        <f t="shared" si="1"/>
        <v>3.0483850278042457E-3</v>
      </c>
      <c r="T25" s="4">
        <f t="shared" si="2"/>
        <v>-5.4427179882530208E-3</v>
      </c>
      <c r="V25" s="1">
        <v>45625</v>
      </c>
      <c r="W25" s="6">
        <f t="shared" si="3"/>
        <v>-4.9750543558918503E-4</v>
      </c>
      <c r="AD25" s="1"/>
      <c r="AE25" s="6"/>
      <c r="AF25" s="6"/>
      <c r="AG25" s="6"/>
      <c r="AV25" s="14"/>
      <c r="AW25" s="14"/>
    </row>
    <row r="26" spans="2:49" x14ac:dyDescent="0.3">
      <c r="L26" s="1">
        <v>45628</v>
      </c>
      <c r="M26" s="3">
        <f>Data!B23</f>
        <v>241.14521789550699</v>
      </c>
      <c r="N26" s="3">
        <f>Data!H23</f>
        <v>127.4609375</v>
      </c>
      <c r="O26" s="3">
        <f>Data!N23</f>
        <v>45.958446502685497</v>
      </c>
      <c r="Q26" s="1">
        <v>45628</v>
      </c>
      <c r="R26" s="4">
        <f t="shared" si="0"/>
        <v>-1.3895520313125909E-2</v>
      </c>
      <c r="S26" s="4">
        <f t="shared" si="1"/>
        <v>-4.4070169015104632E-3</v>
      </c>
      <c r="T26" s="4">
        <f t="shared" si="2"/>
        <v>-9.8926653005815268E-3</v>
      </c>
      <c r="V26" s="1">
        <v>45628</v>
      </c>
      <c r="W26" s="6">
        <f t="shared" si="3"/>
        <v>-8.8992624447164145E-3</v>
      </c>
      <c r="AD26" s="1"/>
      <c r="AE26" s="6"/>
      <c r="AF26" s="6"/>
      <c r="AG26" s="6"/>
      <c r="AV26" s="14"/>
      <c r="AW26" s="14"/>
    </row>
    <row r="27" spans="2:49" x14ac:dyDescent="0.3">
      <c r="L27" s="1">
        <v>45629</v>
      </c>
      <c r="M27" s="3">
        <f>Data!B24</f>
        <v>239.744857788085</v>
      </c>
      <c r="N27" s="3">
        <f>Data!H24</f>
        <v>126.88701629638599</v>
      </c>
      <c r="O27" s="3">
        <f>Data!N24</f>
        <v>45.743503570556598</v>
      </c>
      <c r="Q27" s="1">
        <v>45629</v>
      </c>
      <c r="R27" s="4">
        <f t="shared" si="0"/>
        <v>-5.8071236893811884E-3</v>
      </c>
      <c r="S27" s="4">
        <f t="shared" si="1"/>
        <v>-4.5027222839468806E-3</v>
      </c>
      <c r="T27" s="4">
        <f t="shared" si="2"/>
        <v>-4.6768972514408258E-3</v>
      </c>
      <c r="V27" s="1">
        <v>45629</v>
      </c>
      <c r="W27" s="6">
        <f t="shared" si="3"/>
        <v>-4.9462951958253567E-3</v>
      </c>
      <c r="AD27" s="1"/>
      <c r="AE27" s="6"/>
      <c r="AF27" s="6"/>
      <c r="AG27" s="6"/>
      <c r="AV27" s="14"/>
      <c r="AW27" s="14"/>
    </row>
    <row r="28" spans="2:49" x14ac:dyDescent="0.3">
      <c r="L28" s="1">
        <v>45630</v>
      </c>
      <c r="M28" s="3">
        <f>Data!B25</f>
        <v>238.35426330566401</v>
      </c>
      <c r="N28" s="3">
        <f>Data!H25</f>
        <v>126.44927978515599</v>
      </c>
      <c r="O28" s="3">
        <f>Data!N25</f>
        <v>45.3038520812988</v>
      </c>
      <c r="Q28" s="1">
        <v>45630</v>
      </c>
      <c r="R28" s="4">
        <f t="shared" si="0"/>
        <v>-5.8003099430402605E-3</v>
      </c>
      <c r="S28" s="4">
        <f t="shared" si="1"/>
        <v>-3.4498132591243014E-3</v>
      </c>
      <c r="T28" s="4">
        <f t="shared" si="2"/>
        <v>-9.6112333979766484E-3</v>
      </c>
      <c r="V28" s="1">
        <v>45630</v>
      </c>
      <c r="W28" s="6">
        <f t="shared" si="3"/>
        <v>-6.0033883059547929E-3</v>
      </c>
      <c r="AD28" s="1"/>
      <c r="AE28" s="6"/>
      <c r="AF28" s="6"/>
      <c r="AG28" s="6"/>
      <c r="AV28" s="14"/>
      <c r="AW28" s="14"/>
    </row>
    <row r="29" spans="2:49" x14ac:dyDescent="0.3">
      <c r="L29" s="1">
        <v>45631</v>
      </c>
      <c r="M29" s="3">
        <f>Data!B26</f>
        <v>240.39117431640599</v>
      </c>
      <c r="N29" s="3">
        <f>Data!H26</f>
        <v>126.770294189453</v>
      </c>
      <c r="O29" s="3">
        <f>Data!N26</f>
        <v>45.919368743896399</v>
      </c>
      <c r="Q29" s="1">
        <v>45631</v>
      </c>
      <c r="R29" s="4">
        <f t="shared" si="0"/>
        <v>8.5457292959341125E-3</v>
      </c>
      <c r="S29" s="4">
        <f t="shared" si="1"/>
        <v>2.5386811600858206E-3</v>
      </c>
      <c r="T29" s="4">
        <f t="shared" si="2"/>
        <v>1.3586408976725473E-2</v>
      </c>
      <c r="V29" s="1">
        <v>45631</v>
      </c>
      <c r="W29" s="6">
        <f t="shared" si="3"/>
        <v>7.6551139458322041E-3</v>
      </c>
      <c r="AD29" s="1"/>
      <c r="AE29" s="6"/>
      <c r="AF29" s="6"/>
      <c r="AG29" s="6"/>
      <c r="AV29" s="14"/>
      <c r="AW29" s="14"/>
    </row>
    <row r="30" spans="2:49" x14ac:dyDescent="0.3">
      <c r="L30" s="1">
        <v>45632</v>
      </c>
      <c r="M30" s="3">
        <f>Data!B27</f>
        <v>242.23220825195301</v>
      </c>
      <c r="N30" s="3">
        <f>Data!H27</f>
        <v>126.420104980468</v>
      </c>
      <c r="O30" s="3">
        <f>Data!N27</f>
        <v>45.929191589355398</v>
      </c>
      <c r="Q30" s="1">
        <v>45632</v>
      </c>
      <c r="R30" s="4">
        <f t="shared" si="0"/>
        <v>7.6584922087190588E-3</v>
      </c>
      <c r="S30" s="4">
        <f t="shared" si="1"/>
        <v>-2.7623917040190404E-3</v>
      </c>
      <c r="T30" s="4">
        <f t="shared" si="2"/>
        <v>2.1391508044854568E-4</v>
      </c>
      <c r="V30" s="1">
        <v>45632</v>
      </c>
      <c r="W30" s="6">
        <f t="shared" si="3"/>
        <v>1.2567655051426649E-3</v>
      </c>
      <c r="AD30" s="1"/>
      <c r="AE30" s="6"/>
      <c r="AF30" s="6"/>
      <c r="AG30" s="6"/>
      <c r="AV30" s="14"/>
      <c r="AW30" s="14"/>
    </row>
    <row r="31" spans="2:49" x14ac:dyDescent="0.3">
      <c r="L31" s="1">
        <v>45635</v>
      </c>
      <c r="M31" s="3">
        <f>Data!B28</f>
        <v>238.75578308105401</v>
      </c>
      <c r="N31" s="3">
        <f>Data!H28</f>
        <v>125.07769012451099</v>
      </c>
      <c r="O31" s="3">
        <f>Data!N28</f>
        <v>45.1039428710937</v>
      </c>
      <c r="Q31" s="1">
        <v>45635</v>
      </c>
      <c r="R31" s="4">
        <f t="shared" si="0"/>
        <v>-1.4351622337864578E-2</v>
      </c>
      <c r="S31" s="4">
        <f t="shared" si="1"/>
        <v>-1.0618681705448774E-2</v>
      </c>
      <c r="T31" s="4">
        <f t="shared" si="2"/>
        <v>-1.7967847673873716E-2</v>
      </c>
      <c r="V31" s="1">
        <v>45635</v>
      </c>
      <c r="W31" s="6">
        <f t="shared" si="3"/>
        <v>-1.3943313685700998E-2</v>
      </c>
      <c r="AD31" s="1"/>
      <c r="AE31" s="6"/>
      <c r="AF31" s="6"/>
      <c r="AG31" s="6"/>
      <c r="AV31" s="14"/>
      <c r="AW31" s="14"/>
    </row>
    <row r="32" spans="2:49" x14ac:dyDescent="0.3">
      <c r="L32" s="1">
        <v>45636</v>
      </c>
      <c r="M32" s="3">
        <f>Data!B29</f>
        <v>237.82546997070301</v>
      </c>
      <c r="N32" s="3">
        <f>Data!H29</f>
        <v>123.33644104003901</v>
      </c>
      <c r="O32" s="3">
        <f>Data!N29</f>
        <v>44.946750640869098</v>
      </c>
      <c r="Q32" s="1">
        <v>45636</v>
      </c>
      <c r="R32" s="4">
        <f t="shared" si="0"/>
        <v>-3.896505032655706E-3</v>
      </c>
      <c r="S32" s="4">
        <f t="shared" si="1"/>
        <v>-1.3921340270504068E-2</v>
      </c>
      <c r="T32" s="4">
        <f t="shared" si="2"/>
        <v>-3.485110618241416E-3</v>
      </c>
      <c r="V32" s="1">
        <v>45636</v>
      </c>
      <c r="W32" s="6">
        <f t="shared" si="3"/>
        <v>-7.7830208034707637E-3</v>
      </c>
      <c r="AD32" s="1"/>
      <c r="AE32" s="6"/>
      <c r="AF32" s="6"/>
      <c r="AG32" s="6"/>
      <c r="AV32" s="14"/>
      <c r="AW32" s="14"/>
    </row>
    <row r="33" spans="12:49" x14ac:dyDescent="0.3">
      <c r="L33" s="1">
        <v>45637</v>
      </c>
      <c r="M33" s="3">
        <f>Data!B30</f>
        <v>238.48158264160099</v>
      </c>
      <c r="N33" s="3">
        <f>Data!H30</f>
        <v>124.11464691162099</v>
      </c>
      <c r="O33" s="3">
        <f>Data!N30</f>
        <v>45.270957946777301</v>
      </c>
      <c r="Q33" s="1">
        <v>45637</v>
      </c>
      <c r="R33" s="4">
        <f t="shared" si="0"/>
        <v>2.7587990091171299E-3</v>
      </c>
      <c r="S33" s="4">
        <f t="shared" si="1"/>
        <v>6.3096183497735048E-3</v>
      </c>
      <c r="T33" s="4">
        <f t="shared" si="2"/>
        <v>7.2131422468926232E-3</v>
      </c>
      <c r="V33" s="1">
        <v>45637</v>
      </c>
      <c r="W33" s="6">
        <f t="shared" si="3"/>
        <v>5.5154297167123272E-3</v>
      </c>
      <c r="AD33" s="1"/>
      <c r="AE33" s="6"/>
      <c r="AF33" s="6"/>
      <c r="AG33" s="6"/>
      <c r="AV33" s="14"/>
      <c r="AW33" s="14"/>
    </row>
    <row r="34" spans="12:49" x14ac:dyDescent="0.3">
      <c r="L34" s="1">
        <v>45638</v>
      </c>
      <c r="M34" s="3">
        <f>Data!B31</f>
        <v>236.52305603027301</v>
      </c>
      <c r="N34" s="3">
        <f>Data!H31</f>
        <v>124.42592620849599</v>
      </c>
      <c r="O34" s="3">
        <f>Data!N31</f>
        <v>45.270957946777301</v>
      </c>
      <c r="Q34" s="1">
        <v>45638</v>
      </c>
      <c r="R34" s="4">
        <f t="shared" si="0"/>
        <v>-8.2124858013514768E-3</v>
      </c>
      <c r="S34" s="4">
        <f t="shared" si="1"/>
        <v>2.5079980858073725E-3</v>
      </c>
      <c r="T34" s="4">
        <f t="shared" si="2"/>
        <v>0</v>
      </c>
      <c r="V34" s="1">
        <v>45638</v>
      </c>
      <c r="W34" s="6">
        <f t="shared" si="3"/>
        <v>-1.4605465060824939E-3</v>
      </c>
      <c r="AD34" s="1"/>
      <c r="AE34" s="6"/>
      <c r="AF34" s="6"/>
      <c r="AG34" s="6"/>
      <c r="AV34" s="14"/>
      <c r="AW34" s="14"/>
    </row>
    <row r="35" spans="12:49" x14ac:dyDescent="0.3">
      <c r="L35" s="1">
        <v>45639</v>
      </c>
      <c r="M35" s="3">
        <f>Data!B32</f>
        <v>234.96600341796801</v>
      </c>
      <c r="N35" s="3">
        <f>Data!H32</f>
        <v>123.92982482910099</v>
      </c>
      <c r="O35" s="3">
        <f>Data!N32</f>
        <v>44.868148803710902</v>
      </c>
      <c r="Q35" s="1">
        <v>45639</v>
      </c>
      <c r="R35" s="4">
        <f t="shared" si="0"/>
        <v>-6.5830902003299885E-3</v>
      </c>
      <c r="S35" s="4">
        <f t="shared" si="1"/>
        <v>-3.9871222542776641E-3</v>
      </c>
      <c r="T35" s="4">
        <f t="shared" si="2"/>
        <v>-8.8977384472394005E-3</v>
      </c>
      <c r="V35" s="1">
        <v>45639</v>
      </c>
      <c r="W35" s="6">
        <f t="shared" si="3"/>
        <v>-6.2390974959818822E-3</v>
      </c>
      <c r="AD35" s="1"/>
      <c r="AE35" s="6"/>
      <c r="AF35" s="6"/>
      <c r="AG35" s="6"/>
      <c r="AV35" s="14"/>
      <c r="AW35" s="14"/>
    </row>
    <row r="36" spans="12:49" x14ac:dyDescent="0.3">
      <c r="L36" s="1">
        <v>45642</v>
      </c>
      <c r="M36" s="3">
        <f>Data!B33</f>
        <v>234.61346435546801</v>
      </c>
      <c r="N36" s="3">
        <f>Data!H33</f>
        <v>125.515426635742</v>
      </c>
      <c r="O36" s="3">
        <f>Data!N33</f>
        <v>44.671665191650298</v>
      </c>
      <c r="Q36" s="1">
        <v>45642</v>
      </c>
      <c r="R36" s="4">
        <f t="shared" si="0"/>
        <v>-1.500383278311479E-3</v>
      </c>
      <c r="S36" s="4">
        <f t="shared" si="1"/>
        <v>1.2794352036142653E-2</v>
      </c>
      <c r="T36" s="4">
        <f t="shared" si="2"/>
        <v>-4.3791334677117932E-3</v>
      </c>
      <c r="V36" s="1">
        <v>45642</v>
      </c>
      <c r="W36" s="6">
        <f t="shared" si="3"/>
        <v>3.3538857906500802E-3</v>
      </c>
      <c r="AD36" s="1"/>
      <c r="AE36" s="6"/>
      <c r="AF36" s="6"/>
      <c r="AG36" s="6"/>
      <c r="AV36" s="14"/>
      <c r="AW36" s="14"/>
    </row>
    <row r="37" spans="12:49" x14ac:dyDescent="0.3">
      <c r="L37" s="1">
        <v>45643</v>
      </c>
      <c r="M37" s="3">
        <f>Data!B34</f>
        <v>233.41876220703099</v>
      </c>
      <c r="N37" s="3">
        <f>Data!H34</f>
        <v>124.260566711425</v>
      </c>
      <c r="O37" s="3">
        <f>Data!N34</f>
        <v>44.259040832519503</v>
      </c>
      <c r="Q37" s="1">
        <v>45643</v>
      </c>
      <c r="R37" s="4">
        <f t="shared" si="0"/>
        <v>-5.0922147700223075E-3</v>
      </c>
      <c r="S37" s="4">
        <f t="shared" si="1"/>
        <v>-9.9976549333551379E-3</v>
      </c>
      <c r="T37" s="4">
        <f t="shared" si="2"/>
        <v>-9.2368251185747097E-3</v>
      </c>
      <c r="V37" s="1">
        <v>45643</v>
      </c>
      <c r="W37" s="6">
        <f t="shared" si="3"/>
        <v>-8.2977739399211596E-3</v>
      </c>
      <c r="AD37" s="1"/>
      <c r="AE37" s="6"/>
      <c r="AF37" s="6"/>
      <c r="AG37" s="6"/>
      <c r="AV37" s="14"/>
      <c r="AW37" s="14"/>
    </row>
    <row r="38" spans="12:49" x14ac:dyDescent="0.3">
      <c r="L38" s="1">
        <v>45644</v>
      </c>
      <c r="M38" s="3">
        <f>Data!B35</f>
        <v>225.59440612792901</v>
      </c>
      <c r="N38" s="3">
        <f>Data!H35</f>
        <v>117.74305725097599</v>
      </c>
      <c r="O38" s="3">
        <f>Data!N35</f>
        <v>42.736251831054602</v>
      </c>
      <c r="Q38" s="1">
        <v>45644</v>
      </c>
      <c r="R38" s="4">
        <f t="shared" si="0"/>
        <v>-3.352068190714752E-2</v>
      </c>
      <c r="S38" s="4">
        <f t="shared" si="1"/>
        <v>-5.2450343925960596E-2</v>
      </c>
      <c r="T38" s="4">
        <f t="shared" si="2"/>
        <v>-3.4406281130837879E-2</v>
      </c>
      <c r="V38" s="1">
        <v>45644</v>
      </c>
      <c r="W38" s="6">
        <f t="shared" si="3"/>
        <v>-4.1358226481779864E-2</v>
      </c>
      <c r="AD38" s="1"/>
      <c r="AE38" s="6"/>
      <c r="AF38" s="6"/>
      <c r="AG38" s="6"/>
      <c r="AV38" s="14"/>
      <c r="AW38" s="14"/>
    </row>
    <row r="39" spans="12:49" x14ac:dyDescent="0.3">
      <c r="L39" s="1">
        <v>45645</v>
      </c>
      <c r="M39" s="3">
        <f>Data!B36</f>
        <v>228.13070678710901</v>
      </c>
      <c r="N39" s="3">
        <f>Data!H36</f>
        <v>117.217765808105</v>
      </c>
      <c r="O39" s="3">
        <f>Data!N36</f>
        <v>42.618358612060497</v>
      </c>
      <c r="Q39" s="1">
        <v>45645</v>
      </c>
      <c r="R39" s="4">
        <f t="shared" si="0"/>
        <v>1.1242746230780698E-2</v>
      </c>
      <c r="S39" s="4">
        <f t="shared" si="1"/>
        <v>-4.4613368731483138E-3</v>
      </c>
      <c r="T39" s="4">
        <f t="shared" si="2"/>
        <v>-2.7586232751567463E-3</v>
      </c>
      <c r="V39" s="1">
        <v>45645</v>
      </c>
      <c r="W39" s="6">
        <f t="shared" si="3"/>
        <v>7.6070213742786004E-4</v>
      </c>
      <c r="AD39" s="1"/>
      <c r="AE39" s="6"/>
      <c r="AF39" s="6"/>
      <c r="AG39" s="6"/>
      <c r="AV39" s="14"/>
      <c r="AW39" s="14"/>
    </row>
    <row r="40" spans="12:49" x14ac:dyDescent="0.3">
      <c r="L40" s="1">
        <v>45646</v>
      </c>
      <c r="M40" s="3">
        <f>Data!B37</f>
        <v>232.67453002929599</v>
      </c>
      <c r="N40" s="3">
        <f>Data!H37</f>
        <v>120.07769775390599</v>
      </c>
      <c r="O40" s="3">
        <f>Data!N37</f>
        <v>43.39448928833</v>
      </c>
      <c r="Q40" s="1">
        <v>45646</v>
      </c>
      <c r="R40" s="4">
        <f t="shared" si="0"/>
        <v>1.991763102030486E-2</v>
      </c>
      <c r="S40" s="4">
        <f t="shared" si="1"/>
        <v>2.4398451259367349E-2</v>
      </c>
      <c r="T40" s="4">
        <f t="shared" si="2"/>
        <v>1.8211181789855813E-2</v>
      </c>
      <c r="V40" s="1">
        <v>45646</v>
      </c>
      <c r="W40" s="6">
        <f t="shared" si="3"/>
        <v>2.1198024346795141E-2</v>
      </c>
      <c r="AD40" s="1"/>
      <c r="AE40" s="6"/>
      <c r="AF40" s="6"/>
      <c r="AG40" s="6"/>
      <c r="AV40" s="14"/>
      <c r="AW40" s="14"/>
    </row>
    <row r="41" spans="12:49" x14ac:dyDescent="0.3">
      <c r="L41" s="1">
        <v>45649</v>
      </c>
      <c r="M41" s="3">
        <f>Data!B38</f>
        <v>233.448150634765</v>
      </c>
      <c r="N41" s="3">
        <f>Data!H38</f>
        <v>121.060173034667</v>
      </c>
      <c r="O41" s="3">
        <f>Data!N38</f>
        <v>43.1194038391113</v>
      </c>
      <c r="Q41" s="1">
        <v>45649</v>
      </c>
      <c r="R41" s="4">
        <f t="shared" si="0"/>
        <v>3.3249045581895675E-3</v>
      </c>
      <c r="S41" s="4">
        <f t="shared" si="1"/>
        <v>8.181996316872775E-3</v>
      </c>
      <c r="T41" s="4">
        <f t="shared" si="2"/>
        <v>-6.3391793227689508E-3</v>
      </c>
      <c r="V41" s="1">
        <v>45649</v>
      </c>
      <c r="W41" s="6">
        <f t="shared" si="3"/>
        <v>2.3685160973752951E-3</v>
      </c>
      <c r="AD41" s="1"/>
      <c r="AE41" s="6"/>
      <c r="AF41" s="6"/>
      <c r="AG41" s="6"/>
      <c r="AV41" s="14"/>
      <c r="AW41" s="14"/>
    </row>
    <row r="42" spans="12:49" x14ac:dyDescent="0.3">
      <c r="L42" s="1">
        <v>45650</v>
      </c>
      <c r="M42" s="3">
        <f>Data!B39</f>
        <v>237.28688049316401</v>
      </c>
      <c r="N42" s="3">
        <f>Data!H39</f>
        <v>123.599082946777</v>
      </c>
      <c r="O42" s="3">
        <f>Data!N39</f>
        <v>43.600803375244098</v>
      </c>
      <c r="Q42" s="1">
        <v>45650</v>
      </c>
      <c r="R42" s="4">
        <f t="shared" si="0"/>
        <v>1.6443607918765535E-2</v>
      </c>
      <c r="S42" s="4">
        <f t="shared" si="1"/>
        <v>2.0972297069020041E-2</v>
      </c>
      <c r="T42" s="4">
        <f t="shared" si="2"/>
        <v>1.1164336546233722E-2</v>
      </c>
      <c r="V42" s="1">
        <v>45650</v>
      </c>
      <c r="W42" s="6">
        <f t="shared" si="3"/>
        <v>1.6671302167107792E-2</v>
      </c>
      <c r="AD42" s="1"/>
      <c r="AE42" s="6"/>
      <c r="AF42" s="6"/>
      <c r="AG42" s="6"/>
      <c r="AV42" s="14"/>
      <c r="AW42" s="14"/>
    </row>
    <row r="43" spans="12:49" x14ac:dyDescent="0.3">
      <c r="L43" s="1">
        <v>45652</v>
      </c>
      <c r="M43" s="3">
        <f>Data!B40</f>
        <v>238.09967041015599</v>
      </c>
      <c r="N43" s="3">
        <f>Data!H40</f>
        <v>124.542663574218</v>
      </c>
      <c r="O43" s="3">
        <f>Data!N40</f>
        <v>43.767818450927699</v>
      </c>
      <c r="Q43" s="1">
        <v>45652</v>
      </c>
      <c r="R43" s="4">
        <f t="shared" si="0"/>
        <v>3.425347053755079E-3</v>
      </c>
      <c r="S43" s="4">
        <f t="shared" si="1"/>
        <v>7.6342041133696803E-3</v>
      </c>
      <c r="T43" s="4">
        <f t="shared" si="2"/>
        <v>3.8305504200508711E-3</v>
      </c>
      <c r="V43" s="1">
        <v>45652</v>
      </c>
      <c r="W43" s="6">
        <f t="shared" si="3"/>
        <v>5.2304508874896575E-3</v>
      </c>
      <c r="AD43" s="1"/>
      <c r="AE43" s="6"/>
      <c r="AF43" s="6"/>
      <c r="AG43" s="6"/>
      <c r="AV43" s="14"/>
      <c r="AW43" s="14"/>
    </row>
    <row r="44" spans="12:49" x14ac:dyDescent="0.3">
      <c r="L44" s="1">
        <v>45653</v>
      </c>
      <c r="M44" s="3">
        <f>Data!B41</f>
        <v>236.17050170898401</v>
      </c>
      <c r="N44" s="3">
        <f>Data!H41</f>
        <v>123.307258605957</v>
      </c>
      <c r="O44" s="3">
        <f>Data!N41</f>
        <v>43.561504364013601</v>
      </c>
      <c r="Q44" s="1">
        <v>45653</v>
      </c>
      <c r="R44" s="4">
        <f t="shared" si="0"/>
        <v>-8.1023577136782876E-3</v>
      </c>
      <c r="S44" s="4">
        <f t="shared" si="1"/>
        <v>-9.9195322534979535E-3</v>
      </c>
      <c r="T44" s="4">
        <f t="shared" si="2"/>
        <v>-4.7138307143504976E-3</v>
      </c>
      <c r="V44" s="1">
        <v>45653</v>
      </c>
      <c r="W44" s="6">
        <f t="shared" si="3"/>
        <v>-7.8126694298078173E-3</v>
      </c>
      <c r="AD44" s="1"/>
      <c r="AE44" s="6"/>
      <c r="AF44" s="6"/>
      <c r="AG44" s="6"/>
      <c r="AV44" s="14"/>
      <c r="AW44" s="14"/>
    </row>
    <row r="45" spans="12:49" x14ac:dyDescent="0.3">
      <c r="L45" s="1">
        <v>45656</v>
      </c>
      <c r="M45" s="3">
        <f>Data!B42</f>
        <v>234.35887145996</v>
      </c>
      <c r="N45" s="3">
        <f>Data!H42</f>
        <v>122.3247756958</v>
      </c>
      <c r="O45" s="3">
        <f>Data!N42</f>
        <v>43.139053344726499</v>
      </c>
      <c r="Q45" s="1">
        <v>45656</v>
      </c>
      <c r="R45" s="4">
        <f t="shared" si="0"/>
        <v>-7.6708574352624126E-3</v>
      </c>
      <c r="S45" s="4">
        <f t="shared" si="1"/>
        <v>-7.9677621679730137E-3</v>
      </c>
      <c r="T45" s="4">
        <f t="shared" si="2"/>
        <v>-9.6978060205856753E-3</v>
      </c>
      <c r="V45" s="1">
        <v>45656</v>
      </c>
      <c r="W45" s="6">
        <f t="shared" si="3"/>
        <v>-8.3977039039436312E-3</v>
      </c>
      <c r="AD45" s="1"/>
      <c r="AE45" s="6"/>
      <c r="AF45" s="6"/>
      <c r="AG45" s="6"/>
      <c r="AV45" s="14"/>
      <c r="AW45" s="14"/>
    </row>
    <row r="46" spans="12:49" x14ac:dyDescent="0.3">
      <c r="L46" s="1">
        <v>45657</v>
      </c>
      <c r="M46" s="3">
        <f>Data!B43</f>
        <v>234.74078369140599</v>
      </c>
      <c r="N46" s="3">
        <f>Data!H43</f>
        <v>122.29557800292901</v>
      </c>
      <c r="O46" s="3">
        <f>Data!N43</f>
        <v>43.178352355957003</v>
      </c>
      <c r="Q46" s="1">
        <v>45657</v>
      </c>
      <c r="R46" s="4">
        <f t="shared" si="0"/>
        <v>1.629604328894585E-3</v>
      </c>
      <c r="S46" s="4">
        <f t="shared" si="1"/>
        <v>-2.3868993590969723E-4</v>
      </c>
      <c r="T46" s="4">
        <f t="shared" si="2"/>
        <v>9.1098455305593795E-4</v>
      </c>
      <c r="V46" s="1">
        <v>45657</v>
      </c>
      <c r="W46" s="6">
        <f t="shared" si="3"/>
        <v>6.6670069022127792E-4</v>
      </c>
      <c r="AD46" s="1"/>
      <c r="AE46" s="6"/>
      <c r="AF46" s="6"/>
      <c r="AG46" s="6"/>
      <c r="AV46" s="14"/>
      <c r="AW46" s="14"/>
    </row>
    <row r="47" spans="12:49" x14ac:dyDescent="0.3">
      <c r="L47" s="1">
        <v>45659</v>
      </c>
      <c r="M47" s="3">
        <f>Data!B44</f>
        <v>235.02474975585901</v>
      </c>
      <c r="N47" s="3">
        <f>Data!H44</f>
        <v>121.38118743896401</v>
      </c>
      <c r="O47" s="3">
        <f>Data!N44</f>
        <v>43.512382507324197</v>
      </c>
      <c r="Q47" s="1">
        <v>45659</v>
      </c>
      <c r="R47" s="4">
        <f t="shared" si="0"/>
        <v>1.2097005896782864E-3</v>
      </c>
      <c r="S47" s="4">
        <f t="shared" si="1"/>
        <v>-7.4768898344230728E-3</v>
      </c>
      <c r="T47" s="4">
        <f t="shared" si="2"/>
        <v>7.7360559896655356E-3</v>
      </c>
      <c r="V47" s="1">
        <v>45659</v>
      </c>
      <c r="W47" s="6">
        <f t="shared" si="3"/>
        <v>-3.0702895996608274E-4</v>
      </c>
      <c r="AD47" s="1"/>
      <c r="AE47" s="6"/>
      <c r="AF47" s="6"/>
      <c r="AG47" s="6"/>
      <c r="AV47" s="14"/>
      <c r="AW47" s="14"/>
    </row>
    <row r="48" spans="12:49" x14ac:dyDescent="0.3">
      <c r="L48" s="1">
        <v>45660</v>
      </c>
      <c r="M48" s="3">
        <f>Data!B45</f>
        <v>238.23677062988199</v>
      </c>
      <c r="N48" s="3">
        <f>Data!H45</f>
        <v>122.509590148925</v>
      </c>
      <c r="O48" s="3">
        <f>Data!N45</f>
        <v>44.0232543945312</v>
      </c>
      <c r="Q48" s="1">
        <v>45660</v>
      </c>
      <c r="R48" s="4">
        <f t="shared" si="0"/>
        <v>1.3666734577356676E-2</v>
      </c>
      <c r="S48" s="4">
        <f t="shared" si="1"/>
        <v>9.2963558337935126E-3</v>
      </c>
      <c r="T48" s="4">
        <f t="shared" si="2"/>
        <v>1.1740839222513566E-2</v>
      </c>
      <c r="V48" s="1">
        <v>45660</v>
      </c>
      <c r="W48" s="6">
        <f t="shared" si="3"/>
        <v>1.1340814473478476E-2</v>
      </c>
      <c r="AD48" s="1"/>
      <c r="AE48" s="6"/>
      <c r="AF48" s="6"/>
      <c r="AG48" s="6"/>
      <c r="AV48" s="14"/>
      <c r="AW48" s="14"/>
    </row>
    <row r="49" spans="12:49" x14ac:dyDescent="0.3">
      <c r="L49" s="1">
        <v>45663</v>
      </c>
      <c r="M49" s="3">
        <f>Data!B46</f>
        <v>237.07528686523401</v>
      </c>
      <c r="N49" s="3">
        <f>Data!H46</f>
        <v>125.13604736328099</v>
      </c>
      <c r="O49" s="3">
        <f>Data!N46</f>
        <v>44.602893829345703</v>
      </c>
      <c r="Q49" s="1">
        <v>45663</v>
      </c>
      <c r="R49" s="4">
        <f t="shared" si="0"/>
        <v>-4.8753337344906722E-3</v>
      </c>
      <c r="S49" s="4">
        <f t="shared" si="1"/>
        <v>2.1438788679018606E-2</v>
      </c>
      <c r="T49" s="4">
        <f t="shared" si="2"/>
        <v>1.3166664818094587E-2</v>
      </c>
      <c r="V49" s="1">
        <v>45663</v>
      </c>
      <c r="W49" s="6">
        <f t="shared" si="3"/>
        <v>1.1062914796688618E-2</v>
      </c>
      <c r="AD49" s="1"/>
      <c r="AE49" s="6"/>
      <c r="AF49" s="6"/>
      <c r="AG49" s="6"/>
      <c r="AV49" s="14"/>
      <c r="AW49" s="14"/>
    </row>
    <row r="50" spans="12:49" x14ac:dyDescent="0.3">
      <c r="L50" s="1">
        <v>45664</v>
      </c>
      <c r="M50" s="3">
        <f>Data!B47</f>
        <v>239.35890197753901</v>
      </c>
      <c r="N50" s="3">
        <f>Data!H47</f>
        <v>123.42398071289</v>
      </c>
      <c r="O50" s="3">
        <f>Data!N47</f>
        <v>45.270957946777301</v>
      </c>
      <c r="Q50" s="1">
        <v>45664</v>
      </c>
      <c r="R50" s="4">
        <f t="shared" si="0"/>
        <v>9.6324469011530578E-3</v>
      </c>
      <c r="S50" s="4">
        <f t="shared" si="1"/>
        <v>-1.3681642392145532E-2</v>
      </c>
      <c r="T50" s="4">
        <f t="shared" si="2"/>
        <v>1.4978044249498002E-2</v>
      </c>
      <c r="V50" s="1">
        <v>45664</v>
      </c>
      <c r="W50" s="6">
        <f t="shared" si="3"/>
        <v>1.9104903883371037E-3</v>
      </c>
      <c r="AD50" s="1"/>
      <c r="AE50" s="6"/>
      <c r="AF50" s="6"/>
      <c r="AG50" s="6"/>
      <c r="AV50" s="14"/>
      <c r="AW50" s="14"/>
    </row>
    <row r="51" spans="12:49" x14ac:dyDescent="0.3">
      <c r="L51" s="1">
        <v>45665</v>
      </c>
      <c r="M51" s="3">
        <f>Data!B48</f>
        <v>239.31954956054599</v>
      </c>
      <c r="N51" s="3">
        <f>Data!H48</f>
        <v>124.377296447753</v>
      </c>
      <c r="O51" s="3">
        <f>Data!N48</f>
        <v>45.398670196533203</v>
      </c>
      <c r="Q51" s="1">
        <v>45665</v>
      </c>
      <c r="R51" s="4">
        <f t="shared" si="0"/>
        <v>-1.644075765216968E-4</v>
      </c>
      <c r="S51" s="4">
        <f t="shared" si="1"/>
        <v>7.72391012959317E-3</v>
      </c>
      <c r="T51" s="4">
        <f t="shared" si="2"/>
        <v>2.8210635592480493E-3</v>
      </c>
      <c r="V51" s="1">
        <v>45665</v>
      </c>
      <c r="W51" s="6">
        <f t="shared" si="3"/>
        <v>3.8865608466551742E-3</v>
      </c>
      <c r="AD51" s="1"/>
      <c r="AE51" s="6"/>
      <c r="AF51" s="6"/>
      <c r="AG51" s="6"/>
      <c r="AV51" s="14"/>
      <c r="AW51" s="14"/>
    </row>
    <row r="52" spans="12:49" x14ac:dyDescent="0.3">
      <c r="L52" s="1">
        <v>45667</v>
      </c>
      <c r="M52" s="3">
        <f>Data!B49</f>
        <v>236.11061096191401</v>
      </c>
      <c r="N52" s="3">
        <f>Data!H49</f>
        <v>120.08740997314401</v>
      </c>
      <c r="O52" s="3">
        <f>Data!N49</f>
        <v>44.317985534667898</v>
      </c>
      <c r="Q52" s="1">
        <v>45667</v>
      </c>
      <c r="R52" s="4">
        <f t="shared" si="0"/>
        <v>-1.3408593675378611E-2</v>
      </c>
      <c r="S52" s="4">
        <f t="shared" si="1"/>
        <v>-3.4490912707778931E-2</v>
      </c>
      <c r="T52" s="4">
        <f t="shared" si="2"/>
        <v>-2.380432416163214E-2</v>
      </c>
      <c r="V52" s="1">
        <v>45667</v>
      </c>
      <c r="W52" s="6">
        <f t="shared" si="3"/>
        <v>-2.4960240434214798E-2</v>
      </c>
      <c r="AD52" s="1"/>
      <c r="AE52" s="6"/>
      <c r="AF52" s="6"/>
      <c r="AG52" s="6"/>
      <c r="AV52" s="14"/>
      <c r="AW52" s="14"/>
    </row>
    <row r="53" spans="12:49" x14ac:dyDescent="0.3">
      <c r="L53" s="1">
        <v>45670</v>
      </c>
      <c r="M53" s="3">
        <f>Data!B50</f>
        <v>240.38261413574199</v>
      </c>
      <c r="N53" s="3">
        <f>Data!H50</f>
        <v>120.612701416015</v>
      </c>
      <c r="O53" s="3">
        <f>Data!N50</f>
        <v>44.268863677978501</v>
      </c>
      <c r="Q53" s="1">
        <v>45670</v>
      </c>
      <c r="R53" s="4">
        <f t="shared" si="0"/>
        <v>1.8093228239187686E-2</v>
      </c>
      <c r="S53" s="4">
        <f t="shared" si="1"/>
        <v>4.3742424204875618E-3</v>
      </c>
      <c r="T53" s="4">
        <f t="shared" si="2"/>
        <v>-1.108395521519645E-3</v>
      </c>
      <c r="V53" s="1">
        <v>45670</v>
      </c>
      <c r="W53" s="6">
        <f t="shared" si="3"/>
        <v>6.8451467834954368E-3</v>
      </c>
      <c r="AD53" s="1"/>
      <c r="AE53" s="6"/>
      <c r="AF53" s="6"/>
      <c r="AG53" s="6"/>
      <c r="AV53" s="14"/>
      <c r="AW53" s="14"/>
    </row>
    <row r="54" spans="12:49" x14ac:dyDescent="0.3">
      <c r="L54" s="1">
        <v>45671</v>
      </c>
      <c r="M54" s="3">
        <f>Data!B51</f>
        <v>243.59150695800699</v>
      </c>
      <c r="N54" s="3">
        <f>Data!H51</f>
        <v>121.22555541992099</v>
      </c>
      <c r="O54" s="3">
        <f>Data!N51</f>
        <v>44.976222991943303</v>
      </c>
      <c r="Q54" s="1">
        <v>45671</v>
      </c>
      <c r="R54" s="4">
        <f t="shared" si="0"/>
        <v>1.3349105274531148E-2</v>
      </c>
      <c r="S54" s="4">
        <f t="shared" si="1"/>
        <v>5.0811730166970825E-3</v>
      </c>
      <c r="T54" s="4">
        <f t="shared" si="2"/>
        <v>1.5978709530705126E-2</v>
      </c>
      <c r="V54" s="1">
        <v>45671</v>
      </c>
      <c r="W54" s="6">
        <f t="shared" si="3"/>
        <v>1.0830813648249716E-2</v>
      </c>
      <c r="AD54" s="1"/>
      <c r="AE54" s="6"/>
      <c r="AF54" s="6"/>
      <c r="AG54" s="6"/>
      <c r="AV54" s="14"/>
      <c r="AW54" s="14"/>
    </row>
    <row r="55" spans="12:49" x14ac:dyDescent="0.3">
      <c r="L55" s="1">
        <v>45672</v>
      </c>
      <c r="M55" s="3">
        <f>Data!B52</f>
        <v>248.39503479003901</v>
      </c>
      <c r="N55" s="3">
        <f>Data!H52</f>
        <v>126.99403381347599</v>
      </c>
      <c r="O55" s="3">
        <f>Data!N52</f>
        <v>46.273048400878899</v>
      </c>
      <c r="Q55" s="1">
        <v>45672</v>
      </c>
      <c r="R55" s="4">
        <f t="shared" si="0"/>
        <v>1.9719603084766391E-2</v>
      </c>
      <c r="S55" s="4">
        <f t="shared" si="1"/>
        <v>4.7584672832169828E-2</v>
      </c>
      <c r="T55" s="4">
        <f t="shared" si="2"/>
        <v>2.8833577447530345E-2</v>
      </c>
      <c r="V55" s="1">
        <v>45672</v>
      </c>
      <c r="W55" s="6">
        <f t="shared" si="3"/>
        <v>3.3599823292556952E-2</v>
      </c>
      <c r="AD55" s="1"/>
      <c r="AE55" s="6"/>
      <c r="AF55" s="6"/>
      <c r="AG55" s="6"/>
      <c r="AV55" s="14"/>
      <c r="AW55" s="14"/>
    </row>
    <row r="56" spans="12:49" x14ac:dyDescent="0.3">
      <c r="L56" s="1">
        <v>45673</v>
      </c>
      <c r="M56" s="3">
        <f>Data!B53</f>
        <v>250.28494262695301</v>
      </c>
      <c r="N56" s="3">
        <f>Data!H53</f>
        <v>132.11076354980401</v>
      </c>
      <c r="O56" s="3">
        <f>Data!N53</f>
        <v>45.8211250305175</v>
      </c>
      <c r="Q56" s="1">
        <v>45673</v>
      </c>
      <c r="R56" s="4">
        <f t="shared" si="0"/>
        <v>7.6084767093331784E-3</v>
      </c>
      <c r="S56" s="4">
        <f t="shared" si="1"/>
        <v>4.0291103311540288E-2</v>
      </c>
      <c r="T56" s="4">
        <f t="shared" si="2"/>
        <v>-9.76644906655455E-3</v>
      </c>
      <c r="V56" s="1">
        <v>45673</v>
      </c>
      <c r="W56" s="6">
        <f t="shared" si="3"/>
        <v>1.5469049617449706E-2</v>
      </c>
      <c r="AD56" s="1"/>
      <c r="AE56" s="6"/>
      <c r="AF56" s="6"/>
      <c r="AG56" s="6"/>
      <c r="AV56" s="14"/>
      <c r="AW56" s="14"/>
    </row>
    <row r="57" spans="12:49" x14ac:dyDescent="0.3">
      <c r="L57" s="1">
        <v>45674</v>
      </c>
      <c r="M57" s="3">
        <f>Data!B54</f>
        <v>255.09829711914</v>
      </c>
      <c r="N57" s="3">
        <f>Data!H54</f>
        <v>134.11463928222599</v>
      </c>
      <c r="O57" s="3">
        <f>Data!N54</f>
        <v>45.713054656982401</v>
      </c>
      <c r="Q57" s="1">
        <v>45674</v>
      </c>
      <c r="R57" s="4">
        <f t="shared" si="0"/>
        <v>1.9231498473966324E-2</v>
      </c>
      <c r="S57" s="4">
        <f t="shared" si="1"/>
        <v>1.5168148897016565E-2</v>
      </c>
      <c r="T57" s="4">
        <f t="shared" si="2"/>
        <v>-2.3585272832808979E-3</v>
      </c>
      <c r="V57" s="1">
        <v>45674</v>
      </c>
      <c r="W57" s="6">
        <f t="shared" si="3"/>
        <v>1.1129150916012255E-2</v>
      </c>
      <c r="AD57" s="1"/>
      <c r="AE57" s="6"/>
      <c r="AF57" s="6"/>
      <c r="AG57" s="6"/>
      <c r="AV57" s="14"/>
      <c r="AW57" s="14"/>
    </row>
    <row r="58" spans="12:49" x14ac:dyDescent="0.3">
      <c r="L58" s="1">
        <v>45678</v>
      </c>
      <c r="M58" s="3">
        <f>Data!B55</f>
        <v>258.907623291015</v>
      </c>
      <c r="N58" s="3">
        <f>Data!H55</f>
        <v>133.56016540527301</v>
      </c>
      <c r="O58" s="3">
        <f>Data!N55</f>
        <v>45.840770721435497</v>
      </c>
      <c r="Q58" s="1">
        <v>45678</v>
      </c>
      <c r="R58" s="4">
        <f t="shared" si="0"/>
        <v>1.4932777736638148E-2</v>
      </c>
      <c r="S58" s="4">
        <f t="shared" si="1"/>
        <v>-4.1343277655631061E-3</v>
      </c>
      <c r="T58" s="4">
        <f t="shared" si="2"/>
        <v>2.7938641469364978E-3</v>
      </c>
      <c r="V58" s="1">
        <v>45678</v>
      </c>
      <c r="W58" s="6">
        <f t="shared" si="3"/>
        <v>3.6642614588471511E-3</v>
      </c>
      <c r="AD58" s="1"/>
      <c r="AE58" s="6"/>
      <c r="AF58" s="6"/>
      <c r="AG58" s="6"/>
      <c r="AV58" s="14"/>
      <c r="AW58" s="14"/>
    </row>
    <row r="59" spans="12:49" x14ac:dyDescent="0.3">
      <c r="L59" s="1">
        <v>45679</v>
      </c>
      <c r="M59" s="3">
        <f>Data!B56</f>
        <v>258.72064208984301</v>
      </c>
      <c r="N59" s="3">
        <f>Data!H56</f>
        <v>132.29559326171801</v>
      </c>
      <c r="O59" s="3">
        <f>Data!N56</f>
        <v>44.986045837402301</v>
      </c>
      <c r="Q59" s="1">
        <v>45679</v>
      </c>
      <c r="R59" s="4">
        <f t="shared" si="0"/>
        <v>-7.2219272184903538E-4</v>
      </c>
      <c r="S59" s="4">
        <f t="shared" si="1"/>
        <v>-9.4681834191938652E-3</v>
      </c>
      <c r="T59" s="4">
        <f t="shared" si="2"/>
        <v>-1.8645517310936444E-2</v>
      </c>
      <c r="V59" s="1">
        <v>45679</v>
      </c>
      <c r="W59" s="6">
        <f t="shared" si="3"/>
        <v>-9.5975863775131891E-3</v>
      </c>
      <c r="AD59" s="1"/>
      <c r="AE59" s="6"/>
      <c r="AF59" s="6"/>
      <c r="AG59" s="6"/>
      <c r="AV59" s="14"/>
      <c r="AW59" s="14"/>
    </row>
    <row r="60" spans="12:49" x14ac:dyDescent="0.3">
      <c r="L60" s="1">
        <v>45680</v>
      </c>
      <c r="M60" s="3">
        <f>Data!B57</f>
        <v>261.78189086914</v>
      </c>
      <c r="N60" s="3">
        <f>Data!H57</f>
        <v>134.04655456542901</v>
      </c>
      <c r="O60" s="3">
        <f>Data!N57</f>
        <v>45.575511932372997</v>
      </c>
      <c r="Q60" s="1">
        <v>45680</v>
      </c>
      <c r="R60" s="4">
        <f t="shared" si="0"/>
        <v>1.183225565061008E-2</v>
      </c>
      <c r="S60" s="4">
        <f t="shared" si="1"/>
        <v>1.3235220165248363E-2</v>
      </c>
      <c r="T60" s="4">
        <f t="shared" si="2"/>
        <v>1.3103309793024875E-2</v>
      </c>
      <c r="V60" s="1">
        <v>45680</v>
      </c>
      <c r="W60" s="6">
        <f t="shared" si="3"/>
        <v>1.2774757699189832E-2</v>
      </c>
      <c r="AD60" s="1"/>
      <c r="AE60" s="6"/>
      <c r="AF60" s="6"/>
      <c r="AG60" s="6"/>
      <c r="AV60" s="14"/>
      <c r="AW60" s="14"/>
    </row>
    <row r="61" spans="12:49" x14ac:dyDescent="0.3">
      <c r="L61" s="1">
        <v>45681</v>
      </c>
      <c r="M61" s="3">
        <f>Data!B58</f>
        <v>260.68930053710898</v>
      </c>
      <c r="N61" s="3">
        <f>Data!H58</f>
        <v>134.06600952148401</v>
      </c>
      <c r="O61" s="3">
        <f>Data!N58</f>
        <v>45.703231811523402</v>
      </c>
      <c r="Q61" s="1">
        <v>45681</v>
      </c>
      <c r="R61" s="4">
        <f t="shared" si="0"/>
        <v>-4.1736665909299919E-3</v>
      </c>
      <c r="S61" s="4">
        <f t="shared" si="1"/>
        <v>1.4513581582220603E-4</v>
      </c>
      <c r="T61" s="4">
        <f t="shared" si="2"/>
        <v>2.8023794738700758E-3</v>
      </c>
      <c r="V61" s="1">
        <v>45681</v>
      </c>
      <c r="W61" s="6">
        <f t="shared" si="3"/>
        <v>-3.5333180878909236E-4</v>
      </c>
      <c r="AD61" s="1"/>
      <c r="AE61" s="6"/>
      <c r="AF61" s="6"/>
      <c r="AG61" s="6"/>
      <c r="AV61" s="14"/>
      <c r="AW61" s="14"/>
    </row>
    <row r="62" spans="12:49" x14ac:dyDescent="0.3">
      <c r="L62" s="1">
        <v>45684</v>
      </c>
      <c r="M62" s="3">
        <f>Data!B59</f>
        <v>261.68344116210898</v>
      </c>
      <c r="N62" s="3">
        <f>Data!H59</f>
        <v>132.92787170410099</v>
      </c>
      <c r="O62" s="3">
        <f>Data!N59</f>
        <v>46.263221740722599</v>
      </c>
      <c r="Q62" s="1">
        <v>45684</v>
      </c>
      <c r="R62" s="4">
        <f t="shared" si="0"/>
        <v>3.8135075852814282E-3</v>
      </c>
      <c r="S62" s="4">
        <f t="shared" si="1"/>
        <v>-8.4893838598263383E-3</v>
      </c>
      <c r="T62" s="4">
        <f t="shared" si="2"/>
        <v>1.2252742464877509E-2</v>
      </c>
      <c r="V62" s="1">
        <v>45684</v>
      </c>
      <c r="W62" s="6">
        <f t="shared" si="3"/>
        <v>1.4241214711171448E-3</v>
      </c>
      <c r="AD62" s="1"/>
      <c r="AE62" s="6"/>
      <c r="AF62" s="6"/>
      <c r="AG62" s="6"/>
      <c r="AV62" s="14"/>
      <c r="AW62" s="14"/>
    </row>
    <row r="63" spans="12:49" x14ac:dyDescent="0.3">
      <c r="L63" s="1">
        <v>45685</v>
      </c>
      <c r="M63" s="3">
        <f>Data!B60</f>
        <v>262.95324707031199</v>
      </c>
      <c r="N63" s="3">
        <f>Data!H60</f>
        <v>134.76638793945301</v>
      </c>
      <c r="O63" s="3">
        <f>Data!N60</f>
        <v>46.017608642578097</v>
      </c>
      <c r="Q63" s="1">
        <v>45685</v>
      </c>
      <c r="R63" s="4">
        <f t="shared" si="0"/>
        <v>4.8524503597320301E-3</v>
      </c>
      <c r="S63" s="4">
        <f t="shared" si="1"/>
        <v>1.383093110408451E-2</v>
      </c>
      <c r="T63" s="4">
        <f t="shared" si="2"/>
        <v>-5.3090357502773022E-3</v>
      </c>
      <c r="V63" s="1">
        <v>45685</v>
      </c>
      <c r="W63" s="6">
        <f t="shared" si="3"/>
        <v>5.3953968244702223E-3</v>
      </c>
      <c r="AD63" s="1"/>
      <c r="AE63" s="6"/>
      <c r="AF63" s="6"/>
      <c r="AG63" s="6"/>
      <c r="AV63" s="14"/>
      <c r="AW63" s="14"/>
    </row>
    <row r="64" spans="12:49" x14ac:dyDescent="0.3">
      <c r="L64" s="1">
        <v>45686</v>
      </c>
      <c r="M64" s="3">
        <f>Data!B61</f>
        <v>262.40200805664</v>
      </c>
      <c r="N64" s="3">
        <f>Data!H61</f>
        <v>134.93176269531199</v>
      </c>
      <c r="O64" s="3">
        <f>Data!N61</f>
        <v>45.929191589355398</v>
      </c>
      <c r="Q64" s="1">
        <v>45686</v>
      </c>
      <c r="R64" s="4">
        <f t="shared" si="0"/>
        <v>-2.0963384929206796E-3</v>
      </c>
      <c r="S64" s="4">
        <f t="shared" si="1"/>
        <v>1.2271216761650106E-3</v>
      </c>
      <c r="T64" s="4">
        <f t="shared" si="2"/>
        <v>-1.9213743571387942E-3</v>
      </c>
      <c r="V64" s="1">
        <v>45686</v>
      </c>
      <c r="W64" s="6">
        <f t="shared" si="3"/>
        <v>-7.1446518455183796E-4</v>
      </c>
      <c r="AD64" s="1"/>
      <c r="AE64" s="6"/>
      <c r="AF64" s="6"/>
      <c r="AG64" s="6"/>
      <c r="AV64" s="14"/>
      <c r="AW64" s="14"/>
    </row>
    <row r="65" spans="12:49" x14ac:dyDescent="0.3">
      <c r="L65" s="1">
        <v>45687</v>
      </c>
      <c r="M65" s="3">
        <f>Data!B62</f>
        <v>264.02615356445301</v>
      </c>
      <c r="N65" s="3">
        <f>Data!H62</f>
        <v>136.12826538085901</v>
      </c>
      <c r="O65" s="3">
        <f>Data!N62</f>
        <v>45.899715423583899</v>
      </c>
      <c r="Q65" s="1">
        <v>45687</v>
      </c>
      <c r="R65" s="4">
        <f t="shared" si="0"/>
        <v>6.1895315506215187E-3</v>
      </c>
      <c r="S65" s="4">
        <f t="shared" si="1"/>
        <v>8.8674650182167802E-3</v>
      </c>
      <c r="T65" s="4">
        <f t="shared" si="2"/>
        <v>-6.4177410382137978E-4</v>
      </c>
      <c r="V65" s="1">
        <v>45687</v>
      </c>
      <c r="W65" s="6">
        <f t="shared" si="3"/>
        <v>5.2113132413267533E-3</v>
      </c>
      <c r="AD65" s="1"/>
      <c r="AE65" s="6"/>
      <c r="AF65" s="6"/>
      <c r="AG65" s="6"/>
      <c r="AV65" s="14"/>
      <c r="AW65" s="14"/>
    </row>
    <row r="66" spans="12:49" x14ac:dyDescent="0.3">
      <c r="L66" s="1">
        <v>45688</v>
      </c>
      <c r="M66" s="3">
        <f>Data!B63</f>
        <v>263.11071777343699</v>
      </c>
      <c r="N66" s="3">
        <f>Data!H63</f>
        <v>135.55538940429599</v>
      </c>
      <c r="O66" s="3">
        <f>Data!N63</f>
        <v>45.487094879150298</v>
      </c>
      <c r="Q66" s="1">
        <v>45688</v>
      </c>
      <c r="R66" s="4">
        <f t="shared" si="0"/>
        <v>-3.4672163293570923E-3</v>
      </c>
      <c r="S66" s="4">
        <f t="shared" si="1"/>
        <v>-4.2083543411077784E-3</v>
      </c>
      <c r="T66" s="4">
        <f t="shared" si="2"/>
        <v>-8.9896100798392276E-3</v>
      </c>
      <c r="V66" s="1">
        <v>45688</v>
      </c>
      <c r="W66" s="6">
        <f t="shared" si="3"/>
        <v>-5.4203896592020075E-3</v>
      </c>
      <c r="AD66" s="1"/>
      <c r="AE66" s="6"/>
      <c r="AF66" s="6"/>
      <c r="AG66" s="6"/>
      <c r="AV66" s="14"/>
      <c r="AW66" s="14"/>
    </row>
    <row r="67" spans="12:49" x14ac:dyDescent="0.3">
      <c r="L67" s="1">
        <v>45691</v>
      </c>
      <c r="M67" s="3">
        <f>Data!B64</f>
        <v>262.62838745117102</v>
      </c>
      <c r="N67" s="3">
        <f>Data!H64</f>
        <v>134.31178283691401</v>
      </c>
      <c r="O67" s="3">
        <f>Data!N64</f>
        <v>45.398670196533203</v>
      </c>
      <c r="Q67" s="1">
        <v>45691</v>
      </c>
      <c r="R67" s="4">
        <f t="shared" si="0"/>
        <v>-1.8331838639933373E-3</v>
      </c>
      <c r="S67" s="4">
        <f t="shared" si="1"/>
        <v>-9.1741580533762912E-3</v>
      </c>
      <c r="T67" s="4">
        <f t="shared" si="2"/>
        <v>-1.9439509788879983E-3</v>
      </c>
      <c r="V67" s="1">
        <v>45691</v>
      </c>
      <c r="W67" s="6">
        <f t="shared" si="3"/>
        <v>-4.802803674214917E-3</v>
      </c>
      <c r="AD67" s="1"/>
      <c r="AE67" s="6"/>
      <c r="AF67" s="6"/>
      <c r="AG67" s="6"/>
      <c r="AV67" s="14"/>
      <c r="AW67" s="14"/>
    </row>
    <row r="68" spans="12:49" x14ac:dyDescent="0.3">
      <c r="L68" s="1">
        <v>45692</v>
      </c>
      <c r="M68" s="3">
        <f>Data!B65</f>
        <v>263.74069213867102</v>
      </c>
      <c r="N68" s="3">
        <f>Data!H65</f>
        <v>133.92988586425699</v>
      </c>
      <c r="O68" s="3">
        <f>Data!N65</f>
        <v>45.889896392822202</v>
      </c>
      <c r="Q68" s="1">
        <v>45692</v>
      </c>
      <c r="R68" s="4">
        <f t="shared" si="0"/>
        <v>4.2352797361131511E-3</v>
      </c>
      <c r="S68" s="4">
        <f t="shared" si="1"/>
        <v>-2.8433616514549342E-3</v>
      </c>
      <c r="T68" s="4">
        <f t="shared" si="2"/>
        <v>1.0820277205531692E-2</v>
      </c>
      <c r="V68" s="1">
        <v>45692</v>
      </c>
      <c r="W68" s="6">
        <f t="shared" si="3"/>
        <v>3.3793224219114794E-3</v>
      </c>
      <c r="AD68" s="1"/>
      <c r="AE68" s="6"/>
      <c r="AF68" s="6"/>
      <c r="AG68" s="6"/>
      <c r="AV68" s="14"/>
      <c r="AW68" s="14"/>
    </row>
    <row r="69" spans="12:49" x14ac:dyDescent="0.3">
      <c r="L69" s="1">
        <v>45693</v>
      </c>
      <c r="M69" s="3">
        <f>Data!B66</f>
        <v>266.191650390625</v>
      </c>
      <c r="N69" s="3">
        <f>Data!H66</f>
        <v>136.04502868652301</v>
      </c>
      <c r="O69" s="3">
        <f>Data!N66</f>
        <v>46.282867431640597</v>
      </c>
      <c r="Q69" s="1">
        <v>45693</v>
      </c>
      <c r="R69" s="4">
        <f t="shared" si="0"/>
        <v>9.2930606653041092E-3</v>
      </c>
      <c r="S69" s="4">
        <f t="shared" si="1"/>
        <v>1.5792911407464416E-2</v>
      </c>
      <c r="T69" s="4">
        <f t="shared" si="2"/>
        <v>8.5633455228253386E-3</v>
      </c>
      <c r="V69" s="1">
        <v>45693</v>
      </c>
      <c r="W69" s="6">
        <f t="shared" si="3"/>
        <v>1.1674086419424599E-2</v>
      </c>
      <c r="AD69" s="1"/>
      <c r="AE69" s="6"/>
      <c r="AF69" s="6"/>
      <c r="AG69" s="6"/>
      <c r="AV69" s="14"/>
      <c r="AW69" s="14"/>
    </row>
    <row r="70" spans="12:49" x14ac:dyDescent="0.3">
      <c r="L70" s="1">
        <v>45694</v>
      </c>
      <c r="M70" s="3">
        <f>Data!B67</f>
        <v>272.56027221679602</v>
      </c>
      <c r="N70" s="3">
        <f>Data!H67</f>
        <v>138.15037536621</v>
      </c>
      <c r="O70" s="3">
        <f>Data!N67</f>
        <v>46.901809692382798</v>
      </c>
      <c r="Q70" s="1">
        <v>45694</v>
      </c>
      <c r="R70" s="4">
        <f t="shared" si="0"/>
        <v>2.3924949624923864E-2</v>
      </c>
      <c r="S70" s="4">
        <f t="shared" si="1"/>
        <v>1.5475366501911392E-2</v>
      </c>
      <c r="T70" s="4">
        <f t="shared" si="2"/>
        <v>1.3373031860145046E-2</v>
      </c>
      <c r="V70" s="1">
        <v>45694</v>
      </c>
      <c r="W70" s="6">
        <f t="shared" si="3"/>
        <v>1.7379541046285231E-2</v>
      </c>
      <c r="AD70" s="1"/>
      <c r="AE70" s="6"/>
      <c r="AF70" s="6"/>
      <c r="AG70" s="6"/>
      <c r="AV70" s="14"/>
      <c r="AW70" s="14"/>
    </row>
    <row r="71" spans="12:49" x14ac:dyDescent="0.3">
      <c r="L71" s="1">
        <v>45695</v>
      </c>
      <c r="M71" s="3">
        <f>Data!B68</f>
        <v>271.47747802734301</v>
      </c>
      <c r="N71" s="3">
        <f>Data!H68</f>
        <v>137.07321166992099</v>
      </c>
      <c r="O71" s="3">
        <f>Data!N68</f>
        <v>46.567779541015597</v>
      </c>
      <c r="Q71" s="1">
        <v>45695</v>
      </c>
      <c r="R71" s="4">
        <f t="shared" ref="R71:R134" si="6">(M71/M70)-1</f>
        <v>-3.9726779719083671E-3</v>
      </c>
      <c r="S71" s="4">
        <f t="shared" ref="S71:S134" si="7">(N71/N70)-1</f>
        <v>-7.7970377817190295E-3</v>
      </c>
      <c r="T71" s="4">
        <f t="shared" ref="T71:T134" si="8">(O71/O70)-1</f>
        <v>-7.1219032604077359E-3</v>
      </c>
      <c r="V71" s="1">
        <v>45695</v>
      </c>
      <c r="W71" s="6">
        <f t="shared" ref="W71:W134" si="9">SUMPRODUCT(R71:T71,$C$6:$E$6)</f>
        <v>-6.447189482382442E-3</v>
      </c>
      <c r="AD71" s="1"/>
      <c r="AE71" s="6"/>
      <c r="AF71" s="6"/>
      <c r="AG71" s="6"/>
      <c r="AV71" s="14"/>
      <c r="AW71" s="14"/>
    </row>
    <row r="72" spans="12:49" x14ac:dyDescent="0.3">
      <c r="L72" s="1">
        <v>45698</v>
      </c>
      <c r="M72" s="3">
        <f>Data!B69</f>
        <v>266.79214477539</v>
      </c>
      <c r="N72" s="3">
        <f>Data!H69</f>
        <v>134.45866394042901</v>
      </c>
      <c r="O72" s="3">
        <f>Data!N69</f>
        <v>45.850589752197202</v>
      </c>
      <c r="Q72" s="1">
        <v>45698</v>
      </c>
      <c r="R72" s="4">
        <f t="shared" si="6"/>
        <v>-1.7258644385524713E-2</v>
      </c>
      <c r="S72" s="4">
        <f t="shared" si="7"/>
        <v>-1.907409695621598E-2</v>
      </c>
      <c r="T72" s="4">
        <f t="shared" si="8"/>
        <v>-1.5400987461442361E-2</v>
      </c>
      <c r="V72" s="1">
        <v>45698</v>
      </c>
      <c r="W72" s="6">
        <f t="shared" si="9"/>
        <v>-1.7427528336576514E-2</v>
      </c>
      <c r="AD72" s="1"/>
      <c r="AE72" s="6"/>
      <c r="AF72" s="6"/>
      <c r="AG72" s="6"/>
      <c r="AV72" s="14"/>
      <c r="AW72" s="14"/>
    </row>
    <row r="73" spans="12:49" x14ac:dyDescent="0.3">
      <c r="L73" s="1">
        <v>45699</v>
      </c>
      <c r="M73" s="3">
        <f>Data!B70</f>
        <v>270.68017578125</v>
      </c>
      <c r="N73" s="3">
        <f>Data!H70</f>
        <v>134.92869567871</v>
      </c>
      <c r="O73" s="3">
        <f>Data!N70</f>
        <v>45.968490600585902</v>
      </c>
      <c r="Q73" s="1">
        <v>45699</v>
      </c>
      <c r="R73" s="4">
        <f t="shared" si="6"/>
        <v>1.4573258928344046E-2</v>
      </c>
      <c r="S73" s="4">
        <f t="shared" si="7"/>
        <v>3.4957341126731212E-3</v>
      </c>
      <c r="T73" s="4">
        <f t="shared" si="8"/>
        <v>2.571413999817862E-3</v>
      </c>
      <c r="V73" s="1">
        <v>45699</v>
      </c>
      <c r="W73" s="6">
        <f t="shared" si="9"/>
        <v>6.5416955235178213E-3</v>
      </c>
      <c r="AD73" s="1"/>
      <c r="AE73" s="6"/>
      <c r="AF73" s="6"/>
      <c r="AG73" s="6"/>
      <c r="AV73" s="14"/>
      <c r="AW73" s="14"/>
    </row>
    <row r="74" spans="12:49" x14ac:dyDescent="0.3">
      <c r="L74" s="1">
        <v>45700</v>
      </c>
      <c r="M74" s="3">
        <f>Data!B71</f>
        <v>271.13299560546801</v>
      </c>
      <c r="N74" s="3">
        <f>Data!H71</f>
        <v>134.26281738281199</v>
      </c>
      <c r="O74" s="3">
        <f>Data!N71</f>
        <v>45.398670196533203</v>
      </c>
      <c r="Q74" s="1">
        <v>45700</v>
      </c>
      <c r="R74" s="4">
        <f t="shared" si="6"/>
        <v>1.6728961510057427E-3</v>
      </c>
      <c r="S74" s="4">
        <f t="shared" si="7"/>
        <v>-4.9350384108328704E-3</v>
      </c>
      <c r="T74" s="4">
        <f t="shared" si="8"/>
        <v>-1.2395891111670165E-2</v>
      </c>
      <c r="V74" s="1">
        <v>45700</v>
      </c>
      <c r="W74" s="6">
        <f t="shared" si="9"/>
        <v>-5.1909138525324753E-3</v>
      </c>
      <c r="AD74" s="1"/>
      <c r="AE74" s="6"/>
      <c r="AF74" s="6"/>
      <c r="AG74" s="6"/>
      <c r="AV74" s="14"/>
      <c r="AW74" s="14"/>
    </row>
    <row r="75" spans="12:49" x14ac:dyDescent="0.3">
      <c r="L75" s="1">
        <v>45701</v>
      </c>
      <c r="M75" s="3">
        <f>Data!B72</f>
        <v>271.98934936523398</v>
      </c>
      <c r="N75" s="3">
        <f>Data!H72</f>
        <v>133.99841308593699</v>
      </c>
      <c r="O75" s="3">
        <f>Data!N72</f>
        <v>45.516563415527301</v>
      </c>
      <c r="Q75" s="1">
        <v>45701</v>
      </c>
      <c r="R75" s="4">
        <f t="shared" si="6"/>
        <v>3.158426947829307E-3</v>
      </c>
      <c r="S75" s="4">
        <f t="shared" si="7"/>
        <v>-1.9693039519730338E-3</v>
      </c>
      <c r="T75" s="4">
        <f t="shared" si="8"/>
        <v>2.5968430018705746E-3</v>
      </c>
      <c r="V75" s="1">
        <v>45701</v>
      </c>
      <c r="W75" s="6">
        <f t="shared" si="9"/>
        <v>9.3885940412075086E-4</v>
      </c>
      <c r="AD75" s="1"/>
      <c r="AE75" s="6"/>
      <c r="AF75" s="6"/>
      <c r="AG75" s="6"/>
      <c r="AV75" s="14"/>
      <c r="AW75" s="14"/>
    </row>
    <row r="76" spans="12:49" x14ac:dyDescent="0.3">
      <c r="L76" s="1">
        <v>45702</v>
      </c>
      <c r="M76" s="3">
        <f>Data!B73</f>
        <v>272.255126953125</v>
      </c>
      <c r="N76" s="3">
        <f>Data!H73</f>
        <v>136.06462097167901</v>
      </c>
      <c r="O76" s="3">
        <f>Data!N73</f>
        <v>46.135505676269503</v>
      </c>
      <c r="Q76" s="1">
        <v>45702</v>
      </c>
      <c r="R76" s="4">
        <f t="shared" si="6"/>
        <v>9.7716174736728334E-4</v>
      </c>
      <c r="S76" s="4">
        <f t="shared" si="7"/>
        <v>1.5419644443228631E-2</v>
      </c>
      <c r="T76" s="4">
        <f t="shared" si="8"/>
        <v>1.3598176450444921E-2</v>
      </c>
      <c r="V76" s="1">
        <v>45702</v>
      </c>
      <c r="W76" s="6">
        <f t="shared" si="9"/>
        <v>1.0540459236635113E-2</v>
      </c>
      <c r="AD76" s="1"/>
      <c r="AE76" s="6"/>
      <c r="AF76" s="6"/>
      <c r="AG76" s="6"/>
      <c r="AV76" s="14"/>
      <c r="AW76" s="14"/>
    </row>
    <row r="77" spans="12:49" x14ac:dyDescent="0.3">
      <c r="L77" s="1">
        <v>45706</v>
      </c>
      <c r="M77" s="3">
        <f>Data!B74</f>
        <v>275.5625</v>
      </c>
      <c r="N77" s="3">
        <f>Data!H74</f>
        <v>137.78807067871</v>
      </c>
      <c r="O77" s="3">
        <f>Data!N74</f>
        <v>45.713054656982401</v>
      </c>
      <c r="Q77" s="1">
        <v>45706</v>
      </c>
      <c r="R77" s="4">
        <f t="shared" si="6"/>
        <v>1.2148065250005224E-2</v>
      </c>
      <c r="S77" s="4">
        <f t="shared" si="7"/>
        <v>1.2666405820435322E-2</v>
      </c>
      <c r="T77" s="4">
        <f t="shared" si="8"/>
        <v>-9.1567440975161007E-3</v>
      </c>
      <c r="V77" s="1">
        <v>45706</v>
      </c>
      <c r="W77" s="6">
        <f t="shared" si="9"/>
        <v>5.9639586739208671E-3</v>
      </c>
      <c r="AD77" s="1"/>
      <c r="AE77" s="6"/>
      <c r="AF77" s="6"/>
      <c r="AG77" s="6"/>
      <c r="AV77" s="14"/>
      <c r="AW77" s="14"/>
    </row>
    <row r="78" spans="12:49" x14ac:dyDescent="0.3">
      <c r="L78" s="1">
        <v>45707</v>
      </c>
      <c r="M78" s="3">
        <f>Data!B75</f>
        <v>274.873443603515</v>
      </c>
      <c r="N78" s="3">
        <f>Data!H75</f>
        <v>137.76847839355401</v>
      </c>
      <c r="O78" s="3">
        <f>Data!N75</f>
        <v>45.202178955078097</v>
      </c>
      <c r="Q78" s="1">
        <v>45707</v>
      </c>
      <c r="R78" s="4">
        <f t="shared" si="6"/>
        <v>-2.50054487270579E-3</v>
      </c>
      <c r="S78" s="4">
        <f t="shared" si="7"/>
        <v>-1.4219144704974429E-4</v>
      </c>
      <c r="T78" s="4">
        <f t="shared" si="8"/>
        <v>-1.117570693399883E-2</v>
      </c>
      <c r="V78" s="1">
        <v>45707</v>
      </c>
      <c r="W78" s="6">
        <f t="shared" si="9"/>
        <v>-4.1597521208312834E-3</v>
      </c>
      <c r="AD78" s="1"/>
      <c r="AE78" s="6"/>
      <c r="AF78" s="6"/>
      <c r="AG78" s="6"/>
      <c r="AV78" s="14"/>
      <c r="AW78" s="14"/>
    </row>
    <row r="79" spans="12:49" x14ac:dyDescent="0.3">
      <c r="L79" s="1">
        <v>45708</v>
      </c>
      <c r="M79" s="3">
        <f>Data!B76</f>
        <v>262.618560791015</v>
      </c>
      <c r="N79" s="3">
        <f>Data!H76</f>
        <v>131.55033874511699</v>
      </c>
      <c r="O79" s="3">
        <f>Data!N76</f>
        <v>44.504653930663999</v>
      </c>
      <c r="Q79" s="1">
        <v>45708</v>
      </c>
      <c r="R79" s="4">
        <f t="shared" si="6"/>
        <v>-4.4583727885247337E-2</v>
      </c>
      <c r="S79" s="4">
        <f t="shared" si="7"/>
        <v>-4.5134705129529551E-2</v>
      </c>
      <c r="T79" s="4">
        <f t="shared" si="8"/>
        <v>-1.5431225674038762E-2</v>
      </c>
      <c r="V79" s="1">
        <v>45708</v>
      </c>
      <c r="W79" s="6">
        <f t="shared" si="9"/>
        <v>-3.6058368119597659E-2</v>
      </c>
      <c r="AD79" s="1"/>
      <c r="AE79" s="6"/>
      <c r="AF79" s="6"/>
      <c r="AG79" s="6"/>
      <c r="AV79" s="14"/>
      <c r="AW79" s="14"/>
    </row>
    <row r="80" spans="12:49" x14ac:dyDescent="0.3">
      <c r="L80" s="1">
        <v>45709</v>
      </c>
      <c r="M80" s="3">
        <f>Data!B77</f>
        <v>260.09869384765602</v>
      </c>
      <c r="N80" s="3">
        <f>Data!H77</f>
        <v>128.95536804199199</v>
      </c>
      <c r="O80" s="3">
        <f>Data!N77</f>
        <v>44.0232543945312</v>
      </c>
      <c r="Q80" s="1">
        <v>45709</v>
      </c>
      <c r="R80" s="4">
        <f t="shared" si="6"/>
        <v>-9.5951593663793355E-3</v>
      </c>
      <c r="S80" s="4">
        <f t="shared" si="7"/>
        <v>-1.9726066294309175E-2</v>
      </c>
      <c r="T80" s="4">
        <f t="shared" si="8"/>
        <v>-1.0816835850084194E-2</v>
      </c>
      <c r="V80" s="1">
        <v>45709</v>
      </c>
      <c r="W80" s="6">
        <f t="shared" si="9"/>
        <v>-1.4014025082662728E-2</v>
      </c>
      <c r="AD80" s="1"/>
      <c r="AE80" s="6"/>
      <c r="AF80" s="6"/>
      <c r="AG80" s="6"/>
      <c r="AV80" s="14"/>
      <c r="AW80" s="14"/>
    </row>
    <row r="81" spans="12:49" x14ac:dyDescent="0.3">
      <c r="L81" s="1">
        <v>45712</v>
      </c>
      <c r="M81" s="3">
        <f>Data!B78</f>
        <v>257.24411010742102</v>
      </c>
      <c r="N81" s="3">
        <f>Data!H78</f>
        <v>127.271095275878</v>
      </c>
      <c r="O81" s="3">
        <f>Data!N78</f>
        <v>43.679397583007798</v>
      </c>
      <c r="Q81" s="1">
        <v>45712</v>
      </c>
      <c r="R81" s="4">
        <f t="shared" si="6"/>
        <v>-1.0975002211687346E-2</v>
      </c>
      <c r="S81" s="4">
        <f t="shared" si="7"/>
        <v>-1.3060896895471186E-2</v>
      </c>
      <c r="T81" s="4">
        <f t="shared" si="8"/>
        <v>-7.810799457073303E-3</v>
      </c>
      <c r="V81" s="1">
        <v>45712</v>
      </c>
      <c r="W81" s="6">
        <f t="shared" si="9"/>
        <v>-1.0860099258816669E-2</v>
      </c>
      <c r="AD81" s="1"/>
      <c r="AE81" s="6"/>
      <c r="AF81" s="6"/>
      <c r="AG81" s="6"/>
      <c r="AV81" s="14"/>
      <c r="AW81" s="14"/>
    </row>
    <row r="82" spans="12:49" x14ac:dyDescent="0.3">
      <c r="L82" s="1">
        <v>45713</v>
      </c>
      <c r="M82" s="3">
        <f>Data!B79</f>
        <v>253.36587524414</v>
      </c>
      <c r="N82" s="3">
        <f>Data!H79</f>
        <v>126.908767700195</v>
      </c>
      <c r="O82" s="3">
        <f>Data!N79</f>
        <v>43.168525695800703</v>
      </c>
      <c r="Q82" s="1">
        <v>45713</v>
      </c>
      <c r="R82" s="4">
        <f t="shared" si="6"/>
        <v>-1.5076088084821637E-2</v>
      </c>
      <c r="S82" s="4">
        <f t="shared" si="7"/>
        <v>-2.8468960284941947E-3</v>
      </c>
      <c r="T82" s="4">
        <f t="shared" si="8"/>
        <v>-1.1695946269319357E-2</v>
      </c>
      <c r="V82" s="1">
        <v>45713</v>
      </c>
      <c r="W82" s="6">
        <f t="shared" si="9"/>
        <v>-9.1703687176399769E-3</v>
      </c>
      <c r="AD82" s="1"/>
      <c r="AE82" s="6"/>
      <c r="AF82" s="6"/>
      <c r="AG82" s="6"/>
      <c r="AV82" s="14"/>
      <c r="AW82" s="14"/>
    </row>
    <row r="83" spans="12:49" x14ac:dyDescent="0.3">
      <c r="L83" s="1">
        <v>45714</v>
      </c>
      <c r="M83" s="3">
        <f>Data!B80</f>
        <v>254.734115600585</v>
      </c>
      <c r="N83" s="3">
        <f>Data!H80</f>
        <v>128.32865905761699</v>
      </c>
      <c r="O83" s="3">
        <f>Data!N80</f>
        <v>43.168525695800703</v>
      </c>
      <c r="Q83" s="1">
        <v>45714</v>
      </c>
      <c r="R83" s="4">
        <f t="shared" si="6"/>
        <v>5.4002550861538268E-3</v>
      </c>
      <c r="S83" s="4">
        <f t="shared" si="7"/>
        <v>1.1188284175734031E-2</v>
      </c>
      <c r="T83" s="4">
        <f t="shared" si="8"/>
        <v>0</v>
      </c>
      <c r="V83" s="1">
        <v>45714</v>
      </c>
      <c r="W83" s="6">
        <f t="shared" si="9"/>
        <v>6.0953901961397607E-3</v>
      </c>
      <c r="AD83" s="1"/>
      <c r="AE83" s="6"/>
      <c r="AF83" s="6"/>
      <c r="AG83" s="6"/>
      <c r="AV83" s="14"/>
      <c r="AW83" s="14"/>
    </row>
    <row r="84" spans="12:49" x14ac:dyDescent="0.3">
      <c r="L84" s="1">
        <v>45715</v>
      </c>
      <c r="M84" s="3">
        <f>Data!B81</f>
        <v>254.989990234375</v>
      </c>
      <c r="N84" s="3">
        <f>Data!H81</f>
        <v>126.55624389648401</v>
      </c>
      <c r="O84" s="3">
        <f>Data!N81</f>
        <v>43.345363616943303</v>
      </c>
      <c r="Q84" s="1">
        <v>45715</v>
      </c>
      <c r="R84" s="4">
        <f t="shared" si="6"/>
        <v>1.0044772887476405E-3</v>
      </c>
      <c r="S84" s="4">
        <f t="shared" si="7"/>
        <v>-1.3811530285976148E-2</v>
      </c>
      <c r="T84" s="4">
        <f t="shared" si="8"/>
        <v>4.096454958613549E-3</v>
      </c>
      <c r="V84" s="1">
        <v>45715</v>
      </c>
      <c r="W84" s="6">
        <f t="shared" si="9"/>
        <v>-3.9943324401821023E-3</v>
      </c>
      <c r="AD84" s="1"/>
      <c r="AE84" s="6"/>
      <c r="AF84" s="6"/>
      <c r="AG84" s="6"/>
      <c r="AV84" s="14"/>
      <c r="AW84" s="14"/>
    </row>
    <row r="85" spans="12:49" x14ac:dyDescent="0.3">
      <c r="L85" s="1">
        <v>45716</v>
      </c>
      <c r="M85" s="3">
        <f>Data!B82</f>
        <v>260.50225830078102</v>
      </c>
      <c r="N85" s="3">
        <f>Data!H82</f>
        <v>130.34588623046801</v>
      </c>
      <c r="O85" s="3">
        <f>Data!N82</f>
        <v>45.290599822997997</v>
      </c>
      <c r="Q85" s="1">
        <v>45716</v>
      </c>
      <c r="R85" s="4">
        <f t="shared" si="6"/>
        <v>2.1617586091671193E-2</v>
      </c>
      <c r="S85" s="4">
        <f t="shared" si="7"/>
        <v>2.9944333185834227E-2</v>
      </c>
      <c r="T85" s="4">
        <f t="shared" si="8"/>
        <v>4.4877607285645604E-2</v>
      </c>
      <c r="V85" s="1">
        <v>45716</v>
      </c>
      <c r="W85" s="6">
        <f t="shared" si="9"/>
        <v>3.1926291287528732E-2</v>
      </c>
      <c r="AD85" s="1"/>
      <c r="AE85" s="6"/>
      <c r="AF85" s="6"/>
      <c r="AG85" s="6"/>
      <c r="AV85" s="14"/>
      <c r="AW85" s="14"/>
    </row>
    <row r="86" spans="12:49" x14ac:dyDescent="0.3">
      <c r="L86" s="1">
        <v>45719</v>
      </c>
      <c r="M86" s="3">
        <f>Data!B83</f>
        <v>256.53543090820301</v>
      </c>
      <c r="N86" s="3">
        <f>Data!H83</f>
        <v>126.448532104492</v>
      </c>
      <c r="O86" s="3">
        <f>Data!N83</f>
        <v>44.760086059570298</v>
      </c>
      <c r="Q86" s="1">
        <v>45719</v>
      </c>
      <c r="R86" s="4">
        <f t="shared" si="6"/>
        <v>-1.5227612299613336E-2</v>
      </c>
      <c r="S86" s="4">
        <f t="shared" si="7"/>
        <v>-2.9900093042330433E-2</v>
      </c>
      <c r="T86" s="4">
        <f t="shared" si="8"/>
        <v>-1.1713551277771073E-2</v>
      </c>
      <c r="V86" s="1">
        <v>45719</v>
      </c>
      <c r="W86" s="6">
        <f t="shared" si="9"/>
        <v>-2.0042386290147495E-2</v>
      </c>
      <c r="AD86" s="1"/>
      <c r="AE86" s="6"/>
      <c r="AF86" s="6"/>
      <c r="AG86" s="6"/>
      <c r="AV86" s="14"/>
      <c r="AW86" s="14"/>
    </row>
    <row r="87" spans="12:49" x14ac:dyDescent="0.3">
      <c r="L87" s="1">
        <v>45720</v>
      </c>
      <c r="M87" s="3">
        <f>Data!B84</f>
        <v>246.32794189453099</v>
      </c>
      <c r="N87" s="3">
        <f>Data!H84</f>
        <v>119.19239807128901</v>
      </c>
      <c r="O87" s="3">
        <f>Data!N84</f>
        <v>41.920822143554602</v>
      </c>
      <c r="Q87" s="1">
        <v>45720</v>
      </c>
      <c r="R87" s="4">
        <f t="shared" si="6"/>
        <v>-3.9789782555707087E-2</v>
      </c>
      <c r="S87" s="4">
        <f t="shared" si="7"/>
        <v>-5.7384090684475586E-2</v>
      </c>
      <c r="T87" s="4">
        <f t="shared" si="8"/>
        <v>-6.3432941398659848E-2</v>
      </c>
      <c r="V87" s="1">
        <v>45720</v>
      </c>
      <c r="W87" s="6">
        <f t="shared" si="9"/>
        <v>-5.3920453460100312E-2</v>
      </c>
      <c r="AD87" s="1"/>
      <c r="AE87" s="6"/>
      <c r="AF87" s="6"/>
      <c r="AG87" s="6"/>
      <c r="AV87" s="14"/>
      <c r="AW87" s="14"/>
    </row>
    <row r="88" spans="12:49" x14ac:dyDescent="0.3">
      <c r="L88" s="1">
        <v>45721</v>
      </c>
      <c r="M88" s="3">
        <f>Data!B85</f>
        <v>247.58787536621</v>
      </c>
      <c r="N88" s="3">
        <f>Data!H85</f>
        <v>121.1802444458</v>
      </c>
      <c r="O88" s="3">
        <f>Data!N85</f>
        <v>41.547500610351499</v>
      </c>
      <c r="Q88" s="1">
        <v>45721</v>
      </c>
      <c r="R88" s="4">
        <f t="shared" si="6"/>
        <v>5.114862171090806E-3</v>
      </c>
      <c r="S88" s="4">
        <f t="shared" si="7"/>
        <v>1.66776271530511E-2</v>
      </c>
      <c r="T88" s="4">
        <f t="shared" si="8"/>
        <v>-8.905396271206012E-3</v>
      </c>
      <c r="V88" s="1">
        <v>45721</v>
      </c>
      <c r="W88" s="6">
        <f t="shared" si="9"/>
        <v>5.5338906311858775E-3</v>
      </c>
      <c r="AD88" s="1"/>
      <c r="AE88" s="6"/>
      <c r="AF88" s="6"/>
      <c r="AG88" s="6"/>
      <c r="AV88" s="14"/>
      <c r="AW88" s="14"/>
    </row>
    <row r="89" spans="12:49" x14ac:dyDescent="0.3">
      <c r="L89" s="1">
        <v>45722</v>
      </c>
      <c r="M89" s="3">
        <f>Data!B86</f>
        <v>242.67608642578099</v>
      </c>
      <c r="N89" s="3">
        <f>Data!H86</f>
        <v>116.89120483398401</v>
      </c>
      <c r="O89" s="3">
        <f>Data!N86</f>
        <v>40.732067108154297</v>
      </c>
      <c r="Q89" s="1">
        <v>45722</v>
      </c>
      <c r="R89" s="4">
        <f t="shared" si="6"/>
        <v>-1.9838568157523606E-2</v>
      </c>
      <c r="S89" s="4">
        <f t="shared" si="7"/>
        <v>-3.5393884798890163E-2</v>
      </c>
      <c r="T89" s="4">
        <f t="shared" si="8"/>
        <v>-1.9626535657214395E-2</v>
      </c>
      <c r="V89" s="1">
        <v>45722</v>
      </c>
      <c r="W89" s="6">
        <f t="shared" si="9"/>
        <v>-2.5997085063977465E-2</v>
      </c>
      <c r="AD89" s="1"/>
      <c r="AE89" s="6"/>
      <c r="AF89" s="6"/>
      <c r="AG89" s="6"/>
      <c r="AV89" s="14"/>
      <c r="AW89" s="14"/>
    </row>
    <row r="90" spans="12:49" x14ac:dyDescent="0.3">
      <c r="L90" s="1">
        <v>45723</v>
      </c>
      <c r="M90" s="3">
        <f>Data!B87</f>
        <v>238.48284912109301</v>
      </c>
      <c r="N90" s="3">
        <f>Data!H87</f>
        <v>116.812858581542</v>
      </c>
      <c r="O90" s="3">
        <f>Data!N87</f>
        <v>40.929801940917898</v>
      </c>
      <c r="Q90" s="1">
        <v>45723</v>
      </c>
      <c r="R90" s="4">
        <f t="shared" si="6"/>
        <v>-1.7279153320986285E-2</v>
      </c>
      <c r="S90" s="4">
        <f t="shared" si="7"/>
        <v>-6.7024933615211779E-4</v>
      </c>
      <c r="T90" s="4">
        <f t="shared" si="8"/>
        <v>4.8545248695226473E-3</v>
      </c>
      <c r="V90" s="1">
        <v>45723</v>
      </c>
      <c r="W90" s="6">
        <f t="shared" si="9"/>
        <v>-3.9954882698999385E-3</v>
      </c>
      <c r="AD90" s="1"/>
      <c r="AE90" s="6"/>
      <c r="AF90" s="6"/>
      <c r="AG90" s="6"/>
      <c r="AV90" s="14"/>
      <c r="AW90" s="14"/>
    </row>
    <row r="91" spans="12:49" x14ac:dyDescent="0.3">
      <c r="L91" s="1">
        <v>45726</v>
      </c>
      <c r="M91" s="3">
        <f>Data!B88</f>
        <v>228.58052062988199</v>
      </c>
      <c r="N91" s="3">
        <f>Data!H88</f>
        <v>109.370681762695</v>
      </c>
      <c r="O91" s="3">
        <f>Data!N88</f>
        <v>39.377632141113203</v>
      </c>
      <c r="Q91" s="1">
        <v>45726</v>
      </c>
      <c r="R91" s="4">
        <f t="shared" si="6"/>
        <v>-4.1522182948187547E-2</v>
      </c>
      <c r="S91" s="4">
        <f t="shared" si="7"/>
        <v>-6.37102533849212E-2</v>
      </c>
      <c r="T91" s="4">
        <f t="shared" si="8"/>
        <v>-3.7922729312134251E-2</v>
      </c>
      <c r="V91" s="1">
        <v>45726</v>
      </c>
      <c r="W91" s="6">
        <f t="shared" si="9"/>
        <v>-4.931757503206502E-2</v>
      </c>
      <c r="AD91" s="1"/>
      <c r="AE91" s="6"/>
      <c r="AF91" s="6"/>
      <c r="AG91" s="6"/>
      <c r="AV91" s="14"/>
      <c r="AW91" s="14"/>
    </row>
    <row r="92" spans="12:49" x14ac:dyDescent="0.3">
      <c r="L92" s="1">
        <v>45727</v>
      </c>
      <c r="M92" s="3">
        <f>Data!B89</f>
        <v>225.54879760742099</v>
      </c>
      <c r="N92" s="3">
        <f>Data!H89</f>
        <v>109.713409423828</v>
      </c>
      <c r="O92" s="3">
        <f>Data!N89</f>
        <v>39.160129547119098</v>
      </c>
      <c r="Q92" s="1">
        <v>45727</v>
      </c>
      <c r="R92" s="4">
        <f t="shared" si="6"/>
        <v>-1.3263260640524854E-2</v>
      </c>
      <c r="S92" s="4">
        <f t="shared" si="7"/>
        <v>3.1336337637231093E-3</v>
      </c>
      <c r="T92" s="4">
        <f t="shared" si="8"/>
        <v>-5.5235061675283914E-3</v>
      </c>
      <c r="V92" s="1">
        <v>45727</v>
      </c>
      <c r="W92" s="6">
        <f t="shared" si="9"/>
        <v>-4.3825765369267296E-3</v>
      </c>
      <c r="AD92" s="1"/>
      <c r="AE92" s="6"/>
      <c r="AF92" s="6"/>
      <c r="AG92" s="6"/>
      <c r="AV92" s="14"/>
      <c r="AW92" s="14"/>
    </row>
    <row r="93" spans="12:49" x14ac:dyDescent="0.3">
      <c r="L93" s="1">
        <v>45728</v>
      </c>
      <c r="M93" s="3">
        <f>Data!B90</f>
        <v>224.32821655273401</v>
      </c>
      <c r="N93" s="3">
        <f>Data!H90</f>
        <v>111.63271331787099</v>
      </c>
      <c r="O93" s="3">
        <f>Data!N90</f>
        <v>39.456722259521399</v>
      </c>
      <c r="Q93" s="1">
        <v>45728</v>
      </c>
      <c r="R93" s="4">
        <f t="shared" si="6"/>
        <v>-5.4116052385766444E-3</v>
      </c>
      <c r="S93" s="4">
        <f t="shared" si="7"/>
        <v>1.7493795007578639E-2</v>
      </c>
      <c r="T93" s="4">
        <f t="shared" si="8"/>
        <v>7.5738440049191169E-3</v>
      </c>
      <c r="V93" s="1">
        <v>45728</v>
      </c>
      <c r="W93" s="6">
        <f t="shared" si="9"/>
        <v>7.6461896329341975E-3</v>
      </c>
      <c r="AD93" s="1"/>
      <c r="AE93" s="6"/>
      <c r="AF93" s="6"/>
      <c r="AG93" s="6"/>
      <c r="AV93" s="14"/>
      <c r="AW93" s="14"/>
    </row>
    <row r="94" spans="12:49" x14ac:dyDescent="0.3">
      <c r="L94" s="1">
        <v>45729</v>
      </c>
      <c r="M94" s="3">
        <f>Data!B91</f>
        <v>221.66069030761699</v>
      </c>
      <c r="N94" s="3">
        <f>Data!H91</f>
        <v>109.36089324951099</v>
      </c>
      <c r="O94" s="3">
        <f>Data!N91</f>
        <v>39.219444274902301</v>
      </c>
      <c r="Q94" s="1">
        <v>45729</v>
      </c>
      <c r="R94" s="4">
        <f t="shared" si="6"/>
        <v>-1.1891175733971693E-2</v>
      </c>
      <c r="S94" s="4">
        <f t="shared" si="7"/>
        <v>-2.0350845203332635E-2</v>
      </c>
      <c r="T94" s="4">
        <f t="shared" si="8"/>
        <v>-6.01362634884961E-3</v>
      </c>
      <c r="V94" s="1">
        <v>45729</v>
      </c>
      <c r="W94" s="6">
        <f t="shared" si="9"/>
        <v>-1.3511778706179445E-2</v>
      </c>
      <c r="AD94" s="1"/>
      <c r="AE94" s="6"/>
      <c r="AF94" s="6"/>
      <c r="AG94" s="6"/>
      <c r="AV94" s="14"/>
      <c r="AW94" s="14"/>
    </row>
    <row r="95" spans="12:49" x14ac:dyDescent="0.3">
      <c r="L95" s="1">
        <v>45730</v>
      </c>
      <c r="M95" s="3">
        <f>Data!B92</f>
        <v>228.79705810546801</v>
      </c>
      <c r="N95" s="3">
        <f>Data!H92</f>
        <v>112.94487762451099</v>
      </c>
      <c r="O95" s="3">
        <f>Data!N92</f>
        <v>40.425590515136697</v>
      </c>
      <c r="Q95" s="1">
        <v>45730</v>
      </c>
      <c r="R95" s="4">
        <f t="shared" si="6"/>
        <v>3.2195008451644247E-2</v>
      </c>
      <c r="S95" s="4">
        <f t="shared" si="7"/>
        <v>3.2772083955303843E-2</v>
      </c>
      <c r="T95" s="4">
        <f t="shared" si="8"/>
        <v>3.0753782021492038E-2</v>
      </c>
      <c r="V95" s="1">
        <v>45730</v>
      </c>
      <c r="W95" s="6">
        <f t="shared" si="9"/>
        <v>3.1993470724062424E-2</v>
      </c>
      <c r="AD95" s="1"/>
      <c r="AE95" s="6"/>
      <c r="AF95" s="6"/>
      <c r="AG95" s="6"/>
      <c r="AV95" s="14"/>
      <c r="AW95" s="14"/>
    </row>
    <row r="96" spans="12:49" x14ac:dyDescent="0.3">
      <c r="L96" s="1">
        <v>45733</v>
      </c>
      <c r="M96" s="3">
        <f>Data!B93</f>
        <v>230.26370239257801</v>
      </c>
      <c r="N96" s="3">
        <f>Data!H93</f>
        <v>115.51047515869099</v>
      </c>
      <c r="O96" s="3">
        <f>Data!N93</f>
        <v>40.969345092773402</v>
      </c>
      <c r="Q96" s="1">
        <v>45733</v>
      </c>
      <c r="R96" s="4">
        <f t="shared" si="6"/>
        <v>6.4102410199431414E-3</v>
      </c>
      <c r="S96" s="4">
        <f t="shared" si="7"/>
        <v>2.2715483766421185E-2</v>
      </c>
      <c r="T96" s="4">
        <f t="shared" si="8"/>
        <v>1.345075163300602E-2</v>
      </c>
      <c r="V96" s="1">
        <v>45733</v>
      </c>
      <c r="W96" s="6">
        <f t="shared" si="9"/>
        <v>1.5044491302453222E-2</v>
      </c>
      <c r="AD96" s="1"/>
      <c r="AE96" s="6"/>
      <c r="AF96" s="6"/>
      <c r="AG96" s="6"/>
      <c r="AV96" s="14"/>
      <c r="AW96" s="14"/>
    </row>
    <row r="97" spans="12:49" x14ac:dyDescent="0.3">
      <c r="L97" s="1">
        <v>45734</v>
      </c>
      <c r="M97" s="3">
        <f>Data!B94</f>
        <v>231.28741455078099</v>
      </c>
      <c r="N97" s="3">
        <f>Data!H94</f>
        <v>115.65736389160099</v>
      </c>
      <c r="O97" s="3">
        <f>Data!N94</f>
        <v>41.176959991455</v>
      </c>
      <c r="Q97" s="1">
        <v>45734</v>
      </c>
      <c r="R97" s="4">
        <f t="shared" si="6"/>
        <v>4.4458251455439246E-3</v>
      </c>
      <c r="S97" s="4">
        <f t="shared" si="7"/>
        <v>1.2716485903827568E-3</v>
      </c>
      <c r="T97" s="4">
        <f t="shared" si="8"/>
        <v>5.0675669384381283E-3</v>
      </c>
      <c r="V97" s="1">
        <v>45734</v>
      </c>
      <c r="W97" s="6">
        <f t="shared" si="9"/>
        <v>3.3626770613477187E-3</v>
      </c>
      <c r="AD97" s="1"/>
      <c r="AE97" s="6"/>
      <c r="AF97" s="6"/>
      <c r="AG97" s="6"/>
      <c r="AV97" s="14"/>
      <c r="AW97" s="14"/>
    </row>
    <row r="98" spans="12:49" x14ac:dyDescent="0.3">
      <c r="L98" s="1">
        <v>45735</v>
      </c>
      <c r="M98" s="3">
        <f>Data!B95</f>
        <v>235.362533569335</v>
      </c>
      <c r="N98" s="3">
        <f>Data!H95</f>
        <v>117.36122894287099</v>
      </c>
      <c r="O98" s="3">
        <f>Data!N95</f>
        <v>41.730598449707003</v>
      </c>
      <c r="Q98" s="1">
        <v>45735</v>
      </c>
      <c r="R98" s="4">
        <f t="shared" si="6"/>
        <v>1.7619285625501524E-2</v>
      </c>
      <c r="S98" s="4">
        <f t="shared" si="7"/>
        <v>1.4732006626633209E-2</v>
      </c>
      <c r="T98" s="4">
        <f t="shared" si="8"/>
        <v>1.3445345609945258E-2</v>
      </c>
      <c r="V98" s="1">
        <v>45735</v>
      </c>
      <c r="W98" s="6">
        <f t="shared" si="9"/>
        <v>1.5212192021287319E-2</v>
      </c>
      <c r="AD98" s="1"/>
      <c r="AE98" s="6"/>
      <c r="AF98" s="6"/>
      <c r="AG98" s="6"/>
      <c r="AV98" s="14"/>
      <c r="AW98" s="14"/>
    </row>
    <row r="99" spans="12:49" x14ac:dyDescent="0.3">
      <c r="L99" s="1">
        <v>45736</v>
      </c>
      <c r="M99" s="3">
        <f>Data!B96</f>
        <v>235.26409912109301</v>
      </c>
      <c r="N99" s="3">
        <f>Data!H96</f>
        <v>117.968360900878</v>
      </c>
      <c r="O99" s="3">
        <f>Data!N96</f>
        <v>41.997535705566399</v>
      </c>
      <c r="Q99" s="1">
        <v>45736</v>
      </c>
      <c r="R99" s="4">
        <f t="shared" si="6"/>
        <v>-4.1822479877828833E-4</v>
      </c>
      <c r="S99" s="4">
        <f t="shared" si="7"/>
        <v>5.1731901878988573E-3</v>
      </c>
      <c r="T99" s="4">
        <f t="shared" si="8"/>
        <v>6.3966793138876543E-3</v>
      </c>
      <c r="V99" s="1">
        <v>45736</v>
      </c>
      <c r="W99" s="6">
        <f t="shared" si="9"/>
        <v>3.8628124296923531E-3</v>
      </c>
      <c r="AD99" s="1"/>
      <c r="AE99" s="6"/>
      <c r="AF99" s="6"/>
      <c r="AG99" s="6"/>
      <c r="AV99" s="14"/>
      <c r="AW99" s="14"/>
    </row>
    <row r="100" spans="12:49" x14ac:dyDescent="0.3">
      <c r="L100" s="1">
        <v>45737</v>
      </c>
      <c r="M100" s="3">
        <f>Data!B97</f>
        <v>237.84304809570301</v>
      </c>
      <c r="N100" s="3">
        <f>Data!H97</f>
        <v>117.645210266113</v>
      </c>
      <c r="O100" s="3">
        <f>Data!N97</f>
        <v>41.987648010253899</v>
      </c>
      <c r="Q100" s="1">
        <v>45737</v>
      </c>
      <c r="R100" s="4">
        <f t="shared" si="6"/>
        <v>1.0961931651469747E-2</v>
      </c>
      <c r="S100" s="4">
        <f t="shared" si="7"/>
        <v>-2.7392991840966552E-3</v>
      </c>
      <c r="T100" s="4">
        <f t="shared" si="8"/>
        <v>-2.3543513080914735E-4</v>
      </c>
      <c r="V100" s="1">
        <v>45737</v>
      </c>
      <c r="W100" s="6">
        <f t="shared" si="9"/>
        <v>2.1222292825595177E-3</v>
      </c>
      <c r="AD100" s="1"/>
      <c r="AE100" s="6"/>
      <c r="AF100" s="6"/>
      <c r="AG100" s="6"/>
      <c r="AV100" s="14"/>
      <c r="AW100" s="14"/>
    </row>
    <row r="101" spans="12:49" x14ac:dyDescent="0.3">
      <c r="L101" s="1">
        <v>45740</v>
      </c>
      <c r="M101" s="3">
        <f>Data!B98</f>
        <v>244.172271728515</v>
      </c>
      <c r="N101" s="3">
        <f>Data!H98</f>
        <v>121.68943786621</v>
      </c>
      <c r="O101" s="3">
        <f>Data!N98</f>
        <v>42.5808296203613</v>
      </c>
      <c r="Q101" s="1">
        <v>45740</v>
      </c>
      <c r="R101" s="4">
        <f t="shared" si="6"/>
        <v>2.6610925496822757E-2</v>
      </c>
      <c r="S101" s="4">
        <f t="shared" si="7"/>
        <v>3.4376474749366892E-2</v>
      </c>
      <c r="T101" s="4">
        <f t="shared" si="8"/>
        <v>1.4127526504045695E-2</v>
      </c>
      <c r="V101" s="1">
        <v>45740</v>
      </c>
      <c r="W101" s="6">
        <f t="shared" si="9"/>
        <v>2.5972125500007291E-2</v>
      </c>
      <c r="AD101" s="1"/>
      <c r="AE101" s="6"/>
      <c r="AF101" s="6"/>
      <c r="AG101" s="6"/>
      <c r="AV101" s="14"/>
      <c r="AW101" s="14"/>
    </row>
    <row r="102" spans="12:49" x14ac:dyDescent="0.3">
      <c r="L102" s="1">
        <v>45741</v>
      </c>
      <c r="M102" s="3">
        <f>Data!B99</f>
        <v>247.19415283203099</v>
      </c>
      <c r="N102" s="3">
        <f>Data!H99</f>
        <v>122.600135803222</v>
      </c>
      <c r="O102" s="3">
        <f>Data!N99</f>
        <v>42.788448333740199</v>
      </c>
      <c r="Q102" s="1">
        <v>45741</v>
      </c>
      <c r="R102" s="4">
        <f t="shared" si="6"/>
        <v>1.2376020758310791E-2</v>
      </c>
      <c r="S102" s="4">
        <f t="shared" si="7"/>
        <v>7.4837878535789493E-3</v>
      </c>
      <c r="T102" s="4">
        <f t="shared" si="8"/>
        <v>4.8758729040736526E-3</v>
      </c>
      <c r="V102" s="1">
        <v>45741</v>
      </c>
      <c r="W102" s="6">
        <f t="shared" si="9"/>
        <v>8.1690832401469134E-3</v>
      </c>
      <c r="AD102" s="1"/>
      <c r="AE102" s="6"/>
      <c r="AF102" s="6"/>
      <c r="AG102" s="6"/>
      <c r="AV102" s="14"/>
      <c r="AW102" s="14"/>
    </row>
    <row r="103" spans="12:49" x14ac:dyDescent="0.3">
      <c r="L103" s="1">
        <v>45742</v>
      </c>
      <c r="M103" s="3">
        <f>Data!B100</f>
        <v>247.09571838378901</v>
      </c>
      <c r="N103" s="3">
        <f>Data!H100</f>
        <v>119.66242980957</v>
      </c>
      <c r="O103" s="3">
        <f>Data!N100</f>
        <v>42.333671569824197</v>
      </c>
      <c r="Q103" s="1">
        <v>45742</v>
      </c>
      <c r="R103" s="4">
        <f t="shared" si="6"/>
        <v>-3.9820702518345019E-4</v>
      </c>
      <c r="S103" s="4">
        <f t="shared" si="7"/>
        <v>-2.3961686293456741E-2</v>
      </c>
      <c r="T103" s="4">
        <f t="shared" si="8"/>
        <v>-1.0628493942310024E-2</v>
      </c>
      <c r="V103" s="1">
        <v>45742</v>
      </c>
      <c r="W103" s="6">
        <f t="shared" si="9"/>
        <v>-1.289268480763074E-2</v>
      </c>
      <c r="AD103" s="1"/>
      <c r="AE103" s="6"/>
      <c r="AF103" s="6"/>
      <c r="AG103" s="6"/>
      <c r="AV103" s="14"/>
      <c r="AW103" s="14"/>
    </row>
    <row r="104" spans="12:49" x14ac:dyDescent="0.3">
      <c r="L104" s="1">
        <v>45743</v>
      </c>
      <c r="M104" s="3">
        <f>Data!B101</f>
        <v>244.23132324218699</v>
      </c>
      <c r="N104" s="3">
        <f>Data!H101</f>
        <v>116.5288772583</v>
      </c>
      <c r="O104" s="3">
        <f>Data!N101</f>
        <v>42.076625823974602</v>
      </c>
      <c r="Q104" s="1">
        <v>45743</v>
      </c>
      <c r="R104" s="4">
        <f t="shared" si="6"/>
        <v>-1.1592249191275106E-2</v>
      </c>
      <c r="S104" s="4">
        <f t="shared" si="7"/>
        <v>-2.6186603065445957E-2</v>
      </c>
      <c r="T104" s="4">
        <f t="shared" si="8"/>
        <v>-6.0718982388671128E-3</v>
      </c>
      <c r="V104" s="1">
        <v>45743</v>
      </c>
      <c r="W104" s="6">
        <f t="shared" si="9"/>
        <v>-1.577388545522105E-2</v>
      </c>
      <c r="AD104" s="1"/>
      <c r="AE104" s="6"/>
      <c r="AF104" s="6"/>
      <c r="AG104" s="6"/>
      <c r="AV104" s="14"/>
      <c r="AW104" s="14"/>
    </row>
    <row r="105" spans="12:49" x14ac:dyDescent="0.3">
      <c r="L105" s="1">
        <v>45744</v>
      </c>
      <c r="M105" s="3">
        <f>Data!B102</f>
        <v>239.04393005371</v>
      </c>
      <c r="N105" s="3">
        <f>Data!H102</f>
        <v>112.935096740722</v>
      </c>
      <c r="O105" s="3">
        <f>Data!N102</f>
        <v>40.781501770019503</v>
      </c>
      <c r="Q105" s="1">
        <v>45744</v>
      </c>
      <c r="R105" s="4">
        <f t="shared" si="6"/>
        <v>-2.1239671961867934E-2</v>
      </c>
      <c r="S105" s="4">
        <f t="shared" si="7"/>
        <v>-3.0840256957182843E-2</v>
      </c>
      <c r="T105" s="4">
        <f t="shared" si="8"/>
        <v>-3.0780130977545173E-2</v>
      </c>
      <c r="V105" s="1">
        <v>45744</v>
      </c>
      <c r="W105" s="6">
        <f t="shared" si="9"/>
        <v>-2.7942043664697068E-2</v>
      </c>
      <c r="AD105" s="1"/>
      <c r="AE105" s="6"/>
      <c r="AF105" s="6"/>
      <c r="AG105" s="6"/>
      <c r="AV105" s="14"/>
      <c r="AW105" s="14"/>
    </row>
    <row r="106" spans="12:49" x14ac:dyDescent="0.3">
      <c r="L106" s="1">
        <v>45747</v>
      </c>
      <c r="M106" s="3">
        <f>Data!B103</f>
        <v>241.45553588867099</v>
      </c>
      <c r="N106" s="3">
        <f>Data!H103</f>
        <v>114.247261047363</v>
      </c>
      <c r="O106" s="3">
        <f>Data!N103</f>
        <v>41.256050109863203</v>
      </c>
      <c r="Q106" s="1">
        <v>45747</v>
      </c>
      <c r="R106" s="4">
        <f t="shared" si="6"/>
        <v>1.0088546629982043E-2</v>
      </c>
      <c r="S106" s="4">
        <f t="shared" si="7"/>
        <v>1.1618746913136135E-2</v>
      </c>
      <c r="T106" s="4">
        <f t="shared" si="8"/>
        <v>1.1636362547898127E-2</v>
      </c>
      <c r="V106" s="1">
        <v>45747</v>
      </c>
      <c r="W106" s="6">
        <f t="shared" si="9"/>
        <v>1.1164971518618505E-2</v>
      </c>
      <c r="AD106" s="1"/>
      <c r="AE106" s="6"/>
      <c r="AF106" s="6"/>
      <c r="AG106" s="6"/>
      <c r="AV106" s="14"/>
      <c r="AW106" s="14"/>
    </row>
    <row r="107" spans="12:49" x14ac:dyDescent="0.3">
      <c r="L107" s="1">
        <v>45748</v>
      </c>
      <c r="M107" s="3">
        <f>Data!B104</f>
        <v>239.84123229980401</v>
      </c>
      <c r="N107" s="3">
        <f>Data!H104</f>
        <v>113.33657073974599</v>
      </c>
      <c r="O107" s="3">
        <f>Data!N104</f>
        <v>41.018779754638601</v>
      </c>
      <c r="Q107" s="1">
        <v>45748</v>
      </c>
      <c r="R107" s="4">
        <f t="shared" si="6"/>
        <v>-6.685717860746454E-3</v>
      </c>
      <c r="S107" s="4">
        <f t="shared" si="7"/>
        <v>-7.9712222355988738E-3</v>
      </c>
      <c r="T107" s="4">
        <f t="shared" si="8"/>
        <v>-5.7511650919745971E-3</v>
      </c>
      <c r="V107" s="1">
        <v>45748</v>
      </c>
      <c r="W107" s="6">
        <f t="shared" si="9"/>
        <v>-6.9195537800558647E-3</v>
      </c>
      <c r="AD107" s="1"/>
      <c r="AE107" s="6"/>
      <c r="AF107" s="6"/>
      <c r="AG107" s="6"/>
      <c r="AV107" s="14"/>
      <c r="AW107" s="14"/>
    </row>
    <row r="108" spans="12:49" x14ac:dyDescent="0.3">
      <c r="L108" s="1">
        <v>45749</v>
      </c>
      <c r="M108" s="3">
        <f>Data!B105</f>
        <v>241.96737670898401</v>
      </c>
      <c r="N108" s="3">
        <f>Data!H105</f>
        <v>116.79327392578099</v>
      </c>
      <c r="O108" s="3">
        <f>Data!N105</f>
        <v>41.374687194824197</v>
      </c>
      <c r="Q108" s="1">
        <v>45749</v>
      </c>
      <c r="R108" s="4">
        <f t="shared" si="6"/>
        <v>8.8647993874644282E-3</v>
      </c>
      <c r="S108" s="4">
        <f t="shared" si="7"/>
        <v>3.0499451002206523E-2</v>
      </c>
      <c r="T108" s="4">
        <f t="shared" si="8"/>
        <v>8.6766949751924116E-3</v>
      </c>
      <c r="V108" s="1">
        <v>45749</v>
      </c>
      <c r="W108" s="6">
        <f t="shared" si="9"/>
        <v>1.7462228709679662E-2</v>
      </c>
      <c r="AD108" s="1"/>
      <c r="AE108" s="6"/>
      <c r="AF108" s="6"/>
      <c r="AG108" s="6"/>
      <c r="AV108" s="14"/>
      <c r="AW108" s="14"/>
    </row>
    <row r="109" spans="12:49" x14ac:dyDescent="0.3">
      <c r="L109" s="1">
        <v>45750</v>
      </c>
      <c r="M109" s="3">
        <f>Data!B106</f>
        <v>225.10583496093699</v>
      </c>
      <c r="N109" s="3">
        <f>Data!H106</f>
        <v>105.688758850097</v>
      </c>
      <c r="O109" s="3">
        <f>Data!N106</f>
        <v>36.797275543212798</v>
      </c>
      <c r="Q109" s="1">
        <v>45750</v>
      </c>
      <c r="R109" s="4">
        <f t="shared" si="6"/>
        <v>-6.9685186397365095E-2</v>
      </c>
      <c r="S109" s="4">
        <f t="shared" si="7"/>
        <v>-9.507837825267762E-2</v>
      </c>
      <c r="T109" s="4">
        <f t="shared" si="8"/>
        <v>-0.11063314219289166</v>
      </c>
      <c r="V109" s="1">
        <v>45750</v>
      </c>
      <c r="W109" s="6">
        <f t="shared" si="9"/>
        <v>-9.2126849878148065E-2</v>
      </c>
      <c r="AD109" s="1"/>
      <c r="AE109" s="6"/>
      <c r="AF109" s="6"/>
      <c r="AG109" s="6"/>
      <c r="AV109" s="14"/>
      <c r="AW109" s="14"/>
    </row>
    <row r="110" spans="12:49" x14ac:dyDescent="0.3">
      <c r="L110" s="1">
        <v>45751</v>
      </c>
      <c r="M110" s="3">
        <f>Data!B107</f>
        <v>208.25930786132801</v>
      </c>
      <c r="N110" s="3">
        <f>Data!H107</f>
        <v>97.7569580078125</v>
      </c>
      <c r="O110" s="3">
        <f>Data!N107</f>
        <v>33.999412536621001</v>
      </c>
      <c r="Q110" s="1">
        <v>45751</v>
      </c>
      <c r="R110" s="4">
        <f t="shared" si="6"/>
        <v>-7.4838251538581368E-2</v>
      </c>
      <c r="S110" s="4">
        <f t="shared" si="7"/>
        <v>-7.5048670535856399E-2</v>
      </c>
      <c r="T110" s="4">
        <f t="shared" si="8"/>
        <v>-7.6034515199532415E-2</v>
      </c>
      <c r="V110" s="1">
        <v>45751</v>
      </c>
      <c r="W110" s="6">
        <f t="shared" si="9"/>
        <v>-7.5281298235776686E-2</v>
      </c>
      <c r="AD110" s="1"/>
      <c r="AE110" s="6"/>
      <c r="AF110" s="6"/>
      <c r="AG110" s="6"/>
      <c r="AV110" s="14"/>
      <c r="AW110" s="14"/>
    </row>
    <row r="111" spans="12:49" x14ac:dyDescent="0.3">
      <c r="L111" s="1">
        <v>45754</v>
      </c>
      <c r="M111" s="3">
        <f>Data!B108</f>
        <v>212.37933349609301</v>
      </c>
      <c r="N111" s="3">
        <f>Data!H108</f>
        <v>98.824325561523395</v>
      </c>
      <c r="O111" s="3">
        <f>Data!N108</f>
        <v>35.1759033203125</v>
      </c>
      <c r="Q111" s="1">
        <v>45754</v>
      </c>
      <c r="R111" s="4">
        <f t="shared" si="6"/>
        <v>1.9783152441418705E-2</v>
      </c>
      <c r="S111" s="4">
        <f t="shared" si="7"/>
        <v>1.0918583960290551E-2</v>
      </c>
      <c r="T111" s="4">
        <f t="shared" si="8"/>
        <v>3.4603267995418907E-2</v>
      </c>
      <c r="V111" s="1">
        <v>45754</v>
      </c>
      <c r="W111" s="6">
        <f t="shared" si="9"/>
        <v>2.0683359715167503E-2</v>
      </c>
      <c r="AD111" s="1"/>
      <c r="AE111" s="6"/>
      <c r="AF111" s="6"/>
      <c r="AG111" s="6"/>
      <c r="AV111" s="14"/>
      <c r="AW111" s="14"/>
    </row>
    <row r="112" spans="12:49" x14ac:dyDescent="0.3">
      <c r="L112" s="1">
        <v>45755</v>
      </c>
      <c r="M112" s="3">
        <f>Data!B109</f>
        <v>214.78596496582</v>
      </c>
      <c r="N112" s="3">
        <f>Data!H109</f>
        <v>98.226989746093693</v>
      </c>
      <c r="O112" s="3">
        <f>Data!N109</f>
        <v>34.632144927978501</v>
      </c>
      <c r="Q112" s="1">
        <v>45755</v>
      </c>
      <c r="R112" s="4">
        <f t="shared" si="6"/>
        <v>1.1331759216445914E-2</v>
      </c>
      <c r="S112" s="4">
        <f t="shared" si="7"/>
        <v>-6.0444208653650522E-3</v>
      </c>
      <c r="T112" s="4">
        <f t="shared" si="8"/>
        <v>-1.5458263783093895E-2</v>
      </c>
      <c r="V112" s="1">
        <v>45755</v>
      </c>
      <c r="W112" s="6">
        <f t="shared" si="9"/>
        <v>-3.6557197161404152E-3</v>
      </c>
      <c r="AD112" s="1"/>
      <c r="AE112" s="6"/>
      <c r="AF112" s="6"/>
      <c r="AG112" s="6"/>
      <c r="AV112" s="14"/>
      <c r="AW112" s="14"/>
    </row>
    <row r="113" spans="12:49" x14ac:dyDescent="0.3">
      <c r="L113" s="1">
        <v>45756</v>
      </c>
      <c r="M113" s="3">
        <f>Data!B110</f>
        <v>232.08808898925699</v>
      </c>
      <c r="N113" s="3">
        <f>Data!H110</f>
        <v>109.380470275878</v>
      </c>
      <c r="O113" s="3">
        <f>Data!N110</f>
        <v>36.728069305419901</v>
      </c>
      <c r="Q113" s="1">
        <v>45756</v>
      </c>
      <c r="R113" s="4">
        <f t="shared" si="6"/>
        <v>8.0555189098088231E-2</v>
      </c>
      <c r="S113" s="4">
        <f t="shared" si="7"/>
        <v>0.11354802339575776</v>
      </c>
      <c r="T113" s="4">
        <f t="shared" si="8"/>
        <v>6.0519623656002608E-2</v>
      </c>
      <c r="V113" s="1">
        <v>45756</v>
      </c>
      <c r="W113" s="6">
        <f t="shared" si="9"/>
        <v>8.7741653184530352E-2</v>
      </c>
      <c r="AD113" s="1"/>
      <c r="AE113" s="6"/>
      <c r="AF113" s="6"/>
      <c r="AG113" s="6"/>
      <c r="AV113" s="14"/>
      <c r="AW113" s="14"/>
    </row>
    <row r="114" spans="12:49" x14ac:dyDescent="0.3">
      <c r="L114" s="1">
        <v>45757</v>
      </c>
      <c r="M114" s="3">
        <f>Data!B111</f>
        <v>224.92756652832</v>
      </c>
      <c r="N114" s="3">
        <f>Data!H111</f>
        <v>104.36679077148401</v>
      </c>
      <c r="O114" s="3">
        <f>Data!N111</f>
        <v>35.44282913208</v>
      </c>
      <c r="Q114" s="1">
        <v>45757</v>
      </c>
      <c r="R114" s="4">
        <f t="shared" si="6"/>
        <v>-3.0852606405270655E-2</v>
      </c>
      <c r="S114" s="4">
        <f t="shared" si="7"/>
        <v>-4.5837062976128662E-2</v>
      </c>
      <c r="T114" s="4">
        <f t="shared" si="8"/>
        <v>-3.4993404163236042E-2</v>
      </c>
      <c r="V114" s="1">
        <v>45757</v>
      </c>
      <c r="W114" s="6">
        <f t="shared" si="9"/>
        <v>-3.8088628361003476E-2</v>
      </c>
      <c r="AD114" s="1"/>
      <c r="AE114" s="6"/>
      <c r="AF114" s="6"/>
      <c r="AG114" s="6"/>
      <c r="AV114" s="14"/>
      <c r="AW114" s="14"/>
    </row>
    <row r="115" spans="12:49" x14ac:dyDescent="0.3">
      <c r="L115" s="1">
        <v>45758</v>
      </c>
      <c r="M115" s="3">
        <f>Data!B112</f>
        <v>233.93022155761699</v>
      </c>
      <c r="N115" s="3">
        <f>Data!H112</f>
        <v>105.87480926513599</v>
      </c>
      <c r="O115" s="3">
        <f>Data!N112</f>
        <v>35.541698455810497</v>
      </c>
      <c r="Q115" s="1">
        <v>45758</v>
      </c>
      <c r="R115" s="4">
        <f t="shared" si="6"/>
        <v>4.0024685138642102E-2</v>
      </c>
      <c r="S115" s="4">
        <f t="shared" si="7"/>
        <v>1.4449217825944993E-2</v>
      </c>
      <c r="T115" s="4">
        <f t="shared" si="8"/>
        <v>2.7895437850644633E-3</v>
      </c>
      <c r="V115" s="1">
        <v>45758</v>
      </c>
      <c r="W115" s="6">
        <f t="shared" si="9"/>
        <v>1.8623955807489968E-2</v>
      </c>
      <c r="AD115" s="1"/>
      <c r="AE115" s="6"/>
      <c r="AF115" s="6"/>
      <c r="AG115" s="6"/>
      <c r="AV115" s="14"/>
      <c r="AW115" s="14"/>
    </row>
    <row r="116" spans="12:49" x14ac:dyDescent="0.3">
      <c r="L116" s="1">
        <v>45761</v>
      </c>
      <c r="M116" s="3">
        <f>Data!B113</f>
        <v>232.464431762695</v>
      </c>
      <c r="N116" s="3">
        <f>Data!H113</f>
        <v>106.84425354003901</v>
      </c>
      <c r="O116" s="3">
        <f>Data!N113</f>
        <v>36.253517150878899</v>
      </c>
      <c r="Q116" s="1">
        <v>45761</v>
      </c>
      <c r="R116" s="4">
        <f t="shared" si="6"/>
        <v>-6.2659274426454248E-3</v>
      </c>
      <c r="S116" s="4">
        <f t="shared" si="7"/>
        <v>9.1565149598078488E-3</v>
      </c>
      <c r="T116" s="4">
        <f t="shared" si="8"/>
        <v>2.0027706215374419E-2</v>
      </c>
      <c r="V116" s="1">
        <v>45761</v>
      </c>
      <c r="W116" s="6">
        <f t="shared" si="9"/>
        <v>7.7911396157418385E-3</v>
      </c>
      <c r="AD116" s="1"/>
      <c r="AE116" s="6"/>
      <c r="AF116" s="6"/>
      <c r="AG116" s="6"/>
      <c r="AV116" s="14"/>
      <c r="AW116" s="14"/>
    </row>
    <row r="117" spans="12:49" x14ac:dyDescent="0.3">
      <c r="L117" s="1">
        <v>45762</v>
      </c>
      <c r="M117" s="3">
        <f>Data!B114</f>
        <v>230.88973999023401</v>
      </c>
      <c r="N117" s="3">
        <f>Data!H114</f>
        <v>108.14663696289</v>
      </c>
      <c r="O117" s="3">
        <f>Data!N114</f>
        <v>37.558528900146399</v>
      </c>
      <c r="Q117" s="1">
        <v>45762</v>
      </c>
      <c r="R117" s="4">
        <f t="shared" si="6"/>
        <v>-6.7739041216785534E-3</v>
      </c>
      <c r="S117" s="4">
        <f t="shared" si="7"/>
        <v>1.2189550487738066E-2</v>
      </c>
      <c r="T117" s="4">
        <f t="shared" si="8"/>
        <v>3.599683153047839E-2</v>
      </c>
      <c r="V117" s="1">
        <v>45762</v>
      </c>
      <c r="W117" s="6">
        <f t="shared" si="9"/>
        <v>1.3642698417735178E-2</v>
      </c>
      <c r="AD117" s="1"/>
      <c r="AE117" s="6"/>
      <c r="AF117" s="6"/>
      <c r="AG117" s="6"/>
      <c r="AV117" s="14"/>
      <c r="AW117" s="14"/>
    </row>
    <row r="118" spans="12:49" x14ac:dyDescent="0.3">
      <c r="L118" s="1">
        <v>45763</v>
      </c>
      <c r="M118" s="3">
        <f>Data!B115</f>
        <v>227.403549194335</v>
      </c>
      <c r="N118" s="3">
        <f>Data!H115</f>
        <v>105.620216369628</v>
      </c>
      <c r="O118" s="3">
        <f>Data!N115</f>
        <v>36.9060249328613</v>
      </c>
      <c r="Q118" s="1">
        <v>45763</v>
      </c>
      <c r="R118" s="4">
        <f t="shared" si="6"/>
        <v>-1.509894201468831E-2</v>
      </c>
      <c r="S118" s="4">
        <f t="shared" si="7"/>
        <v>-2.3361064793248509E-2</v>
      </c>
      <c r="T118" s="4">
        <f t="shared" si="8"/>
        <v>-1.737299054017416E-2</v>
      </c>
      <c r="V118" s="1">
        <v>45763</v>
      </c>
      <c r="W118" s="6">
        <f t="shared" si="9"/>
        <v>-1.9086005683758143E-2</v>
      </c>
      <c r="AD118" s="1"/>
      <c r="AE118" s="6"/>
      <c r="AF118" s="6"/>
      <c r="AG118" s="6"/>
      <c r="AV118" s="14"/>
      <c r="AW118" s="14"/>
    </row>
    <row r="119" spans="12:49" x14ac:dyDescent="0.3">
      <c r="L119" s="1">
        <v>45764</v>
      </c>
      <c r="M119" s="3">
        <f>Data!B116</f>
        <v>229.73097229003901</v>
      </c>
      <c r="N119" s="3">
        <f>Data!H116</f>
        <v>106.912803649902</v>
      </c>
      <c r="O119" s="3">
        <f>Data!N116</f>
        <v>36.985115051269503</v>
      </c>
      <c r="Q119" s="1">
        <v>45764</v>
      </c>
      <c r="R119" s="4">
        <f t="shared" si="6"/>
        <v>1.0234770318888087E-2</v>
      </c>
      <c r="S119" s="4">
        <f t="shared" si="7"/>
        <v>1.2238066960121197E-2</v>
      </c>
      <c r="T119" s="4">
        <f t="shared" si="8"/>
        <v>2.1430137369733426E-3</v>
      </c>
      <c r="V119" s="1">
        <v>45764</v>
      </c>
      <c r="W119" s="6">
        <f t="shared" si="9"/>
        <v>8.6085620008069068E-3</v>
      </c>
      <c r="AD119" s="1"/>
      <c r="AE119" s="6"/>
      <c r="AF119" s="6"/>
      <c r="AG119" s="6"/>
      <c r="AV119" s="14"/>
      <c r="AW119" s="14"/>
    </row>
    <row r="120" spans="12:49" x14ac:dyDescent="0.3">
      <c r="L120" s="1">
        <v>45768</v>
      </c>
      <c r="M120" s="3">
        <f>Data!B117</f>
        <v>226.78950500488199</v>
      </c>
      <c r="N120" s="3">
        <f>Data!H117</f>
        <v>104.09261322021401</v>
      </c>
      <c r="O120" s="3">
        <f>Data!N117</f>
        <v>36.500679016113203</v>
      </c>
      <c r="Q120" s="1">
        <v>45768</v>
      </c>
      <c r="R120" s="4">
        <f t="shared" si="6"/>
        <v>-1.2803964810819579E-2</v>
      </c>
      <c r="S120" s="4">
        <f t="shared" si="7"/>
        <v>-2.6378416180376507E-2</v>
      </c>
      <c r="T120" s="4">
        <f t="shared" si="8"/>
        <v>-1.3098135141252465E-2</v>
      </c>
      <c r="V120" s="1">
        <v>45768</v>
      </c>
      <c r="W120" s="6">
        <f t="shared" si="9"/>
        <v>-1.8321996457772216E-2</v>
      </c>
      <c r="AD120" s="1"/>
      <c r="AE120" s="6"/>
      <c r="AF120" s="6"/>
      <c r="AG120" s="6"/>
      <c r="AV120" s="14"/>
      <c r="AW120" s="14"/>
    </row>
    <row r="121" spans="12:49" x14ac:dyDescent="0.3">
      <c r="L121" s="1">
        <v>45769</v>
      </c>
      <c r="M121" s="3">
        <f>Data!B118</f>
        <v>233.326080322265</v>
      </c>
      <c r="N121" s="3">
        <f>Data!H118</f>
        <v>108.087882995605</v>
      </c>
      <c r="O121" s="3">
        <f>Data!N118</f>
        <v>37.884780883788999</v>
      </c>
      <c r="Q121" s="1">
        <v>45769</v>
      </c>
      <c r="R121" s="4">
        <f t="shared" si="6"/>
        <v>2.8822212550101423E-2</v>
      </c>
      <c r="S121" s="4">
        <f t="shared" si="7"/>
        <v>3.8381876021680528E-2</v>
      </c>
      <c r="T121" s="4">
        <f t="shared" si="8"/>
        <v>3.7919893683752592E-2</v>
      </c>
      <c r="V121" s="1">
        <v>45769</v>
      </c>
      <c r="W121" s="6">
        <f t="shared" si="9"/>
        <v>3.5375382278828416E-2</v>
      </c>
      <c r="AD121" s="1"/>
      <c r="AE121" s="6"/>
      <c r="AF121" s="6"/>
      <c r="AG121" s="6"/>
      <c r="AV121" s="14"/>
      <c r="AW121" s="14"/>
    </row>
    <row r="122" spans="12:49" x14ac:dyDescent="0.3">
      <c r="L122" s="1">
        <v>45770</v>
      </c>
      <c r="M122" s="3">
        <f>Data!B119</f>
        <v>238.56524658203099</v>
      </c>
      <c r="N122" s="3">
        <f>Data!H119</f>
        <v>109.97779846191401</v>
      </c>
      <c r="O122" s="3">
        <f>Data!N119</f>
        <v>38.3098945617675</v>
      </c>
      <c r="Q122" s="1">
        <v>45770</v>
      </c>
      <c r="R122" s="4">
        <f t="shared" si="6"/>
        <v>2.2454267660648064E-2</v>
      </c>
      <c r="S122" s="4">
        <f t="shared" si="7"/>
        <v>1.7484989195188927E-2</v>
      </c>
      <c r="T122" s="4">
        <f t="shared" si="8"/>
        <v>1.1221225728677897E-2</v>
      </c>
      <c r="V122" s="1">
        <v>45770</v>
      </c>
      <c r="W122" s="6">
        <f t="shared" si="9"/>
        <v>1.7096643694873358E-2</v>
      </c>
      <c r="AD122" s="1"/>
      <c r="AE122" s="6"/>
      <c r="AF122" s="6"/>
      <c r="AG122" s="6"/>
      <c r="AV122" s="14"/>
      <c r="AW122" s="14"/>
    </row>
    <row r="123" spans="12:49" x14ac:dyDescent="0.3">
      <c r="L123" s="1">
        <v>45771</v>
      </c>
      <c r="M123" s="3">
        <f>Data!B120</f>
        <v>242.28910827636699</v>
      </c>
      <c r="N123" s="3">
        <f>Data!H120</f>
        <v>113.199485778808</v>
      </c>
      <c r="O123" s="3">
        <f>Data!N120</f>
        <v>39.130474090576101</v>
      </c>
      <c r="Q123" s="1">
        <v>45771</v>
      </c>
      <c r="R123" s="4">
        <f t="shared" si="6"/>
        <v>1.5609405593180359E-2</v>
      </c>
      <c r="S123" s="4">
        <f t="shared" si="7"/>
        <v>2.9293978984400892E-2</v>
      </c>
      <c r="T123" s="4">
        <f t="shared" si="8"/>
        <v>2.1419519374702878E-2</v>
      </c>
      <c r="V123" s="1">
        <v>45771</v>
      </c>
      <c r="W123" s="6">
        <f t="shared" si="9"/>
        <v>2.2826269084125328E-2</v>
      </c>
      <c r="AD123" s="1"/>
      <c r="AE123" s="6"/>
      <c r="AF123" s="6"/>
      <c r="AG123" s="6"/>
      <c r="AV123" s="14"/>
      <c r="AW123" s="14"/>
    </row>
    <row r="124" spans="12:49" x14ac:dyDescent="0.3">
      <c r="L124" s="1">
        <v>45772</v>
      </c>
      <c r="M124" s="3">
        <f>Data!B121</f>
        <v>241.20959472656199</v>
      </c>
      <c r="N124" s="3">
        <f>Data!H121</f>
        <v>113.600982666015</v>
      </c>
      <c r="O124" s="3">
        <f>Data!N121</f>
        <v>39.239219665527301</v>
      </c>
      <c r="Q124" s="1">
        <v>45772</v>
      </c>
      <c r="R124" s="4">
        <f t="shared" si="6"/>
        <v>-4.4554770021839607E-3</v>
      </c>
      <c r="S124" s="4">
        <f t="shared" si="7"/>
        <v>3.5468084015111145E-3</v>
      </c>
      <c r="T124" s="4">
        <f t="shared" si="8"/>
        <v>2.7790507904270623E-3</v>
      </c>
      <c r="V124" s="1">
        <v>45772</v>
      </c>
      <c r="W124" s="6">
        <f t="shared" si="9"/>
        <v>9.1579549707737629E-4</v>
      </c>
      <c r="AD124" s="1"/>
      <c r="AE124" s="6"/>
      <c r="AF124" s="6"/>
      <c r="AG124" s="6"/>
      <c r="AV124" s="14"/>
      <c r="AW124" s="14"/>
    </row>
    <row r="125" spans="12:49" x14ac:dyDescent="0.3">
      <c r="L125" s="1">
        <v>45775</v>
      </c>
      <c r="M125" s="3">
        <f>Data!B122</f>
        <v>240.88275146484301</v>
      </c>
      <c r="N125" s="3">
        <f>Data!H122</f>
        <v>113.42470550537099</v>
      </c>
      <c r="O125" s="3">
        <f>Data!N122</f>
        <v>39.328197479247997</v>
      </c>
      <c r="Q125" s="1">
        <v>45775</v>
      </c>
      <c r="R125" s="4">
        <f t="shared" si="6"/>
        <v>-1.3550176645729106E-3</v>
      </c>
      <c r="S125" s="4">
        <f t="shared" si="7"/>
        <v>-1.5517221462973962E-3</v>
      </c>
      <c r="T125" s="4">
        <f t="shared" si="8"/>
        <v>2.2675734756996135E-3</v>
      </c>
      <c r="V125" s="1">
        <v>45775</v>
      </c>
      <c r="W125" s="6">
        <f t="shared" si="9"/>
        <v>-3.4692211518094762E-4</v>
      </c>
      <c r="AD125" s="1"/>
      <c r="AE125" s="6"/>
      <c r="AF125" s="6"/>
      <c r="AG125" s="6"/>
      <c r="AV125" s="14"/>
      <c r="AW125" s="14"/>
    </row>
    <row r="126" spans="12:49" x14ac:dyDescent="0.3">
      <c r="L126" s="1">
        <v>45776</v>
      </c>
      <c r="M126" s="3">
        <f>Data!B123</f>
        <v>242.26930236816401</v>
      </c>
      <c r="N126" s="3">
        <f>Data!H123</f>
        <v>113.796813964843</v>
      </c>
      <c r="O126" s="3">
        <f>Data!N123</f>
        <v>39.535812377929602</v>
      </c>
      <c r="Q126" s="1">
        <v>45776</v>
      </c>
      <c r="R126" s="4">
        <f t="shared" si="6"/>
        <v>5.7561236530601079E-3</v>
      </c>
      <c r="S126" s="4">
        <f t="shared" si="7"/>
        <v>3.2806649822367806E-3</v>
      </c>
      <c r="T126" s="4">
        <f t="shared" si="8"/>
        <v>5.2790341787507522E-3</v>
      </c>
      <c r="V126" s="1">
        <v>45776</v>
      </c>
      <c r="W126" s="6">
        <f t="shared" si="9"/>
        <v>4.6228133424379703E-3</v>
      </c>
      <c r="AD126" s="1"/>
      <c r="AE126" s="6"/>
      <c r="AF126" s="6"/>
      <c r="AG126" s="6"/>
      <c r="AV126" s="14"/>
      <c r="AW126" s="14"/>
    </row>
    <row r="127" spans="12:49" x14ac:dyDescent="0.3">
      <c r="L127" s="1">
        <v>45777</v>
      </c>
      <c r="M127" s="3">
        <f>Data!B124</f>
        <v>242.26930236816401</v>
      </c>
      <c r="N127" s="3">
        <f>Data!H124</f>
        <v>113.93007659912099</v>
      </c>
      <c r="O127" s="3">
        <f>Data!N124</f>
        <v>39.4270629882812</v>
      </c>
      <c r="Q127" s="1">
        <v>45777</v>
      </c>
      <c r="R127" s="4">
        <f t="shared" si="6"/>
        <v>0</v>
      </c>
      <c r="S127" s="4">
        <f t="shared" si="7"/>
        <v>1.1710576916430515E-3</v>
      </c>
      <c r="T127" s="4">
        <f t="shared" si="8"/>
        <v>-2.7506552441327603E-3</v>
      </c>
      <c r="V127" s="1">
        <v>45777</v>
      </c>
      <c r="W127" s="6">
        <f t="shared" si="9"/>
        <v>-3.567734965826074E-4</v>
      </c>
      <c r="AD127" s="1"/>
      <c r="AE127" s="6"/>
      <c r="AF127" s="6"/>
      <c r="AG127" s="6"/>
      <c r="AV127" s="14"/>
      <c r="AW127" s="14"/>
    </row>
    <row r="128" spans="12:49" x14ac:dyDescent="0.3">
      <c r="L128" s="1">
        <v>45778</v>
      </c>
      <c r="M128" s="3">
        <f>Data!B125</f>
        <v>244.51750183105401</v>
      </c>
      <c r="N128" s="3">
        <f>Data!H125</f>
        <v>115.25277709960901</v>
      </c>
      <c r="O128" s="3">
        <f>Data!N125</f>
        <v>39.713768005371001</v>
      </c>
      <c r="Q128" s="1">
        <v>45778</v>
      </c>
      <c r="R128" s="4">
        <f t="shared" si="6"/>
        <v>9.279753732371443E-3</v>
      </c>
      <c r="S128" s="4">
        <f t="shared" si="7"/>
        <v>1.1609756966477924E-2</v>
      </c>
      <c r="T128" s="4">
        <f t="shared" si="8"/>
        <v>7.2717822571521928E-3</v>
      </c>
      <c r="V128" s="1">
        <v>45778</v>
      </c>
      <c r="W128" s="6">
        <f t="shared" si="9"/>
        <v>9.6093635834482612E-3</v>
      </c>
      <c r="AD128" s="1"/>
      <c r="AE128" s="6"/>
      <c r="AF128" s="6"/>
      <c r="AG128" s="6"/>
      <c r="AV128" s="14"/>
      <c r="AW128" s="14"/>
    </row>
    <row r="129" spans="12:49" x14ac:dyDescent="0.3">
      <c r="L129" s="1">
        <v>45779</v>
      </c>
      <c r="M129" s="3">
        <f>Data!B126</f>
        <v>250.08348083496</v>
      </c>
      <c r="N129" s="3">
        <f>Data!H126</f>
        <v>118.66811370849599</v>
      </c>
      <c r="O129" s="3">
        <f>Data!N126</f>
        <v>40.603546142578097</v>
      </c>
      <c r="Q129" s="1">
        <v>45779</v>
      </c>
      <c r="R129" s="4">
        <f t="shared" si="6"/>
        <v>2.2763110870287484E-2</v>
      </c>
      <c r="S129" s="4">
        <f t="shared" si="7"/>
        <v>2.9633443070401944E-2</v>
      </c>
      <c r="T129" s="4">
        <f t="shared" si="8"/>
        <v>2.2404777534248632E-2</v>
      </c>
      <c r="V129" s="1">
        <v>45779</v>
      </c>
      <c r="W129" s="6">
        <f t="shared" si="9"/>
        <v>2.5403743749521614E-2</v>
      </c>
      <c r="AD129" s="1"/>
      <c r="AE129" s="6"/>
      <c r="AF129" s="6"/>
      <c r="AG129" s="6"/>
      <c r="AV129" s="14"/>
      <c r="AW129" s="14"/>
    </row>
    <row r="130" spans="12:49" x14ac:dyDescent="0.3">
      <c r="L130" s="1">
        <v>45782</v>
      </c>
      <c r="M130" s="3">
        <f>Data!B127</f>
        <v>250.13301086425699</v>
      </c>
      <c r="N130" s="3">
        <f>Data!H127</f>
        <v>118.056114196777</v>
      </c>
      <c r="O130" s="3">
        <f>Data!N127</f>
        <v>40.652980804443303</v>
      </c>
      <c r="Q130" s="1">
        <v>45782</v>
      </c>
      <c r="R130" s="4">
        <f t="shared" si="6"/>
        <v>1.9805398234074012E-4</v>
      </c>
      <c r="S130" s="4">
        <f t="shared" si="7"/>
        <v>-5.1572363678279443E-3</v>
      </c>
      <c r="T130" s="4">
        <f t="shared" si="8"/>
        <v>1.2174961687241304E-3</v>
      </c>
      <c r="V130" s="1">
        <v>45782</v>
      </c>
      <c r="W130" s="6">
        <f t="shared" si="9"/>
        <v>-1.6382295018117167E-3</v>
      </c>
      <c r="AD130" s="1"/>
      <c r="AE130" s="6"/>
      <c r="AF130" s="6"/>
      <c r="AG130" s="6"/>
      <c r="AV130" s="14"/>
      <c r="AW130" s="14"/>
    </row>
    <row r="131" spans="12:49" x14ac:dyDescent="0.3">
      <c r="L131" s="1">
        <v>45783</v>
      </c>
      <c r="M131" s="3">
        <f>Data!B128</f>
        <v>246.85481262207</v>
      </c>
      <c r="N131" s="3">
        <f>Data!H128</f>
        <v>116.802513122558</v>
      </c>
      <c r="O131" s="3">
        <f>Data!N128</f>
        <v>40.3761596679687</v>
      </c>
      <c r="Q131" s="1">
        <v>45783</v>
      </c>
      <c r="R131" s="4">
        <f t="shared" si="6"/>
        <v>-1.3105820102913168E-2</v>
      </c>
      <c r="S131" s="4">
        <f t="shared" si="7"/>
        <v>-1.0618688263188902E-2</v>
      </c>
      <c r="T131" s="4">
        <f t="shared" si="8"/>
        <v>-6.8093687350067045E-3</v>
      </c>
      <c r="V131" s="1">
        <v>45783</v>
      </c>
      <c r="W131" s="6">
        <f t="shared" si="9"/>
        <v>-1.0222031956651523E-2</v>
      </c>
      <c r="AD131" s="1"/>
      <c r="AE131" s="6"/>
      <c r="AF131" s="6"/>
      <c r="AG131" s="6"/>
      <c r="AV131" s="14"/>
      <c r="AW131" s="14"/>
    </row>
    <row r="132" spans="12:49" x14ac:dyDescent="0.3">
      <c r="L132" s="1">
        <v>45784</v>
      </c>
      <c r="M132" s="3">
        <f>Data!B129</f>
        <v>246.99346923828099</v>
      </c>
      <c r="N132" s="3">
        <f>Data!H129</f>
        <v>117.56256866455</v>
      </c>
      <c r="O132" s="3">
        <f>Data!N129</f>
        <v>40.465137481689403</v>
      </c>
      <c r="Q132" s="1">
        <v>45784</v>
      </c>
      <c r="R132" s="4">
        <f t="shared" si="6"/>
        <v>5.616929835727813E-4</v>
      </c>
      <c r="S132" s="4">
        <f t="shared" si="7"/>
        <v>6.5071848342381777E-3</v>
      </c>
      <c r="T132" s="4">
        <f t="shared" si="8"/>
        <v>2.2037215637249474E-3</v>
      </c>
      <c r="V132" s="1">
        <v>45784</v>
      </c>
      <c r="W132" s="6">
        <f t="shared" si="9"/>
        <v>3.4324982978845898E-3</v>
      </c>
      <c r="AD132" s="1"/>
      <c r="AE132" s="6"/>
      <c r="AF132" s="6"/>
      <c r="AG132" s="6"/>
      <c r="AV132" s="14"/>
      <c r="AW132" s="14"/>
    </row>
    <row r="133" spans="12:49" x14ac:dyDescent="0.3">
      <c r="L133" s="1">
        <v>45785</v>
      </c>
      <c r="M133" s="3">
        <f>Data!B130</f>
        <v>251.034255981445</v>
      </c>
      <c r="N133" s="3">
        <f>Data!H130</f>
        <v>120.306678771972</v>
      </c>
      <c r="O133" s="3">
        <f>Data!N130</f>
        <v>41.127529144287102</v>
      </c>
      <c r="Q133" s="1">
        <v>45785</v>
      </c>
      <c r="R133" s="4">
        <f t="shared" si="6"/>
        <v>1.6359893059624708E-2</v>
      </c>
      <c r="S133" s="4">
        <f t="shared" si="7"/>
        <v>2.3341699135989158E-2</v>
      </c>
      <c r="T133" s="4">
        <f t="shared" si="8"/>
        <v>1.6369440556020187E-2</v>
      </c>
      <c r="V133" s="1">
        <v>45785</v>
      </c>
      <c r="W133" s="6">
        <f t="shared" si="9"/>
        <v>1.915547973908913E-2</v>
      </c>
      <c r="AD133" s="1"/>
      <c r="AE133" s="6"/>
      <c r="AF133" s="6"/>
      <c r="AG133" s="6"/>
      <c r="AV133" s="14"/>
      <c r="AW133" s="14"/>
    </row>
    <row r="134" spans="12:49" x14ac:dyDescent="0.3">
      <c r="L134" s="1">
        <v>45786</v>
      </c>
      <c r="M134" s="3">
        <f>Data!B131</f>
        <v>250.64801025390599</v>
      </c>
      <c r="N134" s="3">
        <f>Data!H131</f>
        <v>120.129005432128</v>
      </c>
      <c r="O134" s="3">
        <f>Data!N131</f>
        <v>41.3153686523437</v>
      </c>
      <c r="Q134" s="1">
        <v>45786</v>
      </c>
      <c r="R134" s="4">
        <f t="shared" si="6"/>
        <v>-1.5386176122813566E-3</v>
      </c>
      <c r="S134" s="4">
        <f t="shared" si="7"/>
        <v>-1.4768368776996166E-3</v>
      </c>
      <c r="T134" s="4">
        <f t="shared" si="8"/>
        <v>4.5672451509937151E-3</v>
      </c>
      <c r="V134" s="1">
        <v>45786</v>
      </c>
      <c r="W134" s="6">
        <f t="shared" si="9"/>
        <v>3.1785351053386095E-4</v>
      </c>
      <c r="AD134" s="1"/>
      <c r="AE134" s="6"/>
      <c r="AF134" s="6"/>
      <c r="AG134" s="6"/>
      <c r="AV134" s="14"/>
      <c r="AW134" s="14"/>
    </row>
    <row r="135" spans="12:49" x14ac:dyDescent="0.3">
      <c r="L135" s="1">
        <v>45789</v>
      </c>
      <c r="M135" s="3">
        <f>Data!B132</f>
        <v>257.551025390625</v>
      </c>
      <c r="N135" s="3">
        <f>Data!H132</f>
        <v>125.41981506347599</v>
      </c>
      <c r="O135" s="3">
        <f>Data!N132</f>
        <v>42.867542266845703</v>
      </c>
      <c r="Q135" s="1">
        <v>45789</v>
      </c>
      <c r="R135" s="4">
        <f t="shared" ref="R135:R198" si="10">(M135/M134)-1</f>
        <v>2.754067399029525E-2</v>
      </c>
      <c r="S135" s="4">
        <f t="shared" ref="S135:S198" si="11">(N135/N134)-1</f>
        <v>4.4042732330263679E-2</v>
      </c>
      <c r="T135" s="4">
        <f t="shared" ref="T135:T198" si="12">(O135/O134)-1</f>
        <v>3.7568916002252761E-2</v>
      </c>
      <c r="V135" s="1">
        <v>45789</v>
      </c>
      <c r="W135" s="6">
        <f t="shared" ref="W135:W198" si="13">SUMPRODUCT(R135:T135,$C$6:$E$6)</f>
        <v>3.7149969929869874E-2</v>
      </c>
      <c r="AD135" s="1"/>
      <c r="AE135" s="6"/>
      <c r="AF135" s="6"/>
      <c r="AG135" s="6"/>
      <c r="AV135" s="14"/>
      <c r="AW135" s="14"/>
    </row>
    <row r="136" spans="12:49" x14ac:dyDescent="0.3">
      <c r="L136" s="1">
        <v>45790</v>
      </c>
      <c r="M136" s="3">
        <f>Data!B133</f>
        <v>260.48260498046801</v>
      </c>
      <c r="N136" s="3">
        <f>Data!H133</f>
        <v>127.68026733398401</v>
      </c>
      <c r="O136" s="3">
        <f>Data!N133</f>
        <v>43.777088165283203</v>
      </c>
      <c r="Q136" s="1">
        <v>45790</v>
      </c>
      <c r="R136" s="4">
        <f t="shared" si="10"/>
        <v>1.1382519581883743E-2</v>
      </c>
      <c r="S136" s="4">
        <f t="shared" si="11"/>
        <v>1.8023087255901071E-2</v>
      </c>
      <c r="T136" s="4">
        <f t="shared" si="12"/>
        <v>2.1217589120824165E-2</v>
      </c>
      <c r="V136" s="1">
        <v>45790</v>
      </c>
      <c r="W136" s="6">
        <f t="shared" si="13"/>
        <v>1.6989267513172802E-2</v>
      </c>
      <c r="AD136" s="1"/>
      <c r="AE136" s="6"/>
      <c r="AF136" s="6"/>
      <c r="AG136" s="6"/>
      <c r="AV136" s="14"/>
      <c r="AW136" s="14"/>
    </row>
    <row r="137" spans="12:49" x14ac:dyDescent="0.3">
      <c r="L137" s="1">
        <v>45791</v>
      </c>
      <c r="M137" s="3">
        <f>Data!B134</f>
        <v>263.08734130859301</v>
      </c>
      <c r="N137" s="3">
        <f>Data!H134</f>
        <v>129.34841918945301</v>
      </c>
      <c r="O137" s="3">
        <f>Data!N134</f>
        <v>44.231868743896399</v>
      </c>
      <c r="Q137" s="1">
        <v>45791</v>
      </c>
      <c r="R137" s="4">
        <f t="shared" si="10"/>
        <v>9.9996555559642708E-3</v>
      </c>
      <c r="S137" s="4">
        <f t="shared" si="11"/>
        <v>1.3065071763246561E-2</v>
      </c>
      <c r="T137" s="4">
        <f t="shared" si="12"/>
        <v>1.038855249796744E-2</v>
      </c>
      <c r="V137" s="1">
        <v>45791</v>
      </c>
      <c r="W137" s="6">
        <f t="shared" si="13"/>
        <v>1.1342491121478138E-2</v>
      </c>
      <c r="AD137" s="1"/>
      <c r="AE137" s="6"/>
      <c r="AF137" s="6"/>
      <c r="AG137" s="6"/>
      <c r="AV137" s="14"/>
      <c r="AW137" s="14"/>
    </row>
    <row r="138" spans="12:49" x14ac:dyDescent="0.3">
      <c r="L138" s="1">
        <v>45792</v>
      </c>
      <c r="M138" s="3">
        <f>Data!B135</f>
        <v>264.91952514648398</v>
      </c>
      <c r="N138" s="3">
        <f>Data!H135</f>
        <v>130.79946899414</v>
      </c>
      <c r="O138" s="3">
        <f>Data!N135</f>
        <v>43.875957489013601</v>
      </c>
      <c r="Q138" s="1">
        <v>45792</v>
      </c>
      <c r="R138" s="4">
        <f t="shared" si="10"/>
        <v>6.9641656978922661E-3</v>
      </c>
      <c r="S138" s="4">
        <f t="shared" si="11"/>
        <v>1.1218148731772848E-2</v>
      </c>
      <c r="T138" s="4">
        <f t="shared" si="12"/>
        <v>-8.0464892167123603E-3</v>
      </c>
      <c r="V138" s="1">
        <v>45792</v>
      </c>
      <c r="W138" s="6">
        <f t="shared" si="13"/>
        <v>4.1625624370631113E-3</v>
      </c>
      <c r="AD138" s="1"/>
      <c r="AE138" s="6"/>
      <c r="AF138" s="6"/>
      <c r="AG138" s="6"/>
      <c r="AV138" s="14"/>
      <c r="AW138" s="14"/>
    </row>
    <row r="139" spans="12:49" x14ac:dyDescent="0.3">
      <c r="L139" s="1">
        <v>45793</v>
      </c>
      <c r="M139" s="3">
        <f>Data!B136</f>
        <v>264.98886108398398</v>
      </c>
      <c r="N139" s="3">
        <f>Data!H136</f>
        <v>130.473709106445</v>
      </c>
      <c r="O139" s="3">
        <f>Data!N136</f>
        <v>44.182430267333899</v>
      </c>
      <c r="Q139" s="1">
        <v>45793</v>
      </c>
      <c r="R139" s="4">
        <f t="shared" si="10"/>
        <v>2.617245273319746E-4</v>
      </c>
      <c r="S139" s="4">
        <f t="shared" si="11"/>
        <v>-2.4905291298208398E-3</v>
      </c>
      <c r="T139" s="4">
        <f t="shared" si="12"/>
        <v>6.9849821145677726E-3</v>
      </c>
      <c r="V139" s="1">
        <v>45793</v>
      </c>
      <c r="W139" s="6">
        <f t="shared" si="13"/>
        <v>1.177800340641588E-3</v>
      </c>
      <c r="AD139" s="1"/>
      <c r="AE139" s="6"/>
      <c r="AF139" s="6"/>
      <c r="AG139" s="6"/>
      <c r="AV139" s="14"/>
      <c r="AW139" s="14"/>
    </row>
    <row r="140" spans="12:49" x14ac:dyDescent="0.3">
      <c r="L140" s="1">
        <v>45796</v>
      </c>
      <c r="M140" s="3">
        <f>Data!B137</f>
        <v>262.33462524414</v>
      </c>
      <c r="N140" s="3">
        <f>Data!H137</f>
        <v>129.15101623535099</v>
      </c>
      <c r="O140" s="3">
        <f>Data!N137</f>
        <v>44.261524200439403</v>
      </c>
      <c r="Q140" s="1">
        <v>45796</v>
      </c>
      <c r="R140" s="4">
        <f t="shared" si="10"/>
        <v>-1.0016405327327171E-2</v>
      </c>
      <c r="S140" s="4">
        <f t="shared" si="11"/>
        <v>-1.0137619909424855E-2</v>
      </c>
      <c r="T140" s="4">
        <f t="shared" si="12"/>
        <v>1.7901671009705744E-3</v>
      </c>
      <c r="V140" s="1">
        <v>45796</v>
      </c>
      <c r="W140" s="6">
        <f t="shared" si="13"/>
        <v>-6.5229194316769211E-3</v>
      </c>
      <c r="AD140" s="1"/>
      <c r="AE140" s="6"/>
      <c r="AF140" s="6"/>
      <c r="AG140" s="6"/>
      <c r="AV140" s="14"/>
      <c r="AW140" s="14"/>
    </row>
    <row r="141" spans="12:49" x14ac:dyDescent="0.3">
      <c r="L141" s="1">
        <v>45797</v>
      </c>
      <c r="M141" s="3">
        <f>Data!B138</f>
        <v>263.12692260742102</v>
      </c>
      <c r="N141" s="3">
        <f>Data!H138</f>
        <v>127.46310424804599</v>
      </c>
      <c r="O141" s="3">
        <f>Data!N138</f>
        <v>44.182430267333899</v>
      </c>
      <c r="Q141" s="1">
        <v>45797</v>
      </c>
      <c r="R141" s="4">
        <f t="shared" si="10"/>
        <v>3.0201783792118686E-3</v>
      </c>
      <c r="S141" s="4">
        <f t="shared" si="11"/>
        <v>-1.3069289243757276E-2</v>
      </c>
      <c r="T141" s="4">
        <f t="shared" si="12"/>
        <v>-1.7869681294147011E-3</v>
      </c>
      <c r="V141" s="1">
        <v>45797</v>
      </c>
      <c r="W141" s="6">
        <f t="shared" si="13"/>
        <v>-4.85775262256376E-3</v>
      </c>
      <c r="AD141" s="1"/>
      <c r="AE141" s="6"/>
      <c r="AF141" s="6"/>
      <c r="AG141" s="6"/>
      <c r="AV141" s="14"/>
      <c r="AW141" s="14"/>
    </row>
    <row r="142" spans="12:49" x14ac:dyDescent="0.3">
      <c r="L142" s="1">
        <v>45798</v>
      </c>
      <c r="M142" s="3">
        <f>Data!B139</f>
        <v>258.53152465820301</v>
      </c>
      <c r="N142" s="3">
        <f>Data!H139</f>
        <v>123.68253326416</v>
      </c>
      <c r="O142" s="3">
        <f>Data!N139</f>
        <v>42.7587890625</v>
      </c>
      <c r="Q142" s="1">
        <v>45798</v>
      </c>
      <c r="R142" s="4">
        <f t="shared" si="10"/>
        <v>-1.7464567683460608E-2</v>
      </c>
      <c r="S142" s="4">
        <f t="shared" si="11"/>
        <v>-2.9660120128009115E-2</v>
      </c>
      <c r="T142" s="4">
        <f t="shared" si="12"/>
        <v>-3.2221885401502282E-2</v>
      </c>
      <c r="V142" s="1">
        <v>45798</v>
      </c>
      <c r="W142" s="6">
        <f t="shared" si="13"/>
        <v>-2.6769983976692516E-2</v>
      </c>
      <c r="AD142" s="1"/>
      <c r="AE142" s="6"/>
      <c r="AF142" s="6"/>
      <c r="AG142" s="6"/>
      <c r="AV142" s="14"/>
      <c r="AW142" s="14"/>
    </row>
    <row r="143" spans="12:49" x14ac:dyDescent="0.3">
      <c r="L143" s="1">
        <v>45799</v>
      </c>
      <c r="M143" s="3">
        <f>Data!B140</f>
        <v>258.16510009765602</v>
      </c>
      <c r="N143" s="3">
        <f>Data!H140</f>
        <v>124.63014221191401</v>
      </c>
      <c r="O143" s="3">
        <f>Data!N140</f>
        <v>42.818107604980398</v>
      </c>
      <c r="Q143" s="1">
        <v>45799</v>
      </c>
      <c r="R143" s="4">
        <f t="shared" si="10"/>
        <v>-1.4173302889518569E-3</v>
      </c>
      <c r="S143" s="4">
        <f t="shared" si="11"/>
        <v>7.6616230501207472E-3</v>
      </c>
      <c r="T143" s="4">
        <f t="shared" si="12"/>
        <v>1.3872830307166684E-3</v>
      </c>
      <c r="V143" s="1">
        <v>45799</v>
      </c>
      <c r="W143" s="6">
        <f t="shared" si="13"/>
        <v>3.0556350425777427E-3</v>
      </c>
      <c r="AD143" s="1"/>
      <c r="AE143" s="6"/>
      <c r="AF143" s="6"/>
      <c r="AG143" s="6"/>
      <c r="AV143" s="14"/>
      <c r="AW143" s="14"/>
    </row>
    <row r="144" spans="12:49" x14ac:dyDescent="0.3">
      <c r="L144" s="1">
        <v>45800</v>
      </c>
      <c r="M144" s="3">
        <f>Data!B141</f>
        <v>258.20468139648398</v>
      </c>
      <c r="N144" s="3">
        <f>Data!H141</f>
        <v>124.44259643554599</v>
      </c>
      <c r="O144" s="3">
        <f>Data!N141</f>
        <v>42.709358215332003</v>
      </c>
      <c r="Q144" s="1">
        <v>45800</v>
      </c>
      <c r="R144" s="4">
        <f t="shared" si="10"/>
        <v>1.533177753809678E-4</v>
      </c>
      <c r="S144" s="4">
        <f t="shared" si="11"/>
        <v>-1.504818762455673E-3</v>
      </c>
      <c r="T144" s="4">
        <f t="shared" si="12"/>
        <v>-2.5397990647243462E-3</v>
      </c>
      <c r="V144" s="1">
        <v>45800</v>
      </c>
      <c r="W144" s="6">
        <f t="shared" si="13"/>
        <v>-1.3178718917852827E-3</v>
      </c>
      <c r="AD144" s="1"/>
      <c r="AE144" s="6"/>
      <c r="AF144" s="6"/>
      <c r="AG144" s="6"/>
      <c r="AV144" s="14"/>
      <c r="AW144" s="14"/>
    </row>
    <row r="145" spans="12:49" x14ac:dyDescent="0.3">
      <c r="L145" s="1">
        <v>45804</v>
      </c>
      <c r="M145" s="3">
        <f>Data!B142</f>
        <v>262.74069213867102</v>
      </c>
      <c r="N145" s="3">
        <f>Data!H142</f>
        <v>127.542068481445</v>
      </c>
      <c r="O145" s="3">
        <f>Data!N142</f>
        <v>43.7177734375</v>
      </c>
      <c r="Q145" s="1">
        <v>45804</v>
      </c>
      <c r="R145" s="4">
        <f t="shared" si="10"/>
        <v>1.7567500006794301E-2</v>
      </c>
      <c r="S145" s="4">
        <f t="shared" si="11"/>
        <v>2.4906841665782498E-2</v>
      </c>
      <c r="T145" s="4">
        <f t="shared" si="12"/>
        <v>2.3611106893336453E-2</v>
      </c>
      <c r="V145" s="1">
        <v>45804</v>
      </c>
      <c r="W145" s="6">
        <f t="shared" si="13"/>
        <v>2.2316318736352224E-2</v>
      </c>
      <c r="AD145" s="1"/>
      <c r="AE145" s="6"/>
      <c r="AF145" s="6"/>
      <c r="AG145" s="6"/>
      <c r="AV145" s="14"/>
      <c r="AW145" s="14"/>
    </row>
    <row r="146" spans="12:49" x14ac:dyDescent="0.3">
      <c r="L146" s="1">
        <v>45805</v>
      </c>
      <c r="M146" s="3">
        <f>Data!B143</f>
        <v>260.95797729492102</v>
      </c>
      <c r="N146" s="3">
        <f>Data!H143</f>
        <v>125.864013671875</v>
      </c>
      <c r="O146" s="3">
        <f>Data!N143</f>
        <v>43.5595893859863</v>
      </c>
      <c r="Q146" s="1">
        <v>45805</v>
      </c>
      <c r="R146" s="4">
        <f t="shared" si="10"/>
        <v>-6.7850732569780803E-3</v>
      </c>
      <c r="S146" s="4">
        <f t="shared" si="11"/>
        <v>-1.3156873097241006E-2</v>
      </c>
      <c r="T146" s="4">
        <f t="shared" si="12"/>
        <v>-3.6183007293325575E-3</v>
      </c>
      <c r="V146" s="1">
        <v>45805</v>
      </c>
      <c r="W146" s="6">
        <f t="shared" si="13"/>
        <v>-8.3837614347895949E-3</v>
      </c>
      <c r="AD146" s="1"/>
      <c r="AE146" s="6"/>
      <c r="AF146" s="6"/>
      <c r="AG146" s="6"/>
      <c r="AV146" s="14"/>
      <c r="AW146" s="14"/>
    </row>
    <row r="147" spans="12:49" x14ac:dyDescent="0.3">
      <c r="L147" s="1">
        <v>45806</v>
      </c>
      <c r="M147" s="3">
        <f>Data!B144</f>
        <v>261.829498291015</v>
      </c>
      <c r="N147" s="3">
        <f>Data!H144</f>
        <v>126.50562286376901</v>
      </c>
      <c r="O147" s="3">
        <f>Data!N144</f>
        <v>43.737548828125</v>
      </c>
      <c r="Q147" s="1">
        <v>45806</v>
      </c>
      <c r="R147" s="4">
        <f t="shared" si="10"/>
        <v>3.3396986178699795E-3</v>
      </c>
      <c r="S147" s="4">
        <f t="shared" si="11"/>
        <v>5.0976381030296558E-3</v>
      </c>
      <c r="T147" s="4">
        <f t="shared" si="12"/>
        <v>4.0854251531570185E-3</v>
      </c>
      <c r="V147" s="1">
        <v>45806</v>
      </c>
      <c r="W147" s="6">
        <f t="shared" si="13"/>
        <v>4.2665923725199615E-3</v>
      </c>
      <c r="AD147" s="1"/>
      <c r="AE147" s="6"/>
      <c r="AF147" s="6"/>
      <c r="AG147" s="6"/>
      <c r="AV147" s="14"/>
      <c r="AW147" s="14"/>
    </row>
    <row r="148" spans="12:49" x14ac:dyDescent="0.3">
      <c r="L148" s="1">
        <v>45807</v>
      </c>
      <c r="M148" s="3">
        <f>Data!B145</f>
        <v>261.46307373046801</v>
      </c>
      <c r="N148" s="3">
        <f>Data!H145</f>
        <v>126.37728881835901</v>
      </c>
      <c r="O148" s="3">
        <f>Data!N145</f>
        <v>43.628795623779297</v>
      </c>
      <c r="Q148" s="1">
        <v>45807</v>
      </c>
      <c r="R148" s="4">
        <f t="shared" si="10"/>
        <v>-1.3994777629666721E-3</v>
      </c>
      <c r="S148" s="4">
        <f t="shared" si="11"/>
        <v>-1.0144532907300219E-3</v>
      </c>
      <c r="T148" s="4">
        <f t="shared" si="12"/>
        <v>-2.4864951799898893E-3</v>
      </c>
      <c r="V148" s="1">
        <v>45807</v>
      </c>
      <c r="W148" s="6">
        <f t="shared" si="13"/>
        <v>-1.5715731991789773E-3</v>
      </c>
      <c r="AD148" s="1"/>
      <c r="AE148" s="6"/>
      <c r="AF148" s="6"/>
      <c r="AG148" s="6"/>
      <c r="AV148" s="14"/>
      <c r="AW148" s="14"/>
    </row>
    <row r="149" spans="12:49" x14ac:dyDescent="0.3">
      <c r="L149" s="1">
        <v>45810</v>
      </c>
      <c r="M149" s="3">
        <f>Data!B146</f>
        <v>262.11672973632801</v>
      </c>
      <c r="N149" s="3">
        <f>Data!H146</f>
        <v>126.74251556396401</v>
      </c>
      <c r="O149" s="3">
        <f>Data!N146</f>
        <v>43.5793647766113</v>
      </c>
      <c r="Q149" s="1">
        <v>45810</v>
      </c>
      <c r="R149" s="4">
        <f t="shared" si="10"/>
        <v>2.499993580484805E-3</v>
      </c>
      <c r="S149" s="4">
        <f t="shared" si="11"/>
        <v>2.8899713628920409E-3</v>
      </c>
      <c r="T149" s="4">
        <f t="shared" si="12"/>
        <v>-1.1329867455945886E-3</v>
      </c>
      <c r="V149" s="1">
        <v>45810</v>
      </c>
      <c r="W149" s="6">
        <f t="shared" si="13"/>
        <v>1.5660905956238814E-3</v>
      </c>
      <c r="AD149" s="1"/>
      <c r="AE149" s="6"/>
      <c r="AF149" s="6"/>
      <c r="AG149" s="6"/>
      <c r="AV149" s="14"/>
      <c r="AW149" s="14"/>
    </row>
    <row r="150" spans="12:49" x14ac:dyDescent="0.3">
      <c r="L150" s="1">
        <v>45811</v>
      </c>
      <c r="M150" s="3">
        <f>Data!B147</f>
        <v>263.71124267578102</v>
      </c>
      <c r="N150" s="3">
        <f>Data!H147</f>
        <v>127.018898010253</v>
      </c>
      <c r="O150" s="3">
        <f>Data!N147</f>
        <v>44.142887115478501</v>
      </c>
      <c r="Q150" s="1">
        <v>45811</v>
      </c>
      <c r="R150" s="4">
        <f t="shared" si="10"/>
        <v>6.0832169738154196E-3</v>
      </c>
      <c r="S150" s="4">
        <f t="shared" si="11"/>
        <v>2.1806608860426291E-3</v>
      </c>
      <c r="T150" s="4">
        <f t="shared" si="12"/>
        <v>1.293094430714703E-2</v>
      </c>
      <c r="V150" s="1">
        <v>45811</v>
      </c>
      <c r="W150" s="6">
        <f t="shared" si="13"/>
        <v>6.5765127387057854E-3</v>
      </c>
      <c r="AD150" s="1"/>
      <c r="AE150" s="6"/>
      <c r="AF150" s="6"/>
      <c r="AG150" s="6"/>
      <c r="AV150" s="14"/>
      <c r="AW150" s="14"/>
    </row>
    <row r="151" spans="12:49" x14ac:dyDescent="0.3">
      <c r="L151" s="1">
        <v>45812</v>
      </c>
      <c r="M151" s="3">
        <f>Data!B148</f>
        <v>261.68096923828102</v>
      </c>
      <c r="N151" s="3">
        <f>Data!H148</f>
        <v>126.50562286376901</v>
      </c>
      <c r="O151" s="3">
        <f>Data!N148</f>
        <v>43.856182098388601</v>
      </c>
      <c r="Q151" s="1">
        <v>45812</v>
      </c>
      <c r="R151" s="4">
        <f t="shared" si="10"/>
        <v>-7.698850518846112E-3</v>
      </c>
      <c r="S151" s="4">
        <f t="shared" si="11"/>
        <v>-4.0409352822645683E-3</v>
      </c>
      <c r="T151" s="4">
        <f t="shared" si="12"/>
        <v>-6.4949312522281089E-3</v>
      </c>
      <c r="V151" s="1">
        <v>45812</v>
      </c>
      <c r="W151" s="6">
        <f t="shared" si="13"/>
        <v>-5.8745086442280933E-3</v>
      </c>
      <c r="AD151" s="1"/>
      <c r="AE151" s="6"/>
      <c r="AF151" s="6"/>
      <c r="AG151" s="6"/>
      <c r="AV151" s="14"/>
      <c r="AW151" s="14"/>
    </row>
    <row r="152" spans="12:49" x14ac:dyDescent="0.3">
      <c r="L152" s="1">
        <v>45813</v>
      </c>
      <c r="M152" s="3">
        <f>Data!B149</f>
        <v>259.43280029296801</v>
      </c>
      <c r="N152" s="3">
        <f>Data!H149</f>
        <v>128.93385314941401</v>
      </c>
      <c r="O152" s="3">
        <f>Data!N149</f>
        <v>43.875957489013601</v>
      </c>
      <c r="Q152" s="1">
        <v>45813</v>
      </c>
      <c r="R152" s="4">
        <f t="shared" si="10"/>
        <v>-8.591258859431572E-3</v>
      </c>
      <c r="S152" s="4">
        <f t="shared" si="11"/>
        <v>1.919464313661301E-2</v>
      </c>
      <c r="T152" s="4">
        <f t="shared" si="12"/>
        <v>4.5091455021406546E-4</v>
      </c>
      <c r="V152" s="1">
        <v>45813</v>
      </c>
      <c r="W152" s="6">
        <f t="shared" si="13"/>
        <v>5.2357539618799517E-3</v>
      </c>
      <c r="AD152" s="1"/>
      <c r="AE152" s="6"/>
      <c r="AF152" s="6"/>
      <c r="AG152" s="6"/>
      <c r="AV152" s="14"/>
      <c r="AW152" s="14"/>
    </row>
    <row r="153" spans="12:49" x14ac:dyDescent="0.3">
      <c r="L153" s="1">
        <v>45814</v>
      </c>
      <c r="M153" s="3">
        <f>Data!B150</f>
        <v>263.17645263671801</v>
      </c>
      <c r="N153" s="3">
        <f>Data!H150</f>
        <v>130.11837768554599</v>
      </c>
      <c r="O153" s="3">
        <f>Data!N150</f>
        <v>44.7212524414062</v>
      </c>
      <c r="Q153" s="1">
        <v>45814</v>
      </c>
      <c r="R153" s="4">
        <f t="shared" si="10"/>
        <v>1.443014275574428E-2</v>
      </c>
      <c r="S153" s="4">
        <f t="shared" si="11"/>
        <v>9.1870715657531576E-3</v>
      </c>
      <c r="T153" s="4">
        <f t="shared" si="12"/>
        <v>1.9265561386421215E-2</v>
      </c>
      <c r="V153" s="1">
        <v>45814</v>
      </c>
      <c r="W153" s="6">
        <f t="shared" si="13"/>
        <v>1.3783539868950912E-2</v>
      </c>
      <c r="AD153" s="1"/>
      <c r="AE153" s="6"/>
      <c r="AF153" s="6"/>
      <c r="AG153" s="6"/>
      <c r="AV153" s="14"/>
      <c r="AW153" s="14"/>
    </row>
    <row r="154" spans="12:49" x14ac:dyDescent="0.3">
      <c r="L154" s="1">
        <v>45817</v>
      </c>
      <c r="M154" s="3">
        <f>Data!B151</f>
        <v>264.17672729492102</v>
      </c>
      <c r="N154" s="3">
        <f>Data!H151</f>
        <v>130.24668884277301</v>
      </c>
      <c r="O154" s="3">
        <f>Data!N151</f>
        <v>44.621803283691399</v>
      </c>
      <c r="Q154" s="1">
        <v>45817</v>
      </c>
      <c r="R154" s="4">
        <f t="shared" si="10"/>
        <v>3.8007756703970497E-3</v>
      </c>
      <c r="S154" s="4">
        <f t="shared" si="11"/>
        <v>9.8611095149903072E-4</v>
      </c>
      <c r="T154" s="4">
        <f t="shared" si="12"/>
        <v>-2.2237560954961877E-3</v>
      </c>
      <c r="V154" s="1">
        <v>45817</v>
      </c>
      <c r="W154" s="6">
        <f t="shared" si="13"/>
        <v>8.6755025306987086E-4</v>
      </c>
      <c r="AD154" s="1"/>
      <c r="AE154" s="6"/>
      <c r="AF154" s="6"/>
      <c r="AG154" s="6"/>
      <c r="AV154" s="14"/>
      <c r="AW154" s="14"/>
    </row>
    <row r="155" spans="12:49" x14ac:dyDescent="0.3">
      <c r="L155" s="1">
        <v>45818</v>
      </c>
      <c r="M155" s="3">
        <f>Data!B152</f>
        <v>266.01885986328102</v>
      </c>
      <c r="N155" s="3">
        <f>Data!H152</f>
        <v>130.11837768554599</v>
      </c>
      <c r="O155" s="3">
        <f>Data!N152</f>
        <v>44.840587615966797</v>
      </c>
      <c r="Q155" s="1">
        <v>45818</v>
      </c>
      <c r="R155" s="4">
        <f t="shared" si="10"/>
        <v>6.9731069319496353E-3</v>
      </c>
      <c r="S155" s="4">
        <f t="shared" si="11"/>
        <v>-9.8513949465472983E-4</v>
      </c>
      <c r="T155" s="4">
        <f t="shared" si="12"/>
        <v>4.9030813677437557E-3</v>
      </c>
      <c r="V155" s="1">
        <v>45818</v>
      </c>
      <c r="W155" s="6">
        <f t="shared" si="13"/>
        <v>3.1688006920461255E-3</v>
      </c>
      <c r="AD155" s="1"/>
      <c r="AE155" s="6"/>
      <c r="AF155" s="6"/>
      <c r="AG155" s="6"/>
      <c r="AV155" s="14"/>
      <c r="AW155" s="14"/>
    </row>
    <row r="156" spans="12:49" x14ac:dyDescent="0.3">
      <c r="L156" s="1">
        <v>45819</v>
      </c>
      <c r="M156" s="3">
        <f>Data!B153</f>
        <v>265.57318115234301</v>
      </c>
      <c r="N156" s="3">
        <f>Data!H153</f>
        <v>130.10848999023401</v>
      </c>
      <c r="O156" s="3">
        <f>Data!N153</f>
        <v>44.482578277587798</v>
      </c>
      <c r="Q156" s="1">
        <v>45819</v>
      </c>
      <c r="R156" s="4">
        <f t="shared" si="10"/>
        <v>-1.675365089404024E-3</v>
      </c>
      <c r="S156" s="4">
        <f t="shared" si="11"/>
        <v>-7.5989998398862113E-5</v>
      </c>
      <c r="T156" s="4">
        <f t="shared" si="12"/>
        <v>-7.9840465393794524E-3</v>
      </c>
      <c r="V156" s="1">
        <v>45819</v>
      </c>
      <c r="W156" s="6">
        <f t="shared" si="13"/>
        <v>-2.928219487994588E-3</v>
      </c>
      <c r="AD156" s="1"/>
      <c r="AE156" s="6"/>
      <c r="AF156" s="6"/>
      <c r="AG156" s="6"/>
      <c r="AV156" s="14"/>
      <c r="AW156" s="14"/>
    </row>
    <row r="157" spans="12:49" x14ac:dyDescent="0.3">
      <c r="L157" s="1">
        <v>45820</v>
      </c>
      <c r="M157" s="3">
        <f>Data!B154</f>
        <v>265.66229248046801</v>
      </c>
      <c r="N157" s="3">
        <f>Data!H154</f>
        <v>130.21707153320301</v>
      </c>
      <c r="O157" s="3">
        <f>Data!N154</f>
        <v>44.3731880187988</v>
      </c>
      <c r="Q157" s="1">
        <v>45820</v>
      </c>
      <c r="R157" s="4">
        <f t="shared" si="10"/>
        <v>3.3554339989572135E-4</v>
      </c>
      <c r="S157" s="4">
        <f t="shared" si="11"/>
        <v>8.3454617740286174E-4</v>
      </c>
      <c r="T157" s="4">
        <f t="shared" si="12"/>
        <v>-2.4591708265281342E-3</v>
      </c>
      <c r="V157" s="1">
        <v>45820</v>
      </c>
      <c r="W157" s="6">
        <f t="shared" si="13"/>
        <v>-3.0326975702857915E-4</v>
      </c>
      <c r="AD157" s="1"/>
      <c r="AE157" s="6"/>
      <c r="AF157" s="6"/>
      <c r="AG157" s="6"/>
      <c r="AV157" s="14"/>
      <c r="AW157" s="14"/>
    </row>
    <row r="158" spans="12:49" x14ac:dyDescent="0.3">
      <c r="L158" s="1">
        <v>45821</v>
      </c>
      <c r="M158" s="3">
        <f>Data!B155</f>
        <v>262.40396118164</v>
      </c>
      <c r="N158" s="3">
        <f>Data!H155</f>
        <v>127.81845092773401</v>
      </c>
      <c r="O158" s="3">
        <f>Data!N155</f>
        <v>43.846118927001903</v>
      </c>
      <c r="Q158" s="1">
        <v>45821</v>
      </c>
      <c r="R158" s="4">
        <f t="shared" si="10"/>
        <v>-1.2264937068807269E-2</v>
      </c>
      <c r="S158" s="4">
        <f t="shared" si="11"/>
        <v>-1.8420170083900289E-2</v>
      </c>
      <c r="T158" s="4">
        <f t="shared" si="12"/>
        <v>-1.1878098359162315E-2</v>
      </c>
      <c r="V158" s="1">
        <v>45821</v>
      </c>
      <c r="W158" s="6">
        <f t="shared" si="13"/>
        <v>-1.4610978661950991E-2</v>
      </c>
      <c r="AD158" s="1"/>
      <c r="AE158" s="6"/>
      <c r="AF158" s="6"/>
      <c r="AG158" s="6"/>
      <c r="AV158" s="14"/>
      <c r="AW158" s="14"/>
    </row>
    <row r="159" spans="12:49" x14ac:dyDescent="0.3">
      <c r="L159" s="1">
        <v>45824</v>
      </c>
      <c r="M159" s="3">
        <f>Data!B156</f>
        <v>267.76193237304602</v>
      </c>
      <c r="N159" s="3">
        <f>Data!H156</f>
        <v>129.21023559570301</v>
      </c>
      <c r="O159" s="3">
        <f>Data!N156</f>
        <v>44.164348602294901</v>
      </c>
      <c r="Q159" s="1">
        <v>45824</v>
      </c>
      <c r="R159" s="4">
        <f t="shared" si="10"/>
        <v>2.0418789286862804E-2</v>
      </c>
      <c r="S159" s="4">
        <f t="shared" si="11"/>
        <v>1.0888761816992165E-2</v>
      </c>
      <c r="T159" s="4">
        <f t="shared" si="12"/>
        <v>7.257875567568739E-3</v>
      </c>
      <c r="V159" s="1">
        <v>45824</v>
      </c>
      <c r="W159" s="6">
        <f t="shared" si="13"/>
        <v>1.2658504183126328E-2</v>
      </c>
      <c r="AD159" s="1"/>
      <c r="AE159" s="6"/>
      <c r="AF159" s="6"/>
      <c r="AG159" s="6"/>
      <c r="AV159" s="14"/>
      <c r="AW159" s="14"/>
    </row>
    <row r="160" spans="12:49" x14ac:dyDescent="0.3">
      <c r="L160" s="1">
        <v>45825</v>
      </c>
      <c r="M160" s="3">
        <f>Data!B157</f>
        <v>266.93002319335898</v>
      </c>
      <c r="N160" s="3">
        <f>Data!H157</f>
        <v>128.41069030761699</v>
      </c>
      <c r="O160" s="3">
        <f>Data!N157</f>
        <v>43.985343933105398</v>
      </c>
      <c r="Q160" s="1">
        <v>45825</v>
      </c>
      <c r="R160" s="4">
        <f t="shared" si="10"/>
        <v>-3.1068986256345132E-3</v>
      </c>
      <c r="S160" s="4">
        <f t="shared" si="11"/>
        <v>-6.1879407958653765E-3</v>
      </c>
      <c r="T160" s="4">
        <f t="shared" si="12"/>
        <v>-4.0531486335609879E-3</v>
      </c>
      <c r="V160" s="1">
        <v>45825</v>
      </c>
      <c r="W160" s="6">
        <f t="shared" si="13"/>
        <v>-4.6231904961048006E-3</v>
      </c>
      <c r="AD160" s="1"/>
      <c r="AE160" s="6"/>
      <c r="AF160" s="6"/>
      <c r="AG160" s="6"/>
      <c r="AV160" s="14"/>
      <c r="AW160" s="14"/>
    </row>
    <row r="161" spans="12:49" x14ac:dyDescent="0.3">
      <c r="L161" s="1">
        <v>45826</v>
      </c>
      <c r="M161" s="3">
        <f>Data!B158</f>
        <v>271.32736206054602</v>
      </c>
      <c r="N161" s="3">
        <f>Data!H158</f>
        <v>130.80934143066401</v>
      </c>
      <c r="O161" s="3">
        <f>Data!N158</f>
        <v>44.810756683349602</v>
      </c>
      <c r="Q161" s="1">
        <v>45826</v>
      </c>
      <c r="R161" s="4">
        <f t="shared" si="10"/>
        <v>1.6473751489549437E-2</v>
      </c>
      <c r="S161" s="4">
        <f t="shared" si="11"/>
        <v>1.8679528295509229E-2</v>
      </c>
      <c r="T161" s="4">
        <f t="shared" si="12"/>
        <v>1.8765631377113401E-2</v>
      </c>
      <c r="V161" s="1">
        <v>45826</v>
      </c>
      <c r="W161" s="6">
        <f t="shared" si="13"/>
        <v>1.8043626178202543E-2</v>
      </c>
      <c r="AD161" s="1"/>
      <c r="AE161" s="6"/>
      <c r="AF161" s="6"/>
      <c r="AG161" s="6"/>
      <c r="AV161" s="14"/>
      <c r="AW161" s="14"/>
    </row>
    <row r="162" spans="12:49" x14ac:dyDescent="0.3">
      <c r="L162" s="1">
        <v>45828</v>
      </c>
      <c r="M162" s="3">
        <f>Data!B159</f>
        <v>272.35736083984301</v>
      </c>
      <c r="N162" s="3">
        <f>Data!H159</f>
        <v>130.99688720703099</v>
      </c>
      <c r="O162" s="3">
        <f>Data!N159</f>
        <v>45.248321533203097</v>
      </c>
      <c r="Q162" s="1">
        <v>45828</v>
      </c>
      <c r="R162" s="4">
        <f t="shared" si="10"/>
        <v>3.7961478395500681E-3</v>
      </c>
      <c r="S162" s="4">
        <f t="shared" si="11"/>
        <v>1.433733816834426E-3</v>
      </c>
      <c r="T162" s="4">
        <f t="shared" si="12"/>
        <v>9.7647279858605884E-3</v>
      </c>
      <c r="V162" s="1">
        <v>45828</v>
      </c>
      <c r="W162" s="6">
        <f t="shared" si="13"/>
        <v>4.6417562743569672E-3</v>
      </c>
      <c r="AD162" s="1"/>
      <c r="AE162" s="6"/>
      <c r="AF162" s="6"/>
      <c r="AG162" s="6"/>
      <c r="AV162" s="14"/>
      <c r="AW162" s="14"/>
    </row>
    <row r="163" spans="12:49" x14ac:dyDescent="0.3">
      <c r="L163" s="1">
        <v>45831</v>
      </c>
      <c r="M163" s="3">
        <f>Data!B160</f>
        <v>275.59591674804602</v>
      </c>
      <c r="N163" s="3">
        <f>Data!H160</f>
        <v>132.27023315429599</v>
      </c>
      <c r="O163" s="3">
        <f>Data!N160</f>
        <v>46.043895721435497</v>
      </c>
      <c r="Q163" s="1">
        <v>45831</v>
      </c>
      <c r="R163" s="4">
        <f t="shared" si="10"/>
        <v>1.1890833051901195E-2</v>
      </c>
      <c r="S163" s="4">
        <f t="shared" si="11"/>
        <v>9.7204290454060427E-3</v>
      </c>
      <c r="T163" s="4">
        <f t="shared" si="12"/>
        <v>1.7582402203551561E-2</v>
      </c>
      <c r="V163" s="1">
        <v>45831</v>
      </c>
      <c r="W163" s="6">
        <f t="shared" si="13"/>
        <v>1.2730142194798243E-2</v>
      </c>
      <c r="AD163" s="1"/>
      <c r="AE163" s="6"/>
      <c r="AF163" s="6"/>
      <c r="AG163" s="6"/>
      <c r="AV163" s="14"/>
      <c r="AW163" s="14"/>
    </row>
    <row r="164" spans="12:49" x14ac:dyDescent="0.3">
      <c r="L164" s="1">
        <v>45832</v>
      </c>
      <c r="M164" s="3">
        <f>Data!B161</f>
        <v>278.55722045898398</v>
      </c>
      <c r="N164" s="3">
        <f>Data!H161</f>
        <v>134.14569091796801</v>
      </c>
      <c r="O164" s="3">
        <f>Data!N161</f>
        <v>46.401905059814403</v>
      </c>
      <c r="Q164" s="1">
        <v>45832</v>
      </c>
      <c r="R164" s="4">
        <f t="shared" si="10"/>
        <v>1.0745092836935033E-2</v>
      </c>
      <c r="S164" s="4">
        <f t="shared" si="11"/>
        <v>1.4178985845471725E-2</v>
      </c>
      <c r="T164" s="4">
        <f t="shared" si="12"/>
        <v>7.7753919986451869E-3</v>
      </c>
      <c r="V164" s="1">
        <v>45832</v>
      </c>
      <c r="W164" s="6">
        <f t="shared" si="13"/>
        <v>1.1227739788862757E-2</v>
      </c>
      <c r="AD164" s="1"/>
      <c r="AE164" s="6"/>
      <c r="AF164" s="6"/>
      <c r="AG164" s="6"/>
      <c r="AV164" s="14"/>
      <c r="AW164" s="14"/>
    </row>
    <row r="165" spans="12:49" x14ac:dyDescent="0.3">
      <c r="L165" s="1">
        <v>45833</v>
      </c>
      <c r="M165" s="3">
        <f>Data!B162</f>
        <v>281.33029174804602</v>
      </c>
      <c r="N165" s="3">
        <f>Data!H162</f>
        <v>135.94219970703099</v>
      </c>
      <c r="O165" s="3">
        <f>Data!N162</f>
        <v>46.590850830078097</v>
      </c>
      <c r="Q165" s="1">
        <v>45833</v>
      </c>
      <c r="R165" s="4">
        <f t="shared" si="10"/>
        <v>9.9551226297160955E-3</v>
      </c>
      <c r="S165" s="4">
        <f t="shared" si="11"/>
        <v>1.3392221373413893E-2</v>
      </c>
      <c r="T165" s="4">
        <f t="shared" si="12"/>
        <v>4.0719399347963758E-3</v>
      </c>
      <c r="V165" s="1">
        <v>45833</v>
      </c>
      <c r="W165" s="6">
        <f t="shared" si="13"/>
        <v>9.5650073187192996E-3</v>
      </c>
      <c r="AD165" s="1"/>
      <c r="AE165" s="6"/>
      <c r="AF165" s="6"/>
      <c r="AG165" s="6"/>
      <c r="AV165" s="14"/>
      <c r="AW165" s="14"/>
    </row>
    <row r="166" spans="12:49" x14ac:dyDescent="0.3">
      <c r="L166" s="1">
        <v>45834</v>
      </c>
      <c r="M166" s="3">
        <f>Data!B163</f>
        <v>285.97525024414</v>
      </c>
      <c r="N166" s="3">
        <f>Data!H163</f>
        <v>137.94599914550699</v>
      </c>
      <c r="O166" s="3">
        <f>Data!N163</f>
        <v>47.197479248046797</v>
      </c>
      <c r="Q166" s="1">
        <v>45834</v>
      </c>
      <c r="R166" s="4">
        <f t="shared" si="10"/>
        <v>1.6510694483813149E-2</v>
      </c>
      <c r="S166" s="4">
        <f t="shared" si="11"/>
        <v>1.4740083967998086E-2</v>
      </c>
      <c r="T166" s="4">
        <f t="shared" si="12"/>
        <v>1.3020333545337825E-2</v>
      </c>
      <c r="V166" s="1">
        <v>45834</v>
      </c>
      <c r="W166" s="6">
        <f t="shared" si="13"/>
        <v>1.4755341995944526E-2</v>
      </c>
      <c r="AD166" s="1"/>
      <c r="AE166" s="6"/>
      <c r="AF166" s="6"/>
      <c r="AG166" s="6"/>
      <c r="AV166" s="14"/>
      <c r="AW166" s="14"/>
    </row>
    <row r="167" spans="12:49" x14ac:dyDescent="0.3">
      <c r="L167" s="1">
        <v>45835</v>
      </c>
      <c r="M167" s="3">
        <f>Data!B164</f>
        <v>284.350982666015</v>
      </c>
      <c r="N167" s="3">
        <f>Data!H164</f>
        <v>138.87388610839801</v>
      </c>
      <c r="O167" s="3">
        <f>Data!N164</f>
        <v>46.859359741210902</v>
      </c>
      <c r="Q167" s="1">
        <v>45835</v>
      </c>
      <c r="R167" s="4">
        <f t="shared" si="10"/>
        <v>-5.6797487780441136E-3</v>
      </c>
      <c r="S167" s="4">
        <f t="shared" si="11"/>
        <v>6.7264507027295917E-3</v>
      </c>
      <c r="T167" s="4">
        <f t="shared" si="12"/>
        <v>-7.1639314688588529E-3</v>
      </c>
      <c r="V167" s="1">
        <v>45835</v>
      </c>
      <c r="W167" s="6">
        <f t="shared" si="13"/>
        <v>-1.162523792979053E-3</v>
      </c>
      <c r="AD167" s="1"/>
      <c r="AE167" s="6"/>
      <c r="AF167" s="6"/>
      <c r="AG167" s="6"/>
      <c r="AV167" s="14"/>
      <c r="AW167" s="14"/>
    </row>
    <row r="168" spans="12:49" x14ac:dyDescent="0.3">
      <c r="L168" s="1">
        <v>45838</v>
      </c>
      <c r="M168" s="3">
        <f>Data!B165</f>
        <v>287.12408447265602</v>
      </c>
      <c r="N168" s="3">
        <f>Data!H165</f>
        <v>139.04167175292901</v>
      </c>
      <c r="O168" s="3">
        <f>Data!N165</f>
        <v>47.058254241943303</v>
      </c>
      <c r="Q168" s="1">
        <v>45838</v>
      </c>
      <c r="R168" s="4">
        <f t="shared" si="10"/>
        <v>9.7523904459235755E-3</v>
      </c>
      <c r="S168" s="4">
        <f t="shared" si="11"/>
        <v>1.2081871490225993E-3</v>
      </c>
      <c r="T168" s="4">
        <f t="shared" si="12"/>
        <v>4.2444988969296826E-3</v>
      </c>
      <c r="V168" s="1">
        <v>45838</v>
      </c>
      <c r="W168" s="6">
        <f t="shared" si="13"/>
        <v>4.6823416624650173E-3</v>
      </c>
      <c r="AD168" s="1"/>
      <c r="AE168" s="6"/>
      <c r="AF168" s="6"/>
      <c r="AG168" s="6"/>
      <c r="AV168" s="14"/>
      <c r="AW168" s="14"/>
    </row>
    <row r="169" spans="12:49" x14ac:dyDescent="0.3">
      <c r="L169" s="1">
        <v>45839</v>
      </c>
      <c r="M169" s="3">
        <f>Data!B166</f>
        <v>287.61929321289</v>
      </c>
      <c r="N169" s="3">
        <f>Data!H166</f>
        <v>139.24897766113199</v>
      </c>
      <c r="O169" s="3">
        <f>Data!N166</f>
        <v>47.883663177490199</v>
      </c>
      <c r="Q169" s="1">
        <v>45839</v>
      </c>
      <c r="R169" s="4">
        <f t="shared" si="10"/>
        <v>1.7247203108841092E-3</v>
      </c>
      <c r="S169" s="4">
        <f t="shared" si="11"/>
        <v>1.4909624257923859E-3</v>
      </c>
      <c r="T169" s="4">
        <f t="shared" si="12"/>
        <v>1.7540152069882797E-2</v>
      </c>
      <c r="V169" s="1">
        <v>45839</v>
      </c>
      <c r="W169" s="6">
        <f t="shared" si="13"/>
        <v>6.375846684547026E-3</v>
      </c>
      <c r="AD169" s="1"/>
      <c r="AE169" s="6"/>
      <c r="AF169" s="6"/>
      <c r="AG169" s="6"/>
      <c r="AV169" s="14"/>
      <c r="AW169" s="14"/>
    </row>
    <row r="170" spans="12:49" x14ac:dyDescent="0.3">
      <c r="L170" s="1">
        <v>45840</v>
      </c>
      <c r="M170" s="3">
        <f>Data!B167</f>
        <v>289.19403076171801</v>
      </c>
      <c r="N170" s="3">
        <f>Data!H167</f>
        <v>141.015853881835</v>
      </c>
      <c r="O170" s="3">
        <f>Data!N167</f>
        <v>48.440563201904297</v>
      </c>
      <c r="Q170" s="1">
        <v>45840</v>
      </c>
      <c r="R170" s="4">
        <f t="shared" si="10"/>
        <v>5.4750762065964853E-3</v>
      </c>
      <c r="S170" s="4">
        <f t="shared" si="11"/>
        <v>1.2688611797228244E-2</v>
      </c>
      <c r="T170" s="4">
        <f t="shared" si="12"/>
        <v>1.1630271943686488E-2</v>
      </c>
      <c r="V170" s="1">
        <v>45840</v>
      </c>
      <c r="W170" s="6">
        <f t="shared" si="13"/>
        <v>1.020704916397619E-2</v>
      </c>
      <c r="AD170" s="1"/>
      <c r="AE170" s="6"/>
      <c r="AF170" s="6"/>
      <c r="AG170" s="6"/>
      <c r="AV170" s="14"/>
      <c r="AW170" s="14"/>
    </row>
    <row r="171" spans="12:49" x14ac:dyDescent="0.3">
      <c r="L171" s="1">
        <v>45841</v>
      </c>
      <c r="M171" s="3">
        <f>Data!B168</f>
        <v>294.56787109375</v>
      </c>
      <c r="N171" s="3">
        <f>Data!H168</f>
        <v>142.27932739257801</v>
      </c>
      <c r="O171" s="3">
        <f>Data!N168</f>
        <v>48.659347534179602</v>
      </c>
      <c r="Q171" s="1">
        <v>45841</v>
      </c>
      <c r="R171" s="4">
        <f t="shared" si="10"/>
        <v>1.8582127431460593E-2</v>
      </c>
      <c r="S171" s="4">
        <f t="shared" si="11"/>
        <v>8.9597976111377431E-3</v>
      </c>
      <c r="T171" s="4">
        <f t="shared" si="12"/>
        <v>4.5165521995149671E-3</v>
      </c>
      <c r="V171" s="1">
        <v>45841</v>
      </c>
      <c r="W171" s="6">
        <f t="shared" si="13"/>
        <v>1.0513522933747764E-2</v>
      </c>
      <c r="AD171" s="1"/>
      <c r="AE171" s="6"/>
      <c r="AF171" s="6"/>
      <c r="AG171" s="6"/>
      <c r="AV171" s="14"/>
      <c r="AW171" s="14"/>
    </row>
    <row r="172" spans="12:49" x14ac:dyDescent="0.3">
      <c r="L172" s="1">
        <v>45845</v>
      </c>
      <c r="M172" s="3">
        <f>Data!B169</f>
        <v>290.557373046875</v>
      </c>
      <c r="N172" s="3">
        <f>Data!H169</f>
        <v>141.884506225585</v>
      </c>
      <c r="O172" s="3">
        <f>Data!N169</f>
        <v>48.390838623046797</v>
      </c>
      <c r="Q172" s="1">
        <v>45845</v>
      </c>
      <c r="R172" s="4">
        <f t="shared" si="10"/>
        <v>-1.36148522647217E-2</v>
      </c>
      <c r="S172" s="4">
        <f t="shared" si="11"/>
        <v>-2.774972121590169E-3</v>
      </c>
      <c r="T172" s="4">
        <f t="shared" si="12"/>
        <v>-5.5181362829453962E-3</v>
      </c>
      <c r="V172" s="1">
        <v>45845</v>
      </c>
      <c r="W172" s="6">
        <f t="shared" si="13"/>
        <v>-6.8498854129361965E-3</v>
      </c>
      <c r="AD172" s="1"/>
      <c r="AE172" s="6"/>
      <c r="AF172" s="6"/>
      <c r="AG172" s="6"/>
      <c r="AV172" s="14"/>
      <c r="AW172" s="14"/>
    </row>
    <row r="173" spans="12:49" x14ac:dyDescent="0.3">
      <c r="L173" s="1">
        <v>45846</v>
      </c>
      <c r="M173" s="3">
        <f>Data!B170</f>
        <v>281.41183471679602</v>
      </c>
      <c r="N173" s="3">
        <f>Data!H170</f>
        <v>139.30819702148401</v>
      </c>
      <c r="O173" s="3">
        <f>Data!N170</f>
        <v>46.889194488525298</v>
      </c>
      <c r="Q173" s="1">
        <v>45846</v>
      </c>
      <c r="R173" s="4">
        <f t="shared" si="10"/>
        <v>-3.1475843253179314E-2</v>
      </c>
      <c r="S173" s="4">
        <f t="shared" si="11"/>
        <v>-1.8157790957138542E-2</v>
      </c>
      <c r="T173" s="4">
        <f t="shared" si="12"/>
        <v>-3.1031579060221581E-2</v>
      </c>
      <c r="V173" s="1">
        <v>45846</v>
      </c>
      <c r="W173" s="6">
        <f t="shared" si="13"/>
        <v>-2.6015343076875683E-2</v>
      </c>
      <c r="AD173" s="1"/>
      <c r="AE173" s="6"/>
      <c r="AF173" s="6"/>
      <c r="AG173" s="6"/>
      <c r="AV173" s="14"/>
      <c r="AW173" s="14"/>
    </row>
    <row r="174" spans="12:49" x14ac:dyDescent="0.3">
      <c r="L174" s="1">
        <v>45847</v>
      </c>
      <c r="M174" s="3">
        <f>Data!B171</f>
        <v>281.79000854492102</v>
      </c>
      <c r="N174" s="3">
        <f>Data!H171</f>
        <v>139.72277832031199</v>
      </c>
      <c r="O174" s="3">
        <f>Data!N171</f>
        <v>46.580909729003899</v>
      </c>
      <c r="Q174" s="1">
        <v>45847</v>
      </c>
      <c r="R174" s="4">
        <f t="shared" si="10"/>
        <v>1.3438447906981565E-3</v>
      </c>
      <c r="S174" s="4">
        <f t="shared" si="11"/>
        <v>2.9760007500783114E-3</v>
      </c>
      <c r="T174" s="4">
        <f t="shared" si="12"/>
        <v>-6.5747505983887455E-3</v>
      </c>
      <c r="V174" s="1">
        <v>45847</v>
      </c>
      <c r="W174" s="6">
        <f t="shared" si="13"/>
        <v>-3.7887144227585203E-4</v>
      </c>
      <c r="AD174" s="1"/>
      <c r="AE174" s="6"/>
      <c r="AF174" s="6"/>
      <c r="AG174" s="6"/>
      <c r="AV174" s="14"/>
      <c r="AW174" s="14"/>
    </row>
    <row r="175" spans="12:49" x14ac:dyDescent="0.3">
      <c r="L175" s="1">
        <v>45848</v>
      </c>
      <c r="M175" s="3">
        <f>Data!B172</f>
        <v>286.79568481445301</v>
      </c>
      <c r="N175" s="3">
        <f>Data!H172</f>
        <v>141.24288940429599</v>
      </c>
      <c r="O175" s="3">
        <f>Data!N172</f>
        <v>46.710189819335902</v>
      </c>
      <c r="Q175" s="1">
        <v>45848</v>
      </c>
      <c r="R175" s="4">
        <f t="shared" si="10"/>
        <v>1.776385293211713E-2</v>
      </c>
      <c r="S175" s="4">
        <f t="shared" si="11"/>
        <v>1.0879479368061107E-2</v>
      </c>
      <c r="T175" s="4">
        <f t="shared" si="12"/>
        <v>2.7753878377241303E-3</v>
      </c>
      <c r="V175" s="1">
        <v>45848</v>
      </c>
      <c r="W175" s="6">
        <f t="shared" si="13"/>
        <v>1.0513563978176819E-2</v>
      </c>
      <c r="AD175" s="1"/>
      <c r="AE175" s="6"/>
      <c r="AF175" s="6"/>
      <c r="AG175" s="6"/>
      <c r="AV175" s="14"/>
      <c r="AW175" s="14"/>
    </row>
    <row r="176" spans="12:49" x14ac:dyDescent="0.3">
      <c r="L176" s="1">
        <v>45849</v>
      </c>
      <c r="M176" s="3">
        <f>Data!B173</f>
        <v>285.472076416015</v>
      </c>
      <c r="N176" s="3">
        <f>Data!H173</f>
        <v>140.44334411621</v>
      </c>
      <c r="O176" s="3">
        <f>Data!N173</f>
        <v>46.4715156555175</v>
      </c>
      <c r="Q176" s="1">
        <v>45849</v>
      </c>
      <c r="R176" s="4">
        <f t="shared" si="10"/>
        <v>-4.615161484365915E-3</v>
      </c>
      <c r="S176" s="4">
        <f t="shared" si="11"/>
        <v>-5.6607825813967949E-3</v>
      </c>
      <c r="T176" s="4">
        <f t="shared" si="12"/>
        <v>-5.1096808799436788E-3</v>
      </c>
      <c r="V176" s="1">
        <v>45849</v>
      </c>
      <c r="W176" s="6">
        <f t="shared" si="13"/>
        <v>-5.1817657418515963E-3</v>
      </c>
      <c r="AD176" s="1"/>
      <c r="AE176" s="6"/>
      <c r="AF176" s="6"/>
      <c r="AG176" s="6"/>
      <c r="AV176" s="14"/>
      <c r="AW176" s="14"/>
    </row>
    <row r="177" spans="12:49" x14ac:dyDescent="0.3">
      <c r="L177" s="1">
        <v>45852</v>
      </c>
      <c r="M177" s="3">
        <f>Data!B174</f>
        <v>287.30322265625</v>
      </c>
      <c r="N177" s="3">
        <f>Data!H174</f>
        <v>142.11152648925699</v>
      </c>
      <c r="O177" s="3">
        <f>Data!N174</f>
        <v>46.809635162353501</v>
      </c>
      <c r="Q177" s="1">
        <v>45852</v>
      </c>
      <c r="R177" s="4">
        <f t="shared" si="10"/>
        <v>6.4144495784816957E-3</v>
      </c>
      <c r="S177" s="4">
        <f t="shared" si="11"/>
        <v>1.1877973880105364E-2</v>
      </c>
      <c r="T177" s="4">
        <f t="shared" si="12"/>
        <v>7.2758441825397924E-3</v>
      </c>
      <c r="V177" s="1">
        <v>45852</v>
      </c>
      <c r="W177" s="6">
        <f t="shared" si="13"/>
        <v>8.8582776803485929E-3</v>
      </c>
      <c r="AD177" s="1"/>
      <c r="AE177" s="6"/>
      <c r="AF177" s="6"/>
      <c r="AG177" s="6"/>
      <c r="AV177" s="14"/>
      <c r="AW177" s="14"/>
    </row>
    <row r="178" spans="12:49" x14ac:dyDescent="0.3">
      <c r="L178" s="1">
        <v>45853</v>
      </c>
      <c r="M178" s="3">
        <f>Data!B175</f>
        <v>285.16360473632801</v>
      </c>
      <c r="N178" s="3">
        <f>Data!H175</f>
        <v>139.76225280761699</v>
      </c>
      <c r="O178" s="3">
        <f>Data!N175</f>
        <v>45.894725799560497</v>
      </c>
      <c r="Q178" s="1">
        <v>45853</v>
      </c>
      <c r="R178" s="4">
        <f t="shared" si="10"/>
        <v>-7.4472465019370659E-3</v>
      </c>
      <c r="S178" s="4">
        <f t="shared" si="11"/>
        <v>-1.65311972904435E-2</v>
      </c>
      <c r="T178" s="4">
        <f t="shared" si="12"/>
        <v>-1.9545321377100078E-2</v>
      </c>
      <c r="V178" s="1">
        <v>45853</v>
      </c>
      <c r="W178" s="6">
        <f t="shared" si="13"/>
        <v>-1.4710249279888541E-2</v>
      </c>
      <c r="AD178" s="1"/>
      <c r="AE178" s="6"/>
      <c r="AF178" s="6"/>
      <c r="AG178" s="6"/>
      <c r="AV178" s="14"/>
      <c r="AW178" s="14"/>
    </row>
    <row r="179" spans="12:49" x14ac:dyDescent="0.3">
      <c r="L179" s="1">
        <v>45854</v>
      </c>
      <c r="M179" s="3">
        <f>Data!B176</f>
        <v>284.43713378906199</v>
      </c>
      <c r="N179" s="3">
        <f>Data!H176</f>
        <v>137.98548889160099</v>
      </c>
      <c r="O179" s="3">
        <f>Data!N176</f>
        <v>45.775386810302699</v>
      </c>
      <c r="Q179" s="1">
        <v>45854</v>
      </c>
      <c r="R179" s="4">
        <f t="shared" si="10"/>
        <v>-2.5475584373318982E-3</v>
      </c>
      <c r="S179" s="4">
        <f t="shared" si="11"/>
        <v>-1.2712759563640597E-2</v>
      </c>
      <c r="T179" s="4">
        <f t="shared" si="12"/>
        <v>-2.6002767677270056E-3</v>
      </c>
      <c r="V179" s="1">
        <v>45854</v>
      </c>
      <c r="W179" s="6">
        <f t="shared" si="13"/>
        <v>-6.6294543869739094E-3</v>
      </c>
      <c r="AD179" s="1"/>
      <c r="AE179" s="6"/>
      <c r="AF179" s="6"/>
      <c r="AG179" s="6"/>
      <c r="AV179" s="14"/>
      <c r="AW179" s="14"/>
    </row>
    <row r="180" spans="12:49" x14ac:dyDescent="0.3">
      <c r="L180" s="1">
        <v>45855</v>
      </c>
      <c r="M180" s="3">
        <f>Data!B177</f>
        <v>288.49740600585898</v>
      </c>
      <c r="N180" s="3">
        <f>Data!H177</f>
        <v>139.08114624023401</v>
      </c>
      <c r="O180" s="3">
        <f>Data!N177</f>
        <v>46.759914398193303</v>
      </c>
      <c r="Q180" s="1">
        <v>45855</v>
      </c>
      <c r="R180" s="4">
        <f t="shared" si="10"/>
        <v>1.427476139528272E-2</v>
      </c>
      <c r="S180" s="4">
        <f t="shared" si="11"/>
        <v>7.9403809591438446E-3</v>
      </c>
      <c r="T180" s="4">
        <f t="shared" si="12"/>
        <v>2.1507793958586818E-2</v>
      </c>
      <c r="V180" s="1">
        <v>45855</v>
      </c>
      <c r="W180" s="6">
        <f t="shared" si="13"/>
        <v>1.3910918989818399E-2</v>
      </c>
      <c r="AD180" s="1"/>
      <c r="AE180" s="6"/>
      <c r="AF180" s="6"/>
      <c r="AG180" s="6"/>
      <c r="AV180" s="14"/>
      <c r="AW180" s="14"/>
    </row>
    <row r="181" spans="12:49" x14ac:dyDescent="0.3">
      <c r="L181" s="1">
        <v>45856</v>
      </c>
      <c r="M181" s="3">
        <f>Data!B178</f>
        <v>289.860748291015</v>
      </c>
      <c r="N181" s="3">
        <f>Data!H178</f>
        <v>139.01206970214801</v>
      </c>
      <c r="O181" s="3">
        <f>Data!N178</f>
        <v>47.058254241943303</v>
      </c>
      <c r="Q181" s="1">
        <v>45856</v>
      </c>
      <c r="R181" s="4">
        <f t="shared" si="10"/>
        <v>4.7256656620626725E-3</v>
      </c>
      <c r="S181" s="4">
        <f t="shared" si="11"/>
        <v>-4.9666356622257712E-4</v>
      </c>
      <c r="T181" s="4">
        <f t="shared" si="12"/>
        <v>6.38024785951119E-3</v>
      </c>
      <c r="V181" s="1">
        <v>45856</v>
      </c>
      <c r="W181" s="6">
        <f t="shared" si="13"/>
        <v>3.1331086299831276E-3</v>
      </c>
      <c r="AD181" s="1"/>
      <c r="AE181" s="6"/>
      <c r="AF181" s="6"/>
      <c r="AG181" s="6"/>
      <c r="AV181" s="14"/>
      <c r="AW181" s="14"/>
    </row>
    <row r="182" spans="12:49" x14ac:dyDescent="0.3">
      <c r="L182" s="1">
        <v>45859</v>
      </c>
      <c r="M182" s="3">
        <f>Data!B179</f>
        <v>289.56222534179602</v>
      </c>
      <c r="N182" s="3">
        <f>Data!H179</f>
        <v>138.65670776367099</v>
      </c>
      <c r="O182" s="3">
        <f>Data!N179</f>
        <v>47.217369079589801</v>
      </c>
      <c r="Q182" s="1">
        <v>45859</v>
      </c>
      <c r="R182" s="4">
        <f t="shared" si="10"/>
        <v>-1.0298840080246174E-3</v>
      </c>
      <c r="S182" s="4">
        <f t="shared" si="11"/>
        <v>-2.5563387354667899E-3</v>
      </c>
      <c r="T182" s="4">
        <f t="shared" si="12"/>
        <v>3.3812312039547265E-3</v>
      </c>
      <c r="V182" s="1">
        <v>45859</v>
      </c>
      <c r="W182" s="6">
        <f t="shared" si="13"/>
        <v>-3.1713133540768319E-4</v>
      </c>
      <c r="AD182" s="1"/>
      <c r="AE182" s="6"/>
      <c r="AF182" s="6"/>
      <c r="AG182" s="6"/>
      <c r="AV182" s="14"/>
      <c r="AW182" s="14"/>
    </row>
    <row r="183" spans="12:49" x14ac:dyDescent="0.3">
      <c r="L183" s="1">
        <v>45860</v>
      </c>
      <c r="M183" s="3">
        <f>Data!B180</f>
        <v>290.01998901367102</v>
      </c>
      <c r="N183" s="3">
        <f>Data!H180</f>
        <v>138.23225402832</v>
      </c>
      <c r="O183" s="3">
        <f>Data!N180</f>
        <v>47.505764007568303</v>
      </c>
      <c r="Q183" s="1">
        <v>45860</v>
      </c>
      <c r="R183" s="4">
        <f t="shared" si="10"/>
        <v>1.5808818686022796E-3</v>
      </c>
      <c r="S183" s="4">
        <f t="shared" si="11"/>
        <v>-3.0611842888584873E-3</v>
      </c>
      <c r="T183" s="4">
        <f t="shared" si="12"/>
        <v>6.1078144250770183E-3</v>
      </c>
      <c r="V183" s="1">
        <v>45860</v>
      </c>
      <c r="W183" s="6">
        <f t="shared" si="13"/>
        <v>1.0821351725603945E-3</v>
      </c>
      <c r="AD183" s="1"/>
      <c r="AE183" s="6"/>
      <c r="AF183" s="6"/>
      <c r="AG183" s="6"/>
      <c r="AV183" s="14"/>
      <c r="AW183" s="14"/>
    </row>
    <row r="184" spans="12:49" x14ac:dyDescent="0.3">
      <c r="L184" s="1">
        <v>45861</v>
      </c>
      <c r="M184" s="3">
        <f>Data!B181</f>
        <v>295.32421875</v>
      </c>
      <c r="N184" s="3">
        <f>Data!H181</f>
        <v>140.374252319335</v>
      </c>
      <c r="O184" s="3">
        <f>Data!N181</f>
        <v>47.873714447021399</v>
      </c>
      <c r="Q184" s="1">
        <v>45861</v>
      </c>
      <c r="R184" s="4">
        <f t="shared" si="10"/>
        <v>1.8289186736293983E-2</v>
      </c>
      <c r="S184" s="4">
        <f t="shared" si="11"/>
        <v>1.549564756844779E-2</v>
      </c>
      <c r="T184" s="4">
        <f t="shared" si="12"/>
        <v>7.7453851577773403E-3</v>
      </c>
      <c r="V184" s="1">
        <v>45861</v>
      </c>
      <c r="W184" s="6">
        <f t="shared" si="13"/>
        <v>1.4008630595600513E-2</v>
      </c>
      <c r="AD184" s="1"/>
      <c r="AE184" s="6"/>
      <c r="AF184" s="6"/>
      <c r="AG184" s="6"/>
      <c r="AV184" s="14"/>
      <c r="AW184" s="14"/>
    </row>
    <row r="185" spans="12:49" x14ac:dyDescent="0.3">
      <c r="L185" s="1">
        <v>45862</v>
      </c>
      <c r="M185" s="3">
        <f>Data!B182</f>
        <v>295.11520385742102</v>
      </c>
      <c r="N185" s="3">
        <f>Data!H182</f>
        <v>140.66050720214801</v>
      </c>
      <c r="O185" s="3">
        <f>Data!N182</f>
        <v>48.1223335266113</v>
      </c>
      <c r="Q185" s="1">
        <v>45862</v>
      </c>
      <c r="R185" s="4">
        <f t="shared" si="10"/>
        <v>-7.0774721241506633E-4</v>
      </c>
      <c r="S185" s="4">
        <f t="shared" si="11"/>
        <v>2.0392264114206249E-3</v>
      </c>
      <c r="T185" s="4">
        <f t="shared" si="12"/>
        <v>5.1932272743329122E-3</v>
      </c>
      <c r="V185" s="1">
        <v>45862</v>
      </c>
      <c r="W185" s="6">
        <f t="shared" si="13"/>
        <v>2.1613345831436037E-3</v>
      </c>
      <c r="AD185" s="1"/>
      <c r="AE185" s="6"/>
      <c r="AF185" s="6"/>
      <c r="AG185" s="6"/>
      <c r="AV185" s="14"/>
      <c r="AW185" s="14"/>
    </row>
    <row r="186" spans="12:49" x14ac:dyDescent="0.3">
      <c r="L186" s="1">
        <v>45863</v>
      </c>
      <c r="M186" s="3">
        <f>Data!B183</f>
        <v>297.175201416015</v>
      </c>
      <c r="N186" s="3">
        <f>Data!H183</f>
        <v>141.16392517089801</v>
      </c>
      <c r="O186" s="3">
        <f>Data!N183</f>
        <v>48.182003021240199</v>
      </c>
      <c r="Q186" s="1">
        <v>45863</v>
      </c>
      <c r="R186" s="4">
        <f t="shared" si="10"/>
        <v>6.9803166074400291E-3</v>
      </c>
      <c r="S186" s="4">
        <f t="shared" si="11"/>
        <v>3.5789574398912283E-3</v>
      </c>
      <c r="T186" s="4">
        <f t="shared" si="12"/>
        <v>1.2399543051233586E-3</v>
      </c>
      <c r="V186" s="1">
        <v>45863</v>
      </c>
      <c r="W186" s="6">
        <f t="shared" si="13"/>
        <v>3.897664249725508E-3</v>
      </c>
      <c r="AD186" s="1"/>
      <c r="AE186" s="6"/>
      <c r="AF186" s="6"/>
      <c r="AG186" s="6"/>
      <c r="AV186" s="14"/>
      <c r="AW186" s="14"/>
    </row>
    <row r="187" spans="12:49" x14ac:dyDescent="0.3">
      <c r="L187" s="1">
        <v>45866</v>
      </c>
      <c r="M187" s="3">
        <f>Data!B184</f>
        <v>296.83685302734301</v>
      </c>
      <c r="N187" s="3">
        <f>Data!H184</f>
        <v>140.7197265625</v>
      </c>
      <c r="O187" s="3">
        <f>Data!N184</f>
        <v>47.963218688964801</v>
      </c>
      <c r="Q187" s="1">
        <v>45866</v>
      </c>
      <c r="R187" s="4">
        <f t="shared" si="10"/>
        <v>-1.1385485298227582E-3</v>
      </c>
      <c r="S187" s="4">
        <f t="shared" si="11"/>
        <v>-3.1466864346556545E-3</v>
      </c>
      <c r="T187" s="4">
        <f t="shared" si="12"/>
        <v>-4.5407894764970536E-3</v>
      </c>
      <c r="V187" s="1">
        <v>45866</v>
      </c>
      <c r="W187" s="6">
        <f t="shared" si="13"/>
        <v>-2.9624759757582056E-3</v>
      </c>
      <c r="AD187" s="1"/>
      <c r="AE187" s="6"/>
      <c r="AF187" s="6"/>
      <c r="AG187" s="6"/>
      <c r="AV187" s="14"/>
      <c r="AW187" s="14"/>
    </row>
    <row r="188" spans="12:49" x14ac:dyDescent="0.3">
      <c r="L188" s="1">
        <v>45867</v>
      </c>
      <c r="M188" s="3">
        <f>Data!B185</f>
        <v>295.60287475585898</v>
      </c>
      <c r="N188" s="3">
        <f>Data!H185</f>
        <v>141.70681762695301</v>
      </c>
      <c r="O188" s="3">
        <f>Data!N185</f>
        <v>47.684768676757798</v>
      </c>
      <c r="Q188" s="1">
        <v>45867</v>
      </c>
      <c r="R188" s="4">
        <f t="shared" si="10"/>
        <v>-4.1570925540379555E-3</v>
      </c>
      <c r="S188" s="4">
        <f t="shared" si="11"/>
        <v>7.014589130931892E-3</v>
      </c>
      <c r="T188" s="4">
        <f t="shared" si="12"/>
        <v>-5.8054905366696774E-3</v>
      </c>
      <c r="V188" s="1">
        <v>45867</v>
      </c>
      <c r="W188" s="6">
        <f t="shared" si="13"/>
        <v>-1.8293927483953288E-4</v>
      </c>
      <c r="AD188" s="1"/>
      <c r="AE188" s="6"/>
      <c r="AF188" s="6"/>
      <c r="AG188" s="6"/>
      <c r="AV188" s="14"/>
      <c r="AW188" s="14"/>
    </row>
    <row r="189" spans="12:49" x14ac:dyDescent="0.3">
      <c r="L189" s="1">
        <v>45868</v>
      </c>
      <c r="M189" s="3">
        <f>Data!B186</f>
        <v>298.18032836914</v>
      </c>
      <c r="N189" s="3">
        <f>Data!H186</f>
        <v>143.06900024414</v>
      </c>
      <c r="O189" s="3">
        <f>Data!N186</f>
        <v>47.694713592529297</v>
      </c>
      <c r="Q189" s="1">
        <v>45868</v>
      </c>
      <c r="R189" s="4">
        <f t="shared" si="10"/>
        <v>8.7193117300017331E-3</v>
      </c>
      <c r="S189" s="4">
        <f t="shared" si="11"/>
        <v>9.6126822971422943E-3</v>
      </c>
      <c r="T189" s="4">
        <f t="shared" si="12"/>
        <v>2.0855539509723187E-4</v>
      </c>
      <c r="V189" s="1">
        <v>45868</v>
      </c>
      <c r="W189" s="6">
        <f t="shared" si="13"/>
        <v>6.5234330563866075E-3</v>
      </c>
      <c r="AD189" s="1"/>
      <c r="AE189" s="6"/>
      <c r="AF189" s="6"/>
      <c r="AG189" s="6"/>
      <c r="AV189" s="14"/>
      <c r="AW189" s="14"/>
    </row>
    <row r="190" spans="12:49" x14ac:dyDescent="0.3">
      <c r="L190" s="1">
        <v>45869</v>
      </c>
      <c r="M190" s="3">
        <f>Data!B187</f>
        <v>294.80670166015602</v>
      </c>
      <c r="N190" s="3">
        <f>Data!H187</f>
        <v>141.59797668457</v>
      </c>
      <c r="O190" s="3">
        <f>Data!N187</f>
        <v>47.008529663085902</v>
      </c>
      <c r="Q190" s="1">
        <v>45869</v>
      </c>
      <c r="R190" s="4">
        <f t="shared" si="10"/>
        <v>-1.1314048540477573E-2</v>
      </c>
      <c r="S190" s="4">
        <f t="shared" si="11"/>
        <v>-1.0281916816779146E-2</v>
      </c>
      <c r="T190" s="4">
        <f t="shared" si="12"/>
        <v>-1.438700178190977E-2</v>
      </c>
      <c r="V190" s="1">
        <v>45869</v>
      </c>
      <c r="W190" s="6">
        <f t="shared" si="13"/>
        <v>-1.1823081823427862E-2</v>
      </c>
      <c r="AD190" s="1"/>
      <c r="AE190" s="6"/>
      <c r="AF190" s="6"/>
      <c r="AG190" s="6"/>
      <c r="AV190" s="14"/>
      <c r="AW190" s="14"/>
    </row>
    <row r="191" spans="12:49" x14ac:dyDescent="0.3">
      <c r="L191" s="1">
        <v>45870</v>
      </c>
      <c r="M191" s="3">
        <f>Data!B188</f>
        <v>287.969970703125</v>
      </c>
      <c r="N191" s="3">
        <f>Data!H188</f>
        <v>138.24835205078099</v>
      </c>
      <c r="O191" s="3">
        <f>Data!N188</f>
        <v>45.407436370849602</v>
      </c>
      <c r="Q191" s="1">
        <v>45870</v>
      </c>
      <c r="R191" s="4">
        <f t="shared" si="10"/>
        <v>-2.3190554755136428E-2</v>
      </c>
      <c r="S191" s="4">
        <f t="shared" si="11"/>
        <v>-2.3655879216768594E-2</v>
      </c>
      <c r="T191" s="4">
        <f t="shared" si="12"/>
        <v>-3.4059633511438703E-2</v>
      </c>
      <c r="V191" s="1">
        <v>45870</v>
      </c>
      <c r="W191" s="6">
        <f t="shared" si="13"/>
        <v>-2.6637408166679977E-2</v>
      </c>
      <c r="AD191" s="1"/>
      <c r="AE191" s="6"/>
      <c r="AF191" s="6"/>
      <c r="AG191" s="6"/>
      <c r="AV191" s="14"/>
      <c r="AW191" s="14"/>
    </row>
    <row r="192" spans="12:49" x14ac:dyDescent="0.3">
      <c r="L192" s="1">
        <v>45873</v>
      </c>
      <c r="M192" s="3">
        <f>Data!B189</f>
        <v>292.83630371093699</v>
      </c>
      <c r="N192" s="3">
        <f>Data!H189</f>
        <v>140.504623413085</v>
      </c>
      <c r="O192" s="3">
        <f>Data!N189</f>
        <v>45.596382141113203</v>
      </c>
      <c r="Q192" s="1">
        <v>45873</v>
      </c>
      <c r="R192" s="4">
        <f t="shared" si="10"/>
        <v>1.6898751616114982E-2</v>
      </c>
      <c r="S192" s="4">
        <f t="shared" si="11"/>
        <v>1.6320421392619799E-2</v>
      </c>
      <c r="T192" s="4">
        <f t="shared" si="12"/>
        <v>4.1611195294191106E-3</v>
      </c>
      <c r="V192" s="1">
        <v>45873</v>
      </c>
      <c r="W192" s="6">
        <f t="shared" si="13"/>
        <v>1.2846129900708146E-2</v>
      </c>
      <c r="AD192" s="1"/>
      <c r="AE192" s="6"/>
      <c r="AF192" s="6"/>
      <c r="AG192" s="6"/>
      <c r="AV192" s="14"/>
      <c r="AW192" s="14"/>
    </row>
    <row r="193" spans="12:49" x14ac:dyDescent="0.3">
      <c r="L193" s="1">
        <v>45874</v>
      </c>
      <c r="M193" s="3">
        <f>Data!B190</f>
        <v>289.96026611328102</v>
      </c>
      <c r="N193" s="3">
        <f>Data!H190</f>
        <v>139.61007690429599</v>
      </c>
      <c r="O193" s="3">
        <f>Data!N190</f>
        <v>45.307991027832003</v>
      </c>
      <c r="Q193" s="1">
        <v>45874</v>
      </c>
      <c r="R193" s="4">
        <f t="shared" si="10"/>
        <v>-9.8213150528458915E-3</v>
      </c>
      <c r="S193" s="4">
        <f t="shared" si="11"/>
        <v>-6.3666695590438582E-3</v>
      </c>
      <c r="T193" s="4">
        <f t="shared" si="12"/>
        <v>-6.3248683281204032E-3</v>
      </c>
      <c r="V193" s="1">
        <v>45874</v>
      </c>
      <c r="W193" s="6">
        <f t="shared" si="13"/>
        <v>-7.390522837907431E-3</v>
      </c>
      <c r="AD193" s="1"/>
      <c r="AE193" s="6"/>
      <c r="AF193" s="6"/>
      <c r="AG193" s="6"/>
      <c r="AV193" s="14"/>
      <c r="AW193" s="14"/>
    </row>
    <row r="194" spans="12:49" x14ac:dyDescent="0.3">
      <c r="L194" s="1">
        <v>45875</v>
      </c>
      <c r="M194" s="3">
        <f>Data!B191</f>
        <v>289.94039916992102</v>
      </c>
      <c r="N194" s="3">
        <f>Data!H191</f>
        <v>140.44499206542901</v>
      </c>
      <c r="O194" s="3">
        <f>Data!N191</f>
        <v>45.1687622070312</v>
      </c>
      <c r="Q194" s="1">
        <v>45875</v>
      </c>
      <c r="R194" s="4">
        <f t="shared" si="10"/>
        <v>-6.8516088863823654E-5</v>
      </c>
      <c r="S194" s="4">
        <f t="shared" si="11"/>
        <v>5.9803359445562698E-3</v>
      </c>
      <c r="T194" s="4">
        <f t="shared" si="12"/>
        <v>-3.072941828634046E-3</v>
      </c>
      <c r="V194" s="1">
        <v>45875</v>
      </c>
      <c r="W194" s="6">
        <f t="shared" si="13"/>
        <v>1.4496970025731472E-3</v>
      </c>
      <c r="AD194" s="1"/>
      <c r="AE194" s="6"/>
      <c r="AF194" s="6"/>
      <c r="AG194" s="6"/>
      <c r="AV194" s="14"/>
      <c r="AW194" s="14"/>
    </row>
    <row r="195" spans="12:49" x14ac:dyDescent="0.3">
      <c r="L195" s="1">
        <v>45876</v>
      </c>
      <c r="M195" s="3">
        <f>Data!B192</f>
        <v>285.55172729492102</v>
      </c>
      <c r="N195" s="3">
        <f>Data!H192</f>
        <v>140.06727600097599</v>
      </c>
      <c r="O195" s="3">
        <f>Data!N192</f>
        <v>44.6715278625488</v>
      </c>
      <c r="Q195" s="1">
        <v>45876</v>
      </c>
      <c r="R195" s="4">
        <f t="shared" si="10"/>
        <v>-1.5136462140372453E-2</v>
      </c>
      <c r="S195" s="4">
        <f t="shared" si="11"/>
        <v>-2.6894235166252667E-3</v>
      </c>
      <c r="T195" s="4">
        <f t="shared" si="12"/>
        <v>-1.1008367734394064E-2</v>
      </c>
      <c r="V195" s="1">
        <v>45876</v>
      </c>
      <c r="W195" s="6">
        <f t="shared" si="13"/>
        <v>-8.9192183690800612E-3</v>
      </c>
      <c r="AD195" s="1"/>
      <c r="AE195" s="6"/>
      <c r="AF195" s="6"/>
      <c r="AG195" s="6"/>
      <c r="AV195" s="14"/>
      <c r="AW195" s="14"/>
    </row>
    <row r="196" spans="12:49" x14ac:dyDescent="0.3">
      <c r="L196" s="1">
        <v>45877</v>
      </c>
      <c r="M196" s="3">
        <f>Data!B193</f>
        <v>287.36291503906199</v>
      </c>
      <c r="N196" s="3">
        <f>Data!H193</f>
        <v>142.31359863281199</v>
      </c>
      <c r="O196" s="3">
        <f>Data!N193</f>
        <v>45.755496978759702</v>
      </c>
      <c r="Q196" s="1">
        <v>45877</v>
      </c>
      <c r="R196" s="4">
        <f t="shared" si="10"/>
        <v>6.3427658494614736E-3</v>
      </c>
      <c r="S196" s="4">
        <f t="shared" si="11"/>
        <v>1.603745497142639E-2</v>
      </c>
      <c r="T196" s="4">
        <f t="shared" si="12"/>
        <v>2.4265324426471446E-2</v>
      </c>
      <c r="V196" s="1">
        <v>45877</v>
      </c>
      <c r="W196" s="6">
        <f t="shared" si="13"/>
        <v>1.5597409071350432E-2</v>
      </c>
      <c r="AD196" s="1"/>
      <c r="AE196" s="6"/>
      <c r="AF196" s="6"/>
      <c r="AG196" s="6"/>
      <c r="AV196" s="14"/>
      <c r="AW196" s="14"/>
    </row>
    <row r="197" spans="12:49" x14ac:dyDescent="0.3">
      <c r="L197" s="1">
        <v>45880</v>
      </c>
      <c r="M197" s="3">
        <f>Data!B194</f>
        <v>288.15902709960898</v>
      </c>
      <c r="N197" s="3">
        <f>Data!H194</f>
        <v>143.00938415527301</v>
      </c>
      <c r="O197" s="3">
        <f>Data!N194</f>
        <v>45.904670715332003</v>
      </c>
      <c r="Q197" s="1">
        <v>45880</v>
      </c>
      <c r="R197" s="4">
        <f t="shared" si="10"/>
        <v>2.7704064055682487E-3</v>
      </c>
      <c r="S197" s="4">
        <f t="shared" si="11"/>
        <v>4.8891007545683873E-3</v>
      </c>
      <c r="T197" s="4">
        <f t="shared" si="12"/>
        <v>3.2602363961109493E-3</v>
      </c>
      <c r="V197" s="1">
        <v>45880</v>
      </c>
      <c r="W197" s="6">
        <f t="shared" si="13"/>
        <v>3.7648331423311143E-3</v>
      </c>
      <c r="AD197" s="1"/>
      <c r="AE197" s="6"/>
      <c r="AF197" s="6"/>
      <c r="AG197" s="6"/>
      <c r="AV197" s="14"/>
      <c r="AW197" s="14"/>
    </row>
    <row r="198" spans="12:49" x14ac:dyDescent="0.3">
      <c r="L198" s="1">
        <v>45881</v>
      </c>
      <c r="M198" s="3">
        <f>Data!B195</f>
        <v>291.43313598632801</v>
      </c>
      <c r="N198" s="3">
        <f>Data!H195</f>
        <v>146.39872741699199</v>
      </c>
      <c r="O198" s="3">
        <f>Data!N195</f>
        <v>47.237258911132798</v>
      </c>
      <c r="Q198" s="1">
        <v>45881</v>
      </c>
      <c r="R198" s="4">
        <f t="shared" si="10"/>
        <v>1.1362159706304276E-2</v>
      </c>
      <c r="S198" s="4">
        <f t="shared" si="11"/>
        <v>2.3700145845247267E-2</v>
      </c>
      <c r="T198" s="4">
        <f t="shared" si="12"/>
        <v>2.9029468571173389E-2</v>
      </c>
      <c r="V198" s="1">
        <v>45881</v>
      </c>
      <c r="W198" s="6">
        <f t="shared" si="13"/>
        <v>2.1597546821342205E-2</v>
      </c>
      <c r="AD198" s="1"/>
      <c r="AE198" s="6"/>
      <c r="AF198" s="6"/>
      <c r="AG198" s="6"/>
      <c r="AV198" s="14"/>
      <c r="AW198" s="14"/>
    </row>
    <row r="199" spans="12:49" x14ac:dyDescent="0.3">
      <c r="L199" s="1">
        <v>45882</v>
      </c>
      <c r="M199" s="3">
        <f>Data!B196</f>
        <v>289.12435913085898</v>
      </c>
      <c r="N199" s="3">
        <f>Data!H196</f>
        <v>146.86589050292901</v>
      </c>
      <c r="O199" s="3">
        <f>Data!N196</f>
        <v>46.9786987304687</v>
      </c>
      <c r="Q199" s="1">
        <v>45882</v>
      </c>
      <c r="R199" s="4">
        <f t="shared" ref="R199:R254" si="14">(M199/M198)-1</f>
        <v>-7.9221494414325466E-3</v>
      </c>
      <c r="S199" s="4">
        <f t="shared" ref="S199:S254" si="15">(N199/N198)-1</f>
        <v>3.1910324234334375E-3</v>
      </c>
      <c r="T199" s="4">
        <f t="shared" ref="T199:T254" si="16">(O199/O198)-1</f>
        <v>-5.4736491198722481E-3</v>
      </c>
      <c r="V199" s="1">
        <v>45882</v>
      </c>
      <c r="W199" s="6">
        <f t="shared" ref="W199:W254" si="17">SUMPRODUCT(R199:T199,$C$6:$E$6)</f>
        <v>-2.7423265990180632E-3</v>
      </c>
      <c r="AD199" s="1"/>
      <c r="AE199" s="6"/>
      <c r="AF199" s="6"/>
      <c r="AG199" s="6"/>
      <c r="AV199" s="14"/>
      <c r="AW199" s="14"/>
    </row>
    <row r="200" spans="12:49" x14ac:dyDescent="0.3">
      <c r="L200" s="1">
        <v>45883</v>
      </c>
      <c r="M200" s="3">
        <f>Data!B197</f>
        <v>292.73678588867102</v>
      </c>
      <c r="N200" s="3">
        <f>Data!H197</f>
        <v>147.61135864257801</v>
      </c>
      <c r="O200" s="3">
        <f>Data!N197</f>
        <v>47.446094512939403</v>
      </c>
      <c r="Q200" s="1">
        <v>45883</v>
      </c>
      <c r="R200" s="4">
        <f t="shared" si="14"/>
        <v>1.2494370134261246E-2</v>
      </c>
      <c r="S200" s="4">
        <f t="shared" si="15"/>
        <v>5.075842573767142E-3</v>
      </c>
      <c r="T200" s="4">
        <f t="shared" si="16"/>
        <v>9.9491002326883571E-3</v>
      </c>
      <c r="V200" s="1">
        <v>45883</v>
      </c>
      <c r="W200" s="6">
        <f t="shared" si="17"/>
        <v>8.763378139591738E-3</v>
      </c>
      <c r="AD200" s="1"/>
      <c r="AE200" s="6"/>
      <c r="AF200" s="6"/>
      <c r="AG200" s="6"/>
      <c r="AV200" s="14"/>
      <c r="AW200" s="14"/>
    </row>
    <row r="201" spans="12:49" x14ac:dyDescent="0.3">
      <c r="L201" s="1">
        <v>45884</v>
      </c>
      <c r="M201" s="3">
        <f>Data!B198</f>
        <v>289.08453369140602</v>
      </c>
      <c r="N201" s="3">
        <f>Data!H198</f>
        <v>143.75483703613199</v>
      </c>
      <c r="O201" s="3">
        <f>Data!N198</f>
        <v>46.680355072021399</v>
      </c>
      <c r="Q201" s="1">
        <v>45884</v>
      </c>
      <c r="R201" s="4">
        <f t="shared" si="14"/>
        <v>-1.2476232483655036E-2</v>
      </c>
      <c r="S201" s="4">
        <f t="shared" si="15"/>
        <v>-2.6126184610115954E-2</v>
      </c>
      <c r="T201" s="4">
        <f t="shared" si="16"/>
        <v>-1.6139145882896111E-2</v>
      </c>
      <c r="V201" s="1">
        <v>45884</v>
      </c>
      <c r="W201" s="6">
        <f t="shared" si="17"/>
        <v>-1.9035087354011729E-2</v>
      </c>
      <c r="AD201" s="1"/>
      <c r="AE201" s="6"/>
      <c r="AF201" s="6"/>
      <c r="AG201" s="6"/>
      <c r="AV201" s="14"/>
      <c r="AW201" s="14"/>
    </row>
    <row r="202" spans="12:49" x14ac:dyDescent="0.3">
      <c r="L202" s="1">
        <v>45887</v>
      </c>
      <c r="M202" s="3">
        <f>Data!B199</f>
        <v>290.11950683593699</v>
      </c>
      <c r="N202" s="3">
        <f>Data!H199</f>
        <v>143.90393066406199</v>
      </c>
      <c r="O202" s="3">
        <f>Data!N199</f>
        <v>47.654933929443303</v>
      </c>
      <c r="Q202" s="1">
        <v>45887</v>
      </c>
      <c r="R202" s="4">
        <f t="shared" si="14"/>
        <v>3.5801747375243664E-3</v>
      </c>
      <c r="S202" s="4">
        <f t="shared" si="15"/>
        <v>1.0371381652536371E-3</v>
      </c>
      <c r="T202" s="4">
        <f t="shared" si="16"/>
        <v>2.0877708747464752E-2</v>
      </c>
      <c r="V202" s="1">
        <v>45887</v>
      </c>
      <c r="W202" s="6">
        <f t="shared" si="17"/>
        <v>7.7522203115981897E-3</v>
      </c>
      <c r="AD202" s="1"/>
      <c r="AE202" s="6"/>
      <c r="AF202" s="6"/>
      <c r="AG202" s="6"/>
      <c r="AV202" s="14"/>
      <c r="AW202" s="14"/>
    </row>
    <row r="203" spans="12:49" x14ac:dyDescent="0.3">
      <c r="L203" s="1">
        <v>45888</v>
      </c>
      <c r="M203" s="3">
        <f>Data!B200</f>
        <v>289.25372314453102</v>
      </c>
      <c r="N203" s="3">
        <f>Data!H200</f>
        <v>143.19822692871</v>
      </c>
      <c r="O203" s="3">
        <f>Data!N200</f>
        <v>47.814048767089801</v>
      </c>
      <c r="Q203" s="1">
        <v>45888</v>
      </c>
      <c r="R203" s="4">
        <f t="shared" si="14"/>
        <v>-2.9842312254293457E-3</v>
      </c>
      <c r="S203" s="4">
        <f t="shared" si="15"/>
        <v>-4.9039920737080633E-3</v>
      </c>
      <c r="T203" s="4">
        <f t="shared" si="16"/>
        <v>3.3388953572379698E-3</v>
      </c>
      <c r="V203" s="1">
        <v>45888</v>
      </c>
      <c r="W203" s="6">
        <f t="shared" si="17"/>
        <v>-1.8551975899406385E-3</v>
      </c>
      <c r="AD203" s="1"/>
      <c r="AE203" s="6"/>
      <c r="AF203" s="6"/>
      <c r="AG203" s="6"/>
      <c r="AV203" s="14"/>
      <c r="AW203" s="14"/>
    </row>
    <row r="204" spans="12:49" x14ac:dyDescent="0.3">
      <c r="L204" s="1">
        <v>45889</v>
      </c>
      <c r="M204" s="3">
        <f>Data!B201</f>
        <v>290.826080322265</v>
      </c>
      <c r="N204" s="3">
        <f>Data!H201</f>
        <v>143.24790954589801</v>
      </c>
      <c r="O204" s="3">
        <f>Data!N201</f>
        <v>48.082553863525298</v>
      </c>
      <c r="Q204" s="1">
        <v>45889</v>
      </c>
      <c r="R204" s="4">
        <f t="shared" si="14"/>
        <v>5.4359099016620949E-3</v>
      </c>
      <c r="S204" s="4">
        <f t="shared" si="15"/>
        <v>3.4694994661310652E-4</v>
      </c>
      <c r="T204" s="4">
        <f t="shared" si="16"/>
        <v>5.6156109628664463E-3</v>
      </c>
      <c r="V204" s="1">
        <v>45889</v>
      </c>
      <c r="W204" s="6">
        <f t="shared" si="17"/>
        <v>3.4542362380038049E-3</v>
      </c>
      <c r="AD204" s="1"/>
      <c r="AE204" s="6"/>
      <c r="AF204" s="6"/>
      <c r="AG204" s="6"/>
      <c r="AV204" s="14"/>
      <c r="AW204" s="14"/>
    </row>
    <row r="205" spans="12:49" x14ac:dyDescent="0.3">
      <c r="L205" s="1">
        <v>45890</v>
      </c>
      <c r="M205" s="3">
        <f>Data!B202</f>
        <v>290.059814453125</v>
      </c>
      <c r="N205" s="3">
        <f>Data!H202</f>
        <v>143.16839599609301</v>
      </c>
      <c r="O205" s="3">
        <f>Data!N202</f>
        <v>47.993049621582003</v>
      </c>
      <c r="Q205" s="1">
        <v>45890</v>
      </c>
      <c r="R205" s="4">
        <f t="shared" si="14"/>
        <v>-2.6347907597932263E-3</v>
      </c>
      <c r="S205" s="4">
        <f t="shared" si="15"/>
        <v>-5.5507651076414088E-4</v>
      </c>
      <c r="T205" s="4">
        <f t="shared" si="16"/>
        <v>-1.8614702163561869E-3</v>
      </c>
      <c r="V205" s="1">
        <v>45890</v>
      </c>
      <c r="W205" s="6">
        <f t="shared" si="17"/>
        <v>-1.5709088971504804E-3</v>
      </c>
      <c r="AD205" s="1"/>
      <c r="AE205" s="6"/>
      <c r="AF205" s="6"/>
      <c r="AG205" s="6"/>
      <c r="AV205" s="14"/>
      <c r="AW205" s="14"/>
    </row>
    <row r="206" spans="12:49" x14ac:dyDescent="0.3">
      <c r="L206" s="1">
        <v>45891</v>
      </c>
      <c r="M206" s="3">
        <f>Data!B203</f>
        <v>294.80670166015602</v>
      </c>
      <c r="N206" s="3">
        <f>Data!H203</f>
        <v>147.12432861328099</v>
      </c>
      <c r="O206" s="3">
        <f>Data!N203</f>
        <v>49.206302642822202</v>
      </c>
      <c r="Q206" s="1">
        <v>45891</v>
      </c>
      <c r="R206" s="4">
        <f t="shared" si="14"/>
        <v>1.6365201143015096E-2</v>
      </c>
      <c r="S206" s="4">
        <f t="shared" si="15"/>
        <v>2.7631325961743336E-2</v>
      </c>
      <c r="T206" s="4">
        <f t="shared" si="16"/>
        <v>2.5279765107792063E-2</v>
      </c>
      <c r="V206" s="1">
        <v>45891</v>
      </c>
      <c r="W206" s="6">
        <f t="shared" si="17"/>
        <v>2.3546020259939481E-2</v>
      </c>
      <c r="AD206" s="1"/>
      <c r="AE206" s="6"/>
      <c r="AF206" s="6"/>
      <c r="AG206" s="6"/>
      <c r="AV206" s="14"/>
      <c r="AW206" s="14"/>
    </row>
    <row r="207" spans="12:49" x14ac:dyDescent="0.3">
      <c r="L207" s="1">
        <v>45894</v>
      </c>
      <c r="M207" s="3">
        <f>Data!B204</f>
        <v>293.47320556640602</v>
      </c>
      <c r="N207" s="3">
        <f>Data!H204</f>
        <v>146.75656127929599</v>
      </c>
      <c r="O207" s="3">
        <f>Data!N204</f>
        <v>49.206302642822202</v>
      </c>
      <c r="Q207" s="1">
        <v>45894</v>
      </c>
      <c r="R207" s="4">
        <f t="shared" si="14"/>
        <v>-4.523289620760429E-3</v>
      </c>
      <c r="S207" s="4">
        <f t="shared" si="15"/>
        <v>-2.4997044163354021E-3</v>
      </c>
      <c r="T207" s="4">
        <f t="shared" si="16"/>
        <v>0</v>
      </c>
      <c r="V207" s="1">
        <v>45894</v>
      </c>
      <c r="W207" s="6">
        <f t="shared" si="17"/>
        <v>-2.3568686527622893E-3</v>
      </c>
      <c r="AD207" s="1"/>
      <c r="AE207" s="6"/>
      <c r="AF207" s="6"/>
      <c r="AG207" s="6"/>
      <c r="AV207" s="14"/>
      <c r="AW207" s="14"/>
    </row>
    <row r="208" spans="12:49" x14ac:dyDescent="0.3">
      <c r="L208" s="1">
        <v>45895</v>
      </c>
      <c r="M208" s="3">
        <f>Data!B205</f>
        <v>297.12545776367102</v>
      </c>
      <c r="N208" s="3">
        <f>Data!H205</f>
        <v>148.06857299804599</v>
      </c>
      <c r="O208" s="3">
        <f>Data!N205</f>
        <v>49.9720458984375</v>
      </c>
      <c r="Q208" s="1">
        <v>45895</v>
      </c>
      <c r="R208" s="4">
        <f t="shared" si="14"/>
        <v>1.2444925560465059E-2</v>
      </c>
      <c r="S208" s="4">
        <f t="shared" si="15"/>
        <v>8.9400549271052565E-3</v>
      </c>
      <c r="T208" s="4">
        <f t="shared" si="16"/>
        <v>1.5561893791810721E-2</v>
      </c>
      <c r="V208" s="1">
        <v>45895</v>
      </c>
      <c r="W208" s="6">
        <f t="shared" si="17"/>
        <v>1.1978067776524836E-2</v>
      </c>
      <c r="AD208" s="1"/>
      <c r="AE208" s="6"/>
      <c r="AF208" s="6"/>
      <c r="AG208" s="6"/>
      <c r="AV208" s="14"/>
      <c r="AW208" s="14"/>
    </row>
    <row r="209" spans="12:49" x14ac:dyDescent="0.3">
      <c r="L209" s="1">
        <v>45896</v>
      </c>
      <c r="M209" s="3">
        <f>Data!B206</f>
        <v>297.83200073242102</v>
      </c>
      <c r="N209" s="3">
        <f>Data!H206</f>
        <v>148.47608947753901</v>
      </c>
      <c r="O209" s="3">
        <f>Data!N206</f>
        <v>50.101325988769503</v>
      </c>
      <c r="Q209" s="1">
        <v>45896</v>
      </c>
      <c r="R209" s="4">
        <f t="shared" si="14"/>
        <v>2.3779280781519585E-3</v>
      </c>
      <c r="S209" s="4">
        <f t="shared" si="15"/>
        <v>2.7522145398024556E-3</v>
      </c>
      <c r="T209" s="4">
        <f t="shared" si="16"/>
        <v>2.5870481787908517E-3</v>
      </c>
      <c r="V209" s="1">
        <v>45896</v>
      </c>
      <c r="W209" s="6">
        <f t="shared" si="17"/>
        <v>2.5903786930038253E-3</v>
      </c>
      <c r="AD209" s="1"/>
      <c r="AE209" s="6"/>
      <c r="AF209" s="6"/>
      <c r="AG209" s="6"/>
      <c r="AV209" s="14"/>
      <c r="AW209" s="14"/>
    </row>
    <row r="210" spans="12:49" x14ac:dyDescent="0.3">
      <c r="L210" s="1">
        <v>45897</v>
      </c>
      <c r="M210" s="3">
        <f>Data!B207</f>
        <v>299.61337280273398</v>
      </c>
      <c r="N210" s="3">
        <f>Data!H207</f>
        <v>149.271240234375</v>
      </c>
      <c r="O210" s="3">
        <f>Data!N207</f>
        <v>50.210720062255803</v>
      </c>
      <c r="Q210" s="1">
        <v>45897</v>
      </c>
      <c r="R210" s="4">
        <f t="shared" si="14"/>
        <v>5.981130523020628E-3</v>
      </c>
      <c r="S210" s="4">
        <f t="shared" si="15"/>
        <v>5.355412845489127E-3</v>
      </c>
      <c r="T210" s="4">
        <f t="shared" si="16"/>
        <v>2.1834566516427678E-3</v>
      </c>
      <c r="V210" s="1">
        <v>45897</v>
      </c>
      <c r="W210" s="6">
        <f t="shared" si="17"/>
        <v>4.5915412905946692E-3</v>
      </c>
      <c r="AD210" s="1"/>
      <c r="AE210" s="6"/>
      <c r="AF210" s="6"/>
      <c r="AG210" s="6"/>
      <c r="AV210" s="14"/>
      <c r="AW210" s="14"/>
    </row>
    <row r="211" spans="12:49" x14ac:dyDescent="0.3">
      <c r="L211" s="1">
        <v>45898</v>
      </c>
      <c r="M211" s="3">
        <f>Data!B208</f>
        <v>299.961669921875</v>
      </c>
      <c r="N211" s="3">
        <f>Data!H208</f>
        <v>149.56942749023401</v>
      </c>
      <c r="O211" s="3">
        <f>Data!N208</f>
        <v>50.459335327148402</v>
      </c>
      <c r="Q211" s="1">
        <v>45898</v>
      </c>
      <c r="R211" s="4">
        <f t="shared" si="14"/>
        <v>1.1624885627863346E-3</v>
      </c>
      <c r="S211" s="4">
        <f t="shared" si="15"/>
        <v>1.9976202742792992E-3</v>
      </c>
      <c r="T211" s="4">
        <f t="shared" si="16"/>
        <v>4.9514379515838147E-3</v>
      </c>
      <c r="V211" s="1">
        <v>45898</v>
      </c>
      <c r="W211" s="6">
        <f t="shared" si="17"/>
        <v>2.6332260640227643E-3</v>
      </c>
      <c r="AD211" s="1"/>
      <c r="AE211" s="6"/>
      <c r="AF211" s="6"/>
      <c r="AG211" s="6"/>
      <c r="AV211" s="14"/>
      <c r="AW211" s="14"/>
    </row>
    <row r="212" spans="12:49" x14ac:dyDescent="0.3">
      <c r="L212" s="1">
        <v>45902</v>
      </c>
      <c r="M212" s="3">
        <f>Data!B209</f>
        <v>298.25</v>
      </c>
      <c r="N212" s="3">
        <f>Data!H209</f>
        <v>147.94931030273401</v>
      </c>
      <c r="O212" s="3">
        <f>Data!N209</f>
        <v>50.141101837158203</v>
      </c>
      <c r="Q212" s="1">
        <v>45902</v>
      </c>
      <c r="R212" s="4">
        <f t="shared" si="14"/>
        <v>-5.7062954820887857E-3</v>
      </c>
      <c r="S212" s="4">
        <f t="shared" si="15"/>
        <v>-1.0831873964388783E-2</v>
      </c>
      <c r="T212" s="4">
        <f t="shared" si="16"/>
        <v>-6.3067317063723038E-3</v>
      </c>
      <c r="V212" s="1">
        <v>45902</v>
      </c>
      <c r="W212" s="6">
        <f t="shared" si="17"/>
        <v>-7.9366577422938407E-3</v>
      </c>
      <c r="AD212" s="1"/>
      <c r="AE212" s="6"/>
      <c r="AF212" s="6"/>
      <c r="AG212" s="6"/>
      <c r="AV212" s="14"/>
      <c r="AW212" s="14"/>
    </row>
    <row r="213" spans="12:49" x14ac:dyDescent="0.3">
      <c r="L213" s="1">
        <v>45903</v>
      </c>
      <c r="M213" s="3">
        <f>Data!B210</f>
        <v>298.06091308593699</v>
      </c>
      <c r="N213" s="3">
        <f>Data!H210</f>
        <v>147.63124084472599</v>
      </c>
      <c r="O213" s="3">
        <f>Data!N210</f>
        <v>49.783096313476499</v>
      </c>
      <c r="Q213" s="1">
        <v>45903</v>
      </c>
      <c r="R213" s="4">
        <f t="shared" si="14"/>
        <v>-6.3398797674107943E-4</v>
      </c>
      <c r="S213" s="4">
        <f t="shared" si="15"/>
        <v>-2.1498542802070864E-3</v>
      </c>
      <c r="T213" s="4">
        <f t="shared" si="16"/>
        <v>-7.1399612406681801E-3</v>
      </c>
      <c r="V213" s="1">
        <v>45903</v>
      </c>
      <c r="W213" s="6">
        <f t="shared" si="17"/>
        <v>-3.1921264773056126E-3</v>
      </c>
      <c r="AD213" s="1"/>
      <c r="AE213" s="6"/>
      <c r="AF213" s="6"/>
      <c r="AG213" s="6"/>
      <c r="AV213" s="14"/>
      <c r="AW213" s="14"/>
    </row>
    <row r="214" spans="12:49" x14ac:dyDescent="0.3">
      <c r="L214" s="1">
        <v>45904</v>
      </c>
      <c r="M214" s="3">
        <f>Data!B211</f>
        <v>302.35006713867102</v>
      </c>
      <c r="N214" s="3">
        <f>Data!H211</f>
        <v>149.61912536621</v>
      </c>
      <c r="O214" s="3">
        <f>Data!N211</f>
        <v>50.339996337890597</v>
      </c>
      <c r="Q214" s="1">
        <v>45904</v>
      </c>
      <c r="R214" s="4">
        <f t="shared" si="14"/>
        <v>1.4390192958636527E-2</v>
      </c>
      <c r="S214" s="4">
        <f t="shared" si="15"/>
        <v>1.3465202284486555E-2</v>
      </c>
      <c r="T214" s="4">
        <f t="shared" si="16"/>
        <v>1.1186528473588364E-2</v>
      </c>
      <c r="V214" s="1">
        <v>45904</v>
      </c>
      <c r="W214" s="6">
        <f t="shared" si="17"/>
        <v>1.3059097343462089E-2</v>
      </c>
      <c r="AD214" s="1"/>
      <c r="AE214" s="6"/>
      <c r="AF214" s="6"/>
      <c r="AG214" s="6"/>
      <c r="AV214" s="14"/>
      <c r="AW214" s="14"/>
    </row>
    <row r="215" spans="12:49" x14ac:dyDescent="0.3">
      <c r="L215" s="1">
        <v>45905</v>
      </c>
      <c r="M215" s="3">
        <f>Data!B212</f>
        <v>292.95571899414</v>
      </c>
      <c r="N215" s="3">
        <f>Data!H212</f>
        <v>147.19389343261699</v>
      </c>
      <c r="O215" s="3">
        <f>Data!N212</f>
        <v>49.770000457763601</v>
      </c>
      <c r="Q215" s="1">
        <v>45905</v>
      </c>
      <c r="R215" s="4">
        <f t="shared" si="14"/>
        <v>-3.1071096604792126E-2</v>
      </c>
      <c r="S215" s="4">
        <f t="shared" si="15"/>
        <v>-1.6209371145947893E-2</v>
      </c>
      <c r="T215" s="4">
        <f t="shared" si="16"/>
        <v>-1.1322922558458015E-2</v>
      </c>
      <c r="V215" s="1">
        <v>45905</v>
      </c>
      <c r="W215" s="6">
        <f t="shared" si="17"/>
        <v>-1.92019542073542E-2</v>
      </c>
      <c r="AD215" s="1"/>
      <c r="AE215" s="6"/>
      <c r="AF215" s="6"/>
      <c r="AG215" s="6"/>
      <c r="AV215" s="14"/>
      <c r="AW215" s="14"/>
    </row>
    <row r="216" spans="12:49" x14ac:dyDescent="0.3">
      <c r="L216" s="1">
        <v>45908</v>
      </c>
      <c r="M216" s="3">
        <f>Data!B213</f>
        <v>291.49282836914</v>
      </c>
      <c r="N216" s="3">
        <f>Data!H213</f>
        <v>147.8896484375</v>
      </c>
      <c r="O216" s="3">
        <f>Data!N213</f>
        <v>49.459999084472599</v>
      </c>
      <c r="Q216" s="1">
        <v>45908</v>
      </c>
      <c r="R216" s="4">
        <f t="shared" si="14"/>
        <v>-4.9935554425181161E-3</v>
      </c>
      <c r="S216" s="4">
        <f t="shared" si="15"/>
        <v>4.7267925907641395E-3</v>
      </c>
      <c r="T216" s="4">
        <f t="shared" si="16"/>
        <v>-6.2286793337299473E-3</v>
      </c>
      <c r="V216" s="1">
        <v>45908</v>
      </c>
      <c r="W216" s="6">
        <f t="shared" si="17"/>
        <v>-1.475953396568763E-3</v>
      </c>
      <c r="AD216" s="1"/>
      <c r="AE216" s="6"/>
      <c r="AF216" s="6"/>
      <c r="AG216" s="6"/>
      <c r="AV216" s="14"/>
      <c r="AW216" s="14"/>
    </row>
    <row r="217" spans="12:49" x14ac:dyDescent="0.3">
      <c r="L217" s="1">
        <v>45909</v>
      </c>
      <c r="M217" s="3">
        <f>Data!B214</f>
        <v>296.408935546875</v>
      </c>
      <c r="N217" s="3">
        <f>Data!H214</f>
        <v>151.298904418945</v>
      </c>
      <c r="O217" s="3">
        <f>Data!N214</f>
        <v>50.290000915527301</v>
      </c>
      <c r="Q217" s="1">
        <v>45909</v>
      </c>
      <c r="R217" s="4">
        <f t="shared" si="14"/>
        <v>1.686527660128001E-2</v>
      </c>
      <c r="S217" s="4">
        <f t="shared" si="15"/>
        <v>2.3052701912979368E-2</v>
      </c>
      <c r="T217" s="4">
        <f t="shared" si="16"/>
        <v>1.6781274695075288E-2</v>
      </c>
      <c r="V217" s="1">
        <v>45909</v>
      </c>
      <c r="W217" s="6">
        <f t="shared" si="17"/>
        <v>1.9315046154098337E-2</v>
      </c>
      <c r="AD217" s="1"/>
      <c r="AE217" s="6"/>
      <c r="AF217" s="6"/>
      <c r="AG217" s="6"/>
      <c r="AV217" s="14"/>
      <c r="AW217" s="14"/>
    </row>
    <row r="218" spans="12:49" x14ac:dyDescent="0.3">
      <c r="L218" s="1">
        <v>45910</v>
      </c>
      <c r="M218" s="3">
        <f>Data!B215</f>
        <v>299.0859375</v>
      </c>
      <c r="N218" s="3">
        <f>Data!H215</f>
        <v>153.187408447265</v>
      </c>
      <c r="O218" s="3">
        <f>Data!N215</f>
        <v>50.130001068115199</v>
      </c>
      <c r="Q218" s="1">
        <v>45910</v>
      </c>
      <c r="R218" s="4">
        <f t="shared" si="14"/>
        <v>9.0314482192850321E-3</v>
      </c>
      <c r="S218" s="4">
        <f t="shared" si="15"/>
        <v>1.2481941198270396E-2</v>
      </c>
      <c r="T218" s="4">
        <f t="shared" si="16"/>
        <v>-3.1815439351623453E-3</v>
      </c>
      <c r="V218" s="1">
        <v>45910</v>
      </c>
      <c r="W218" s="6">
        <f t="shared" si="17"/>
        <v>6.7477477645449657E-3</v>
      </c>
      <c r="AD218" s="1"/>
      <c r="AE218" s="6"/>
      <c r="AF218" s="6"/>
      <c r="AG218" s="6"/>
      <c r="AV218" s="14"/>
      <c r="AW218" s="14"/>
    </row>
    <row r="219" spans="12:49" x14ac:dyDescent="0.3">
      <c r="L219" s="1">
        <v>45911</v>
      </c>
      <c r="M219" s="3">
        <f>Data!B216</f>
        <v>304.08163452148398</v>
      </c>
      <c r="N219" s="3">
        <f>Data!H216</f>
        <v>155.53312683105401</v>
      </c>
      <c r="O219" s="3">
        <f>Data!N216</f>
        <v>50.75</v>
      </c>
      <c r="Q219" s="1">
        <v>45911</v>
      </c>
      <c r="R219" s="4">
        <f t="shared" si="14"/>
        <v>1.6703216016246136E-2</v>
      </c>
      <c r="S219" s="4">
        <f t="shared" si="15"/>
        <v>1.5312736259237125E-2</v>
      </c>
      <c r="T219" s="4">
        <f t="shared" si="16"/>
        <v>1.2367822036196685E-2</v>
      </c>
      <c r="V219" s="1">
        <v>45911</v>
      </c>
      <c r="W219" s="6">
        <f t="shared" si="17"/>
        <v>1.4846405919427697E-2</v>
      </c>
      <c r="AD219" s="1"/>
      <c r="AE219" s="6"/>
      <c r="AF219" s="6"/>
      <c r="AG219" s="6"/>
      <c r="AV219" s="14"/>
      <c r="AW219" s="14"/>
    </row>
    <row r="220" spans="12:49" x14ac:dyDescent="0.3">
      <c r="L220" s="1">
        <v>45912</v>
      </c>
      <c r="M220" s="3">
        <f>Data!B217</f>
        <v>305.42510986328102</v>
      </c>
      <c r="N220" s="3">
        <f>Data!H217</f>
        <v>155.44367980957</v>
      </c>
      <c r="O220" s="3">
        <f>Data!N217</f>
        <v>50.580001831054602</v>
      </c>
      <c r="Q220" s="1">
        <v>45912</v>
      </c>
      <c r="R220" s="4">
        <f t="shared" si="14"/>
        <v>4.4181403586283086E-3</v>
      </c>
      <c r="S220" s="4">
        <f t="shared" si="15"/>
        <v>-5.75099487205466E-4</v>
      </c>
      <c r="T220" s="4">
        <f t="shared" si="16"/>
        <v>-3.3497176146876084E-3</v>
      </c>
      <c r="V220" s="1">
        <v>45912</v>
      </c>
      <c r="W220" s="6">
        <f t="shared" si="17"/>
        <v>9.0487028300023772E-5</v>
      </c>
      <c r="AD220" s="1"/>
      <c r="AE220" s="6"/>
      <c r="AF220" s="6"/>
      <c r="AG220" s="6"/>
      <c r="AV220" s="14"/>
      <c r="AW220" s="14"/>
    </row>
    <row r="221" spans="12:49" x14ac:dyDescent="0.3">
      <c r="L221" s="1">
        <v>45915</v>
      </c>
      <c r="M221" s="3">
        <f>Data!B218</f>
        <v>307.40545654296801</v>
      </c>
      <c r="N221" s="3">
        <f>Data!H218</f>
        <v>155.69215393066401</v>
      </c>
      <c r="O221" s="3">
        <f>Data!N218</f>
        <v>50.590000152587798</v>
      </c>
      <c r="Q221" s="1">
        <v>45915</v>
      </c>
      <c r="R221" s="4">
        <f t="shared" si="14"/>
        <v>6.4839026515319809E-3</v>
      </c>
      <c r="S221" s="4">
        <f t="shared" si="15"/>
        <v>1.5984832667266247E-3</v>
      </c>
      <c r="T221" s="4">
        <f t="shared" si="16"/>
        <v>1.9767341184739884E-4</v>
      </c>
      <c r="V221" s="1">
        <v>45915</v>
      </c>
      <c r="W221" s="6">
        <f t="shared" si="17"/>
        <v>2.6438661257044637E-3</v>
      </c>
      <c r="AD221" s="1"/>
      <c r="AE221" s="6"/>
      <c r="AF221" s="6"/>
      <c r="AG221" s="6"/>
      <c r="AV221" s="14"/>
      <c r="AW221" s="14"/>
    </row>
    <row r="222" spans="12:49" x14ac:dyDescent="0.3">
      <c r="L222" s="1">
        <v>45916</v>
      </c>
      <c r="M222" s="3">
        <f>Data!B219</f>
        <v>307.69406127929602</v>
      </c>
      <c r="N222" s="3">
        <f>Data!H219</f>
        <v>154.8671875</v>
      </c>
      <c r="O222" s="3">
        <f>Data!N219</f>
        <v>50.659999847412102</v>
      </c>
      <c r="Q222" s="1">
        <v>45916</v>
      </c>
      <c r="R222" s="4">
        <f t="shared" si="14"/>
        <v>9.3884064249749599E-4</v>
      </c>
      <c r="S222" s="4">
        <f t="shared" si="15"/>
        <v>-5.2987026631502454E-3</v>
      </c>
      <c r="T222" s="4">
        <f t="shared" si="16"/>
        <v>1.3836666260758079E-3</v>
      </c>
      <c r="V222" s="1">
        <v>45916</v>
      </c>
      <c r="W222" s="6">
        <f t="shared" si="17"/>
        <v>-1.4227288846881073E-3</v>
      </c>
      <c r="AD222" s="1"/>
      <c r="AE222" s="6"/>
      <c r="AF222" s="6"/>
      <c r="AG222" s="6"/>
      <c r="AV222" s="14"/>
      <c r="AW222" s="14"/>
    </row>
    <row r="223" spans="12:49" x14ac:dyDescent="0.3">
      <c r="L223" s="1">
        <v>45917</v>
      </c>
      <c r="M223" s="3">
        <f>Data!B220</f>
        <v>310.24166870117102</v>
      </c>
      <c r="N223" s="3">
        <f>Data!H220</f>
        <v>156.45750427246</v>
      </c>
      <c r="O223" s="3">
        <f>Data!N220</f>
        <v>51.400001525878899</v>
      </c>
      <c r="Q223" s="1">
        <v>45917</v>
      </c>
      <c r="R223" s="4">
        <f t="shared" si="14"/>
        <v>8.2796769339090748E-3</v>
      </c>
      <c r="S223" s="4">
        <f t="shared" si="15"/>
        <v>1.0268907172218178E-2</v>
      </c>
      <c r="T223" s="4">
        <f t="shared" si="16"/>
        <v>1.4607218331932126E-2</v>
      </c>
      <c r="V223" s="1">
        <v>45917</v>
      </c>
      <c r="W223" s="6">
        <f t="shared" si="17"/>
        <v>1.097363144863963E-2</v>
      </c>
      <c r="AD223" s="1"/>
      <c r="AE223" s="6"/>
      <c r="AF223" s="6"/>
      <c r="AG223" s="6"/>
      <c r="AV223" s="14"/>
      <c r="AW223" s="14"/>
    </row>
    <row r="224" spans="12:49" x14ac:dyDescent="0.3">
      <c r="L224" s="1">
        <v>45918</v>
      </c>
      <c r="M224" s="3">
        <f>Data!B221</f>
        <v>311.71453857421801</v>
      </c>
      <c r="N224" s="3">
        <f>Data!H221</f>
        <v>158.27642822265599</v>
      </c>
      <c r="O224" s="3">
        <f>Data!N221</f>
        <v>52.130001068115199</v>
      </c>
      <c r="Q224" s="1">
        <v>45918</v>
      </c>
      <c r="R224" s="4">
        <f t="shared" si="14"/>
        <v>4.7474921057935049E-3</v>
      </c>
      <c r="S224" s="4">
        <f t="shared" si="15"/>
        <v>1.1625674068202363E-2</v>
      </c>
      <c r="T224" s="4">
        <f t="shared" si="16"/>
        <v>1.420232530282628E-2</v>
      </c>
      <c r="V224" s="1">
        <v>45918</v>
      </c>
      <c r="W224" s="6">
        <f t="shared" si="17"/>
        <v>1.0335214849866881E-2</v>
      </c>
      <c r="AD224" s="1"/>
      <c r="AE224" s="6"/>
      <c r="AF224" s="6"/>
      <c r="AG224" s="6"/>
      <c r="AV224" s="14"/>
      <c r="AW224" s="14"/>
    </row>
    <row r="225" spans="12:49" x14ac:dyDescent="0.3">
      <c r="L225" s="1">
        <v>45919</v>
      </c>
      <c r="M225" s="3">
        <f>Data!B222</f>
        <v>313.25701904296801</v>
      </c>
      <c r="N225" s="3">
        <f>Data!H222</f>
        <v>158.9423828125</v>
      </c>
      <c r="O225" s="3">
        <f>Data!N222</f>
        <v>52.25</v>
      </c>
      <c r="Q225" s="1">
        <v>45919</v>
      </c>
      <c r="R225" s="4">
        <f t="shared" si="14"/>
        <v>4.9483751248988739E-3</v>
      </c>
      <c r="S225" s="4">
        <f t="shared" si="15"/>
        <v>4.2075411817303898E-3</v>
      </c>
      <c r="T225" s="4">
        <f t="shared" si="16"/>
        <v>2.3019169274138829E-3</v>
      </c>
      <c r="V225" s="1">
        <v>45919</v>
      </c>
      <c r="W225" s="6">
        <f t="shared" si="17"/>
        <v>3.8581040883859828E-3</v>
      </c>
      <c r="AD225" s="1"/>
      <c r="AE225" s="6"/>
      <c r="AF225" s="6"/>
      <c r="AG225" s="6"/>
      <c r="AV225" s="14"/>
      <c r="AW225" s="14"/>
    </row>
    <row r="226" spans="12:49" x14ac:dyDescent="0.3">
      <c r="L226" s="1">
        <v>45922</v>
      </c>
      <c r="M226" s="3">
        <f>Data!B223</f>
        <v>310.92834472656199</v>
      </c>
      <c r="N226" s="3">
        <f>Data!H223</f>
        <v>159.737533569335</v>
      </c>
      <c r="O226" s="3">
        <f>Data!N223</f>
        <v>51.919998168945298</v>
      </c>
      <c r="Q226" s="1">
        <v>45922</v>
      </c>
      <c r="R226" s="4">
        <f t="shared" si="14"/>
        <v>-7.4337498438833416E-3</v>
      </c>
      <c r="S226" s="4">
        <f t="shared" si="15"/>
        <v>5.0027610179534943E-3</v>
      </c>
      <c r="T226" s="4">
        <f t="shared" si="16"/>
        <v>-6.3158245177933336E-3</v>
      </c>
      <c r="V226" s="1">
        <v>45922</v>
      </c>
      <c r="W226" s="6">
        <f t="shared" si="17"/>
        <v>-2.1237679013216045E-3</v>
      </c>
      <c r="AD226" s="1"/>
      <c r="AE226" s="6"/>
      <c r="AF226" s="6"/>
      <c r="AG226" s="6"/>
      <c r="AV226" s="14"/>
      <c r="AW226" s="14"/>
    </row>
    <row r="227" spans="12:49" x14ac:dyDescent="0.3">
      <c r="L227" s="1">
        <v>45923</v>
      </c>
      <c r="M227" s="3">
        <f>Data!B224</f>
        <v>311.22686767578102</v>
      </c>
      <c r="N227" s="3">
        <f>Data!H224</f>
        <v>159.78723144531199</v>
      </c>
      <c r="O227" s="3">
        <f>Data!N224</f>
        <v>51.700000762939403</v>
      </c>
      <c r="Q227" s="1">
        <v>45923</v>
      </c>
      <c r="R227" s="4">
        <f t="shared" si="14"/>
        <v>9.6010207587071683E-4</v>
      </c>
      <c r="S227" s="4">
        <f t="shared" si="15"/>
        <v>3.1112209426598092E-4</v>
      </c>
      <c r="T227" s="4">
        <f t="shared" si="16"/>
        <v>-4.2372383236616296E-3</v>
      </c>
      <c r="V227" s="1">
        <v>45923</v>
      </c>
      <c r="W227" s="6">
        <f t="shared" si="17"/>
        <v>-8.5869203663088147E-4</v>
      </c>
      <c r="AD227" s="1"/>
      <c r="AE227" s="6"/>
      <c r="AF227" s="6"/>
      <c r="AG227" s="6"/>
      <c r="AV227" s="14"/>
      <c r="AW227" s="14"/>
    </row>
    <row r="228" spans="12:49" x14ac:dyDescent="0.3">
      <c r="L228" s="1">
        <v>45924</v>
      </c>
      <c r="M228" s="3">
        <f>Data!B225</f>
        <v>311.90362548828102</v>
      </c>
      <c r="N228" s="3">
        <f>Data!H225</f>
        <v>156.92466735839801</v>
      </c>
      <c r="O228" s="3">
        <f>Data!N225</f>
        <v>51.700000762939403</v>
      </c>
      <c r="Q228" s="1">
        <v>45924</v>
      </c>
      <c r="R228" s="4">
        <f t="shared" si="14"/>
        <v>2.1744838983663861E-3</v>
      </c>
      <c r="S228" s="4">
        <f t="shared" si="15"/>
        <v>-1.7914848771215519E-2</v>
      </c>
      <c r="T228" s="4">
        <f t="shared" si="16"/>
        <v>0</v>
      </c>
      <c r="V228" s="1">
        <v>45924</v>
      </c>
      <c r="W228" s="6">
        <f t="shared" si="17"/>
        <v>-6.5135943389762916E-3</v>
      </c>
      <c r="AD228" s="1"/>
      <c r="AE228" s="6"/>
      <c r="AF228" s="6"/>
      <c r="AG228" s="6"/>
      <c r="AV228" s="14"/>
      <c r="AW228" s="14"/>
    </row>
    <row r="229" spans="12:49" x14ac:dyDescent="0.3">
      <c r="L229" s="1">
        <v>45925</v>
      </c>
      <c r="M229" s="3">
        <f>Data!B226</f>
        <v>311.93347167968699</v>
      </c>
      <c r="N229" s="3">
        <f>Data!H226</f>
        <v>157.98817443847599</v>
      </c>
      <c r="O229" s="3">
        <f>Data!N226</f>
        <v>51.849998474121001</v>
      </c>
      <c r="Q229" s="1">
        <v>45925</v>
      </c>
      <c r="R229" s="4">
        <f t="shared" si="14"/>
        <v>9.5690427962313862E-5</v>
      </c>
      <c r="S229" s="4">
        <f t="shared" si="15"/>
        <v>6.7771823128932596E-3</v>
      </c>
      <c r="T229" s="4">
        <f t="shared" si="16"/>
        <v>2.9013096512200409E-3</v>
      </c>
      <c r="V229" s="1">
        <v>45925</v>
      </c>
      <c r="W229" s="6">
        <f t="shared" si="17"/>
        <v>3.6099729489120101E-3</v>
      </c>
      <c r="AD229" s="1"/>
      <c r="AE229" s="6"/>
      <c r="AF229" s="6"/>
      <c r="AG229" s="6"/>
      <c r="AV229" s="14"/>
      <c r="AW229" s="14"/>
    </row>
    <row r="230" spans="12:49" x14ac:dyDescent="0.3">
      <c r="L230" s="1">
        <v>45926</v>
      </c>
      <c r="M230" s="3">
        <f>Data!B227</f>
        <v>314.53082275390602</v>
      </c>
      <c r="N230" s="3">
        <f>Data!H227</f>
        <v>159.14115905761699</v>
      </c>
      <c r="O230" s="3">
        <f>Data!N227</f>
        <v>52.209999084472599</v>
      </c>
      <c r="Q230" s="1">
        <v>45926</v>
      </c>
      <c r="R230" s="4">
        <f t="shared" si="14"/>
        <v>8.3266186864554559E-3</v>
      </c>
      <c r="S230" s="4">
        <f t="shared" si="15"/>
        <v>7.2979172222158439E-3</v>
      </c>
      <c r="T230" s="4">
        <f t="shared" si="16"/>
        <v>6.9431170867106928E-3</v>
      </c>
      <c r="V230" s="1">
        <v>45926</v>
      </c>
      <c r="W230" s="6">
        <f t="shared" si="17"/>
        <v>7.5000876208361818E-3</v>
      </c>
      <c r="AD230" s="1"/>
      <c r="AE230" s="6"/>
      <c r="AF230" s="6"/>
      <c r="AG230" s="6"/>
      <c r="AV230" s="14"/>
      <c r="AW230" s="14"/>
    </row>
    <row r="231" spans="12:49" x14ac:dyDescent="0.3">
      <c r="L231" s="1">
        <v>45929</v>
      </c>
      <c r="M231" s="3">
        <f>Data!B228</f>
        <v>314.16262817382801</v>
      </c>
      <c r="N231" s="3">
        <f>Data!H228</f>
        <v>160.184814453125</v>
      </c>
      <c r="O231" s="3">
        <f>Data!N228</f>
        <v>52.419998168945298</v>
      </c>
      <c r="Q231" s="1">
        <v>45929</v>
      </c>
      <c r="R231" s="4">
        <f t="shared" si="14"/>
        <v>-1.1706152575262641E-3</v>
      </c>
      <c r="S231" s="4">
        <f t="shared" si="15"/>
        <v>6.5580482239051552E-3</v>
      </c>
      <c r="T231" s="4">
        <f t="shared" si="16"/>
        <v>4.0222005009602491E-3</v>
      </c>
      <c r="V231" s="1">
        <v>45929</v>
      </c>
      <c r="W231" s="6">
        <f t="shared" si="17"/>
        <v>3.4786948625922581E-3</v>
      </c>
      <c r="AD231" s="1"/>
      <c r="AE231" s="6"/>
      <c r="AF231" s="6"/>
      <c r="AG231" s="6"/>
      <c r="AV231" s="14"/>
      <c r="AW231" s="14"/>
    </row>
    <row r="232" spans="12:49" x14ac:dyDescent="0.3">
      <c r="L232" s="1">
        <v>45930</v>
      </c>
      <c r="M232" s="3">
        <f>Data!B229</f>
        <v>313.90386962890602</v>
      </c>
      <c r="N232" s="3">
        <f>Data!H229</f>
        <v>157.998123168945</v>
      </c>
      <c r="O232" s="3">
        <f>Data!N229</f>
        <v>51.590000152587798</v>
      </c>
      <c r="Q232" s="1">
        <v>45930</v>
      </c>
      <c r="R232" s="4">
        <f t="shared" si="14"/>
        <v>-8.2364521339184371E-4</v>
      </c>
      <c r="S232" s="4">
        <f t="shared" si="15"/>
        <v>-1.3651052327559365E-2</v>
      </c>
      <c r="T232" s="4">
        <f t="shared" si="16"/>
        <v>-1.5833613989883921E-2</v>
      </c>
      <c r="V232" s="1">
        <v>45930</v>
      </c>
      <c r="W232" s="6">
        <f t="shared" si="17"/>
        <v>-1.0457598692006475E-2</v>
      </c>
      <c r="AD232" s="1"/>
      <c r="AE232" s="6"/>
      <c r="AF232" s="6"/>
      <c r="AG232" s="6"/>
      <c r="AV232" s="14"/>
      <c r="AW232" s="14"/>
    </row>
    <row r="233" spans="12:49" x14ac:dyDescent="0.3">
      <c r="L233" s="1">
        <v>45931</v>
      </c>
      <c r="M233" s="3">
        <f>Data!B230</f>
        <v>309.20669555664</v>
      </c>
      <c r="N233" s="3">
        <f>Data!H230</f>
        <v>155.94064331054599</v>
      </c>
      <c r="O233" s="3">
        <f>Data!N230</f>
        <v>50.680000305175703</v>
      </c>
      <c r="Q233" s="1">
        <v>45931</v>
      </c>
      <c r="R233" s="4">
        <f t="shared" si="14"/>
        <v>-1.496373420888053E-2</v>
      </c>
      <c r="S233" s="4">
        <f t="shared" si="15"/>
        <v>-1.3022179106513598E-2</v>
      </c>
      <c r="T233" s="4">
        <f t="shared" si="16"/>
        <v>-1.763907433069567E-2</v>
      </c>
      <c r="V233" s="1">
        <v>45931</v>
      </c>
      <c r="W233" s="6">
        <f t="shared" si="17"/>
        <v>-1.49897142044783E-2</v>
      </c>
      <c r="AD233" s="1"/>
      <c r="AE233" s="6"/>
      <c r="AF233" s="6"/>
      <c r="AG233" s="6"/>
      <c r="AV233" s="14"/>
      <c r="AW233" s="14"/>
    </row>
    <row r="234" spans="12:49" x14ac:dyDescent="0.3">
      <c r="L234" s="1">
        <v>45932</v>
      </c>
      <c r="M234" s="3">
        <f>Data!B231</f>
        <v>306.06198120117102</v>
      </c>
      <c r="N234" s="3">
        <f>Data!H231</f>
        <v>154.36027526855401</v>
      </c>
      <c r="O234" s="3">
        <f>Data!N231</f>
        <v>50.4799995422363</v>
      </c>
      <c r="Q234" s="1">
        <v>45932</v>
      </c>
      <c r="R234" s="4">
        <f t="shared" si="14"/>
        <v>-1.0170266040998244E-2</v>
      </c>
      <c r="S234" s="4">
        <f t="shared" si="15"/>
        <v>-1.0134420433579927E-2</v>
      </c>
      <c r="T234" s="4">
        <f t="shared" si="16"/>
        <v>-3.9463449434703479E-3</v>
      </c>
      <c r="V234" s="1">
        <v>45932</v>
      </c>
      <c r="W234" s="6">
        <f t="shared" si="17"/>
        <v>-8.2887514687725473E-3</v>
      </c>
      <c r="AD234" s="1"/>
      <c r="AE234" s="6"/>
      <c r="AF234" s="6"/>
      <c r="AG234" s="6"/>
      <c r="AV234" s="14"/>
      <c r="AW234" s="14"/>
    </row>
    <row r="235" spans="12:49" x14ac:dyDescent="0.3">
      <c r="L235" s="1">
        <v>45933</v>
      </c>
      <c r="M235" s="3">
        <f>Data!B232</f>
        <v>308.52999877929602</v>
      </c>
      <c r="N235" s="3">
        <f>Data!H232</f>
        <v>156.63641357421801</v>
      </c>
      <c r="O235" s="3">
        <f>Data!N232</f>
        <v>50.639999389648402</v>
      </c>
      <c r="Q235" s="1">
        <v>45933</v>
      </c>
      <c r="R235" s="4">
        <f t="shared" si="14"/>
        <v>8.0637835788652801E-3</v>
      </c>
      <c r="S235" s="4">
        <f t="shared" si="15"/>
        <v>1.4745622225044608E-2</v>
      </c>
      <c r="T235" s="4">
        <f t="shared" si="16"/>
        <v>3.1695691137680893E-3</v>
      </c>
      <c r="V235" s="1">
        <v>45933</v>
      </c>
      <c r="W235" s="6">
        <f t="shared" si="17"/>
        <v>9.2682546978078532E-3</v>
      </c>
      <c r="AD235" s="1"/>
      <c r="AE235" s="6"/>
      <c r="AF235" s="6"/>
      <c r="AG235" s="6"/>
      <c r="AV235" s="14"/>
      <c r="AW235" s="14"/>
    </row>
    <row r="236" spans="12:49" x14ac:dyDescent="0.3">
      <c r="L236" s="1">
        <v>45936</v>
      </c>
      <c r="M236" s="3">
        <f>Data!B233</f>
        <v>309.17999267578102</v>
      </c>
      <c r="N236" s="3">
        <f>Data!H233</f>
        <v>157.133377075195</v>
      </c>
      <c r="O236" s="3">
        <f>Data!N233</f>
        <v>50.389999389648402</v>
      </c>
      <c r="Q236" s="1">
        <v>45936</v>
      </c>
      <c r="R236" s="4">
        <f t="shared" si="14"/>
        <v>2.106744559870144E-3</v>
      </c>
      <c r="S236" s="4">
        <f t="shared" si="15"/>
        <v>3.1727201206730449E-3</v>
      </c>
      <c r="T236" s="4">
        <f t="shared" si="16"/>
        <v>-4.9368089062635789E-3</v>
      </c>
      <c r="V236" s="1">
        <v>45936</v>
      </c>
      <c r="W236" s="6">
        <f t="shared" si="17"/>
        <v>4.2006874435118768E-4</v>
      </c>
      <c r="AD236" s="1"/>
      <c r="AE236" s="6"/>
      <c r="AF236" s="6"/>
      <c r="AG236" s="6"/>
      <c r="AV236" s="14"/>
      <c r="AW236" s="14"/>
    </row>
    <row r="237" spans="12:49" x14ac:dyDescent="0.3">
      <c r="L237" s="1">
        <v>45937</v>
      </c>
      <c r="M237" s="3">
        <f>Data!B234</f>
        <v>307.69000244140602</v>
      </c>
      <c r="N237" s="3">
        <f>Data!H234</f>
        <v>155.02621459960901</v>
      </c>
      <c r="O237" s="3">
        <f>Data!N234</f>
        <v>50.290000915527301</v>
      </c>
      <c r="Q237" s="1">
        <v>45937</v>
      </c>
      <c r="R237" s="4">
        <f t="shared" si="14"/>
        <v>-4.8191677006004241E-3</v>
      </c>
      <c r="S237" s="4">
        <f t="shared" si="15"/>
        <v>-1.3410024749723415E-2</v>
      </c>
      <c r="T237" s="4">
        <f t="shared" si="16"/>
        <v>-1.9844904808957731E-3</v>
      </c>
      <c r="V237" s="1">
        <v>45937</v>
      </c>
      <c r="W237" s="6">
        <f t="shared" si="17"/>
        <v>-7.4051073543382256E-3</v>
      </c>
      <c r="AD237" s="1"/>
      <c r="AE237" s="6"/>
      <c r="AF237" s="6"/>
      <c r="AG237" s="6"/>
      <c r="AV237" s="14"/>
      <c r="AW237" s="14"/>
    </row>
    <row r="238" spans="12:49" x14ac:dyDescent="0.3">
      <c r="L238" s="1">
        <v>45938</v>
      </c>
      <c r="M238" s="3">
        <f>Data!B235</f>
        <v>304.02999877929602</v>
      </c>
      <c r="N238" s="3">
        <f>Data!H235</f>
        <v>154.70814514160099</v>
      </c>
      <c r="O238" s="3">
        <f>Data!N235</f>
        <v>49.840000152587798</v>
      </c>
      <c r="Q238" s="1">
        <v>45938</v>
      </c>
      <c r="R238" s="4">
        <f t="shared" si="14"/>
        <v>-1.1895101020732657E-2</v>
      </c>
      <c r="S238" s="4">
        <f t="shared" si="15"/>
        <v>-2.0517140202996886E-3</v>
      </c>
      <c r="T238" s="4">
        <f t="shared" si="16"/>
        <v>-8.9481160220175049E-3</v>
      </c>
      <c r="V238" s="1">
        <v>45938</v>
      </c>
      <c r="W238" s="6">
        <f t="shared" si="17"/>
        <v>-7.0736507209449226E-3</v>
      </c>
      <c r="AD238" s="1"/>
      <c r="AE238" s="6"/>
      <c r="AF238" s="6"/>
      <c r="AG238" s="6"/>
      <c r="AV238" s="14"/>
      <c r="AW238" s="14"/>
    </row>
    <row r="239" spans="12:49" x14ac:dyDescent="0.3">
      <c r="L239" s="1">
        <v>45939</v>
      </c>
      <c r="M239" s="3">
        <f>Data!B236</f>
        <v>305.52999877929602</v>
      </c>
      <c r="N239" s="3">
        <f>Data!H236</f>
        <v>155.32440185546801</v>
      </c>
      <c r="O239" s="3">
        <f>Data!N236</f>
        <v>49.790000915527301</v>
      </c>
      <c r="Q239" s="1">
        <v>45939</v>
      </c>
      <c r="R239" s="4">
        <f t="shared" si="14"/>
        <v>4.9337236655020433E-3</v>
      </c>
      <c r="S239" s="4">
        <f t="shared" si="15"/>
        <v>3.9833501545958327E-3</v>
      </c>
      <c r="T239" s="4">
        <f t="shared" si="16"/>
        <v>-1.0031949620269431E-3</v>
      </c>
      <c r="V239" s="1">
        <v>45939</v>
      </c>
      <c r="W239" s="6">
        <f t="shared" si="17"/>
        <v>2.7724986728808634E-3</v>
      </c>
      <c r="AD239" s="1"/>
      <c r="AE239" s="6"/>
      <c r="AF239" s="6"/>
      <c r="AG239" s="6"/>
      <c r="AV239" s="14"/>
      <c r="AW239" s="14"/>
    </row>
    <row r="240" spans="12:49" x14ac:dyDescent="0.3">
      <c r="L240" s="1">
        <v>45940</v>
      </c>
      <c r="M240" s="3">
        <f>Data!B237</f>
        <v>300.89001464843699</v>
      </c>
      <c r="N240" s="3">
        <f>Data!H237</f>
        <v>150.94108581542901</v>
      </c>
      <c r="O240" s="3">
        <f>Data!N237</f>
        <v>48.650001525878899</v>
      </c>
      <c r="Q240" s="1">
        <v>45940</v>
      </c>
      <c r="R240" s="4">
        <f t="shared" si="14"/>
        <v>-1.5186672828846448E-2</v>
      </c>
      <c r="S240" s="4">
        <f t="shared" si="15"/>
        <v>-2.8220395428387057E-2</v>
      </c>
      <c r="T240" s="4">
        <f t="shared" si="16"/>
        <v>-2.289615120880395E-2</v>
      </c>
      <c r="V240" s="1">
        <v>45940</v>
      </c>
      <c r="W240" s="6">
        <f t="shared" si="17"/>
        <v>-2.2713005382649941E-2</v>
      </c>
      <c r="AD240" s="1"/>
      <c r="AE240" s="6"/>
      <c r="AF240" s="6"/>
      <c r="AG240" s="6"/>
      <c r="AV240" s="14"/>
      <c r="AW240" s="14"/>
    </row>
    <row r="241" spans="2:61" x14ac:dyDescent="0.3">
      <c r="L241" s="1">
        <v>45943</v>
      </c>
      <c r="M241" s="3">
        <f>Data!B238</f>
        <v>307.97000122070301</v>
      </c>
      <c r="N241" s="3">
        <f>Data!H238</f>
        <v>154.19129943847599</v>
      </c>
      <c r="O241" s="3">
        <f>Data!N238</f>
        <v>48.860000610351499</v>
      </c>
      <c r="Q241" s="1">
        <v>45943</v>
      </c>
      <c r="R241" s="4">
        <f t="shared" si="14"/>
        <v>2.3530147986261296E-2</v>
      </c>
      <c r="S241" s="4">
        <f t="shared" si="15"/>
        <v>2.1532994846885867E-2</v>
      </c>
      <c r="T241" s="4">
        <f t="shared" si="16"/>
        <v>4.3165278085528502E-3</v>
      </c>
      <c r="V241" s="1">
        <v>45943</v>
      </c>
      <c r="W241" s="6">
        <f t="shared" si="17"/>
        <v>1.6967200677198591E-2</v>
      </c>
      <c r="AD241" s="1"/>
      <c r="AE241" s="6"/>
      <c r="AF241" s="6"/>
      <c r="AG241" s="6"/>
      <c r="AV241" s="14"/>
      <c r="AW241" s="14"/>
    </row>
    <row r="242" spans="2:61" x14ac:dyDescent="0.3">
      <c r="L242" s="1">
        <v>45944</v>
      </c>
      <c r="M242" s="3">
        <f>Data!B239</f>
        <v>302.079986572265</v>
      </c>
      <c r="N242" s="3">
        <f>Data!H239</f>
        <v>154.40002441406199</v>
      </c>
      <c r="O242" s="3">
        <f>Data!N239</f>
        <v>50.090000152587798</v>
      </c>
      <c r="Q242" s="1">
        <v>45944</v>
      </c>
      <c r="R242" s="4">
        <f t="shared" si="14"/>
        <v>-1.9125286960066656E-2</v>
      </c>
      <c r="S242" s="4">
        <f t="shared" si="15"/>
        <v>1.3536754430769626E-3</v>
      </c>
      <c r="T242" s="4">
        <f t="shared" si="16"/>
        <v>2.5173956751357807E-2</v>
      </c>
      <c r="V242" s="1">
        <v>45944</v>
      </c>
      <c r="W242" s="6">
        <f t="shared" si="17"/>
        <v>2.3560711146181296E-3</v>
      </c>
      <c r="AD242" s="1"/>
      <c r="AE242" s="6"/>
      <c r="AF242" s="6"/>
      <c r="AG242" s="6"/>
      <c r="AV242" s="14"/>
      <c r="AW242" s="14"/>
    </row>
    <row r="243" spans="2:61" x14ac:dyDescent="0.3">
      <c r="L243" s="1">
        <v>45945</v>
      </c>
      <c r="M243" s="3">
        <f>Data!B240</f>
        <v>305.69000244140602</v>
      </c>
      <c r="N243" s="3">
        <f>Data!H240</f>
        <v>161.66578674316401</v>
      </c>
      <c r="O243" s="3">
        <f>Data!N240</f>
        <v>52.279998779296797</v>
      </c>
      <c r="Q243" s="1">
        <v>45945</v>
      </c>
      <c r="R243" s="4">
        <f t="shared" si="14"/>
        <v>1.1950529759035877E-2</v>
      </c>
      <c r="S243" s="4">
        <f t="shared" si="15"/>
        <v>4.7058038732021634E-2</v>
      </c>
      <c r="T243" s="4">
        <f t="shared" si="16"/>
        <v>4.3721274107360042E-2</v>
      </c>
      <c r="V243" s="1">
        <v>45945</v>
      </c>
      <c r="W243" s="6">
        <f t="shared" si="17"/>
        <v>3.5524756652727432E-2</v>
      </c>
      <c r="AD243" s="1"/>
      <c r="AE243" s="6"/>
      <c r="AF243" s="6"/>
      <c r="AG243" s="6"/>
      <c r="AV243" s="14"/>
      <c r="AW243" s="14"/>
    </row>
    <row r="244" spans="2:61" x14ac:dyDescent="0.3">
      <c r="L244" s="1">
        <v>45946</v>
      </c>
      <c r="M244" s="3">
        <f>Data!B241</f>
        <v>298.54000854492102</v>
      </c>
      <c r="N244" s="3">
        <f>Data!H241</f>
        <v>159.05171203613199</v>
      </c>
      <c r="O244" s="3">
        <f>Data!N241</f>
        <v>50.439998626708899</v>
      </c>
      <c r="Q244" s="1">
        <v>45946</v>
      </c>
      <c r="R244" s="4">
        <f t="shared" si="14"/>
        <v>-2.3389688375090034E-2</v>
      </c>
      <c r="S244" s="4">
        <f t="shared" si="15"/>
        <v>-1.6169622278738305E-2</v>
      </c>
      <c r="T244" s="4">
        <f t="shared" si="16"/>
        <v>-3.5195107030426165E-2</v>
      </c>
      <c r="V244" s="1">
        <v>45946</v>
      </c>
      <c r="W244" s="6">
        <f t="shared" si="17"/>
        <v>-2.404328753315018E-2</v>
      </c>
      <c r="AD244" s="1"/>
      <c r="AE244" s="6"/>
      <c r="AF244" s="6"/>
      <c r="AG244" s="6"/>
      <c r="AV244" s="14"/>
      <c r="AW244" s="14"/>
    </row>
    <row r="245" spans="2:61" x14ac:dyDescent="0.3">
      <c r="L245" s="1">
        <v>45947</v>
      </c>
      <c r="M245" s="3">
        <f>Data!B242</f>
        <v>297.55999755859301</v>
      </c>
      <c r="N245" s="3">
        <f>Data!H242</f>
        <v>157.709869384765</v>
      </c>
      <c r="O245" s="3">
        <f>Data!N242</f>
        <v>51.279998779296797</v>
      </c>
      <c r="Q245" s="1">
        <v>45947</v>
      </c>
      <c r="R245" s="4">
        <f t="shared" si="14"/>
        <v>-3.2826788982306399E-3</v>
      </c>
      <c r="S245" s="4">
        <f t="shared" si="15"/>
        <v>-8.4365181247603171E-3</v>
      </c>
      <c r="T245" s="4">
        <f t="shared" si="16"/>
        <v>1.6653453121687978E-2</v>
      </c>
      <c r="V245" s="1">
        <v>45947</v>
      </c>
      <c r="W245" s="6">
        <f t="shared" si="17"/>
        <v>6.3662501713307451E-4</v>
      </c>
      <c r="AD245" s="1"/>
      <c r="AE245" s="6"/>
      <c r="AF245" s="6"/>
      <c r="AG245" s="6"/>
      <c r="AV245" s="14"/>
      <c r="AW245" s="14"/>
    </row>
    <row r="246" spans="2:61" x14ac:dyDescent="0.3">
      <c r="L246" s="1">
        <v>45950</v>
      </c>
      <c r="M246" s="3">
        <f>Data!B243</f>
        <v>302.35998535156199</v>
      </c>
      <c r="N246" s="3">
        <f>Data!H243</f>
        <v>160.98991394042901</v>
      </c>
      <c r="O246" s="3">
        <f>Data!N243</f>
        <v>52.040000915527301</v>
      </c>
      <c r="Q246" s="1">
        <v>45950</v>
      </c>
      <c r="R246" s="4">
        <f t="shared" si="14"/>
        <v>1.6131159538754103E-2</v>
      </c>
      <c r="S246" s="4">
        <f t="shared" si="15"/>
        <v>2.0797966344526353E-2</v>
      </c>
      <c r="T246" s="4">
        <f t="shared" si="16"/>
        <v>1.482063483467444E-2</v>
      </c>
      <c r="V246" s="1">
        <v>45950</v>
      </c>
      <c r="W246" s="6">
        <f t="shared" si="17"/>
        <v>1.7604724849839104E-2</v>
      </c>
      <c r="AD246" s="1"/>
      <c r="AE246" s="6"/>
      <c r="AF246" s="6"/>
      <c r="AG246" s="6"/>
      <c r="AV246" s="14"/>
      <c r="AW246" s="14"/>
    </row>
    <row r="247" spans="2:61" x14ac:dyDescent="0.3">
      <c r="L247" s="1">
        <v>45951</v>
      </c>
      <c r="M247" s="3">
        <f>Data!B244</f>
        <v>297.08999633789</v>
      </c>
      <c r="N247" s="3">
        <f>Data!H244</f>
        <v>158.26647949218699</v>
      </c>
      <c r="O247" s="3">
        <f>Data!N244</f>
        <v>51.520000457763601</v>
      </c>
      <c r="Q247" s="1">
        <v>45951</v>
      </c>
      <c r="R247" s="4">
        <f t="shared" si="14"/>
        <v>-1.7429518682984591E-2</v>
      </c>
      <c r="S247" s="4">
        <f t="shared" si="15"/>
        <v>-1.6916801690134209E-2</v>
      </c>
      <c r="T247" s="4">
        <f t="shared" si="16"/>
        <v>-9.9923222255083877E-3</v>
      </c>
      <c r="V247" s="1">
        <v>45951</v>
      </c>
      <c r="W247" s="6">
        <f t="shared" si="17"/>
        <v>-1.4993272948601576E-2</v>
      </c>
      <c r="AD247" s="1"/>
      <c r="AE247" s="6"/>
      <c r="AF247" s="6"/>
      <c r="AG247" s="6"/>
      <c r="AV247" s="14"/>
      <c r="AW247" s="14"/>
    </row>
    <row r="248" spans="2:61" x14ac:dyDescent="0.3">
      <c r="L248" s="1">
        <v>45952</v>
      </c>
      <c r="M248" s="3">
        <f>Data!B245</f>
        <v>294.10998535156199</v>
      </c>
      <c r="N248" s="3">
        <f>Data!H245</f>
        <v>157.16320800781199</v>
      </c>
      <c r="O248" s="3">
        <f>Data!N245</f>
        <v>51.099998474121001</v>
      </c>
      <c r="Q248" s="1">
        <v>45952</v>
      </c>
      <c r="R248" s="4">
        <f t="shared" si="14"/>
        <v>-1.0030667552127004E-2</v>
      </c>
      <c r="S248" s="4">
        <f t="shared" si="15"/>
        <v>-6.9709738152700096E-3</v>
      </c>
      <c r="T248" s="4">
        <f t="shared" si="16"/>
        <v>-8.1522123429893512E-3</v>
      </c>
      <c r="V248" s="1">
        <v>45952</v>
      </c>
      <c r="W248" s="6">
        <f t="shared" si="17"/>
        <v>-8.2432534946429107E-3</v>
      </c>
      <c r="AD248" s="1"/>
      <c r="AE248" s="6"/>
      <c r="AF248" s="6"/>
      <c r="AG248" s="6"/>
      <c r="AV248" s="14"/>
      <c r="AW248" s="14"/>
    </row>
    <row r="249" spans="2:61" x14ac:dyDescent="0.3">
      <c r="L249" s="1">
        <v>45953</v>
      </c>
      <c r="M249" s="3">
        <f>Data!B246</f>
        <v>294.54000854492102</v>
      </c>
      <c r="N249" s="3">
        <f>Data!H246</f>
        <v>158.34600830078099</v>
      </c>
      <c r="O249" s="3">
        <f>Data!N246</f>
        <v>51.759998321533203</v>
      </c>
      <c r="Q249" s="1">
        <v>45953</v>
      </c>
      <c r="R249" s="4">
        <f t="shared" si="14"/>
        <v>1.462116945281533E-3</v>
      </c>
      <c r="S249" s="4">
        <f t="shared" si="15"/>
        <v>7.5259363050810268E-3</v>
      </c>
      <c r="T249" s="4">
        <f t="shared" si="16"/>
        <v>1.291584867162876E-2</v>
      </c>
      <c r="V249" s="1">
        <v>45953</v>
      </c>
      <c r="W249" s="6">
        <f t="shared" si="17"/>
        <v>7.3237642071054985E-3</v>
      </c>
      <c r="AD249" s="1"/>
      <c r="AE249" s="6"/>
      <c r="AF249" s="6"/>
      <c r="AG249" s="6"/>
      <c r="AV249" s="14"/>
      <c r="AW249" s="14"/>
    </row>
    <row r="250" spans="2:61" x14ac:dyDescent="0.3">
      <c r="L250" s="1">
        <v>45954</v>
      </c>
      <c r="M250" s="3">
        <f>Data!B247</f>
        <v>300.44000244140602</v>
      </c>
      <c r="N250" s="3">
        <f>Data!H247</f>
        <v>162.86846923828099</v>
      </c>
      <c r="O250" s="3">
        <f>Data!N247</f>
        <v>52.569999694824197</v>
      </c>
      <c r="Q250" s="1">
        <v>45954</v>
      </c>
      <c r="R250" s="4">
        <f t="shared" si="14"/>
        <v>2.0031213843008988E-2</v>
      </c>
      <c r="S250" s="4">
        <f t="shared" si="15"/>
        <v>2.856062483690458E-2</v>
      </c>
      <c r="T250" s="4">
        <f t="shared" si="16"/>
        <v>1.5649176962087008E-2</v>
      </c>
      <c r="V250" s="1">
        <v>45954</v>
      </c>
      <c r="W250" s="6">
        <f t="shared" si="17"/>
        <v>2.2128367176290631E-2</v>
      </c>
      <c r="AD250" s="1"/>
      <c r="AE250" s="6"/>
      <c r="AF250" s="6"/>
      <c r="AG250" s="6"/>
      <c r="AV250" s="14"/>
      <c r="AW250" s="14"/>
    </row>
    <row r="251" spans="2:61" x14ac:dyDescent="0.3">
      <c r="L251" s="1">
        <v>45957</v>
      </c>
      <c r="M251" s="3">
        <f>Data!B248</f>
        <v>304.14999389648398</v>
      </c>
      <c r="N251" s="3">
        <f>Data!H248</f>
        <v>165.01541137695301</v>
      </c>
      <c r="O251" s="3">
        <f>Data!N248</f>
        <v>53.020000457763601</v>
      </c>
      <c r="Q251" s="1">
        <v>45957</v>
      </c>
      <c r="R251" s="4">
        <f t="shared" si="14"/>
        <v>1.2348526910298752E-2</v>
      </c>
      <c r="S251" s="4">
        <f t="shared" si="15"/>
        <v>1.31820612590825E-2</v>
      </c>
      <c r="T251" s="4">
        <f t="shared" si="16"/>
        <v>8.560029780325662E-3</v>
      </c>
      <c r="V251" s="1">
        <v>45957</v>
      </c>
      <c r="W251" s="6">
        <f t="shared" si="17"/>
        <v>1.1545391510820324E-2</v>
      </c>
      <c r="AD251" s="1"/>
      <c r="AE251" s="6"/>
      <c r="AF251" s="6"/>
      <c r="AG251" s="6"/>
      <c r="AV251" s="14"/>
      <c r="AW251" s="14"/>
    </row>
    <row r="252" spans="2:61" x14ac:dyDescent="0.3">
      <c r="L252" s="1">
        <v>45958</v>
      </c>
      <c r="M252" s="3">
        <f>Data!B249</f>
        <v>305.35998535156199</v>
      </c>
      <c r="N252" s="3">
        <f>Data!H249</f>
        <v>164.21031188964801</v>
      </c>
      <c r="O252" s="3">
        <f>Data!N249</f>
        <v>52.869998931884702</v>
      </c>
      <c r="Q252" s="1">
        <v>45958</v>
      </c>
      <c r="R252" s="4">
        <f t="shared" si="14"/>
        <v>3.9782721662320331E-3</v>
      </c>
      <c r="S252" s="4">
        <f t="shared" si="15"/>
        <v>-4.8789351284642679E-3</v>
      </c>
      <c r="T252" s="4">
        <f t="shared" si="16"/>
        <v>-2.8291498412640337E-3</v>
      </c>
      <c r="V252" s="1">
        <v>45958</v>
      </c>
      <c r="W252" s="6">
        <f t="shared" si="17"/>
        <v>-1.6068373538953074E-3</v>
      </c>
      <c r="AD252" s="1"/>
      <c r="AE252" s="6"/>
      <c r="AF252" s="6"/>
      <c r="AG252" s="6"/>
      <c r="AV252" s="14"/>
      <c r="AW252" s="14"/>
    </row>
    <row r="253" spans="2:61" x14ac:dyDescent="0.3">
      <c r="L253" s="1">
        <v>45959</v>
      </c>
      <c r="M253" s="3">
        <f>Data!B250</f>
        <v>305.510009765625</v>
      </c>
      <c r="N253" s="3">
        <f>Data!H250</f>
        <v>163.03744506835901</v>
      </c>
      <c r="O253" s="3">
        <f>Data!N250</f>
        <v>52.580001831054602</v>
      </c>
      <c r="Q253" s="1">
        <v>45959</v>
      </c>
      <c r="R253" s="4">
        <f t="shared" si="14"/>
        <v>4.91303449239755E-4</v>
      </c>
      <c r="S253" s="4">
        <f t="shared" si="15"/>
        <v>-7.142467533203356E-3</v>
      </c>
      <c r="T253" s="4">
        <f t="shared" si="16"/>
        <v>-5.4850975352528364E-3</v>
      </c>
      <c r="V253" s="1">
        <v>45959</v>
      </c>
      <c r="W253" s="6">
        <f t="shared" si="17"/>
        <v>-4.3551252390852668E-3</v>
      </c>
      <c r="AD253" s="1"/>
      <c r="AE253" s="6"/>
      <c r="AF253" s="6"/>
      <c r="AG253" s="6"/>
      <c r="AV253" s="14"/>
      <c r="AW253" s="14"/>
    </row>
    <row r="254" spans="2:61" x14ac:dyDescent="0.3">
      <c r="L254" s="1">
        <v>45960</v>
      </c>
      <c r="M254" s="3">
        <f>Data!B251</f>
        <v>309.44000244140602</v>
      </c>
      <c r="N254" s="3">
        <f>Data!H251</f>
        <v>164.259994506835</v>
      </c>
      <c r="O254" s="3">
        <f>Data!N251</f>
        <v>53.029998779296797</v>
      </c>
      <c r="Q254" s="1">
        <v>45960</v>
      </c>
      <c r="R254" s="4">
        <f t="shared" si="14"/>
        <v>1.2863711662985944E-2</v>
      </c>
      <c r="S254" s="4">
        <f t="shared" si="15"/>
        <v>7.4985806969889435E-3</v>
      </c>
      <c r="T254" s="4">
        <f t="shared" si="16"/>
        <v>8.5583288811605929E-3</v>
      </c>
      <c r="V254" s="1">
        <v>45960</v>
      </c>
      <c r="W254" s="6">
        <f t="shared" si="17"/>
        <v>9.4260444420395384E-3</v>
      </c>
      <c r="AD254" s="1"/>
      <c r="AE254" s="6"/>
      <c r="AF254" s="6"/>
      <c r="AG254" s="6"/>
      <c r="AV254" s="14"/>
      <c r="AW254" s="14"/>
    </row>
    <row r="255" spans="2:61" x14ac:dyDescent="0.3">
      <c r="B255" s="1"/>
      <c r="C255" s="3"/>
      <c r="D255" s="3"/>
      <c r="E255" s="3"/>
      <c r="X255" s="1"/>
      <c r="Y255" s="4"/>
      <c r="Z255" s="4"/>
      <c r="AA255" s="4"/>
      <c r="AT255" s="1"/>
      <c r="AU255" s="6"/>
      <c r="AV255" s="14"/>
      <c r="AW255" s="14"/>
      <c r="BF255" s="1"/>
      <c r="BG255" s="6"/>
      <c r="BH255" s="6"/>
      <c r="BI255" s="6"/>
    </row>
    <row r="256" spans="2:61" x14ac:dyDescent="0.3">
      <c r="B256" s="1"/>
      <c r="C256" s="3"/>
      <c r="D256" s="3"/>
      <c r="E256" s="3"/>
      <c r="X256" s="1"/>
      <c r="Y256" s="4"/>
      <c r="Z256" s="4"/>
      <c r="AA256" s="4"/>
      <c r="AT256" s="1"/>
      <c r="AU256" s="6"/>
      <c r="AV256" s="14"/>
      <c r="AW256" s="14"/>
      <c r="BF256" s="1"/>
      <c r="BG256" s="6"/>
      <c r="BH256" s="6"/>
      <c r="BI256" s="6"/>
    </row>
    <row r="257" spans="2:49" x14ac:dyDescent="0.3">
      <c r="B257" s="1"/>
      <c r="C257" s="3"/>
      <c r="E257" s="3"/>
      <c r="X257" s="1"/>
      <c r="Y257" s="4"/>
      <c r="Z257" s="4"/>
      <c r="AA257" s="4"/>
      <c r="AT257" s="1"/>
      <c r="AU257" s="6"/>
      <c r="AV257" s="14"/>
      <c r="AW257" s="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16B8E-0871-4732-BD6D-CA4B51701497}">
  <dimension ref="A2:W255"/>
  <sheetViews>
    <sheetView showGridLines="0" zoomScale="95" workbookViewId="0">
      <selection activeCell="M17" sqref="M17"/>
    </sheetView>
  </sheetViews>
  <sheetFormatPr defaultColWidth="8.77734375" defaultRowHeight="14.4" x14ac:dyDescent="0.3"/>
  <cols>
    <col min="1" max="1" width="10.44140625" customWidth="1"/>
    <col min="2" max="2" width="8.6640625" customWidth="1"/>
    <col min="3" max="3" width="8.77734375" customWidth="1"/>
    <col min="4" max="4" width="6" customWidth="1"/>
    <col min="5" max="5" width="5.33203125" customWidth="1"/>
    <col min="6" max="6" width="10.6640625" bestFit="1" customWidth="1"/>
    <col min="7" max="8" width="7.109375" bestFit="1" customWidth="1"/>
    <col min="9" max="9" width="7.6640625" bestFit="1" customWidth="1"/>
    <col min="10" max="10" width="16.5546875" customWidth="1"/>
    <col min="11" max="11" width="5.33203125" customWidth="1"/>
    <col min="12" max="12" width="31.44140625" bestFit="1" customWidth="1"/>
    <col min="13" max="15" width="11.5546875" bestFit="1" customWidth="1"/>
    <col min="16" max="16" width="7.33203125" bestFit="1" customWidth="1"/>
    <col min="17" max="17" width="23.33203125" bestFit="1" customWidth="1"/>
    <col min="18" max="18" width="13.21875" customWidth="1"/>
    <col min="19" max="19" width="13" customWidth="1"/>
    <col min="20" max="20" width="11.5546875" bestFit="1" customWidth="1"/>
    <col min="21" max="21" width="11.5546875" customWidth="1"/>
    <col min="22" max="22" width="5" bestFit="1" customWidth="1"/>
    <col min="23" max="23" width="13.6640625" customWidth="1"/>
    <col min="25" max="25" width="23.33203125" bestFit="1" customWidth="1"/>
    <col min="26" max="26" width="12.21875" customWidth="1"/>
    <col min="27" max="28" width="11.5546875" bestFit="1" customWidth="1"/>
    <col min="29" max="29" width="14.5546875" bestFit="1" customWidth="1"/>
    <col min="30" max="30" width="4.88671875" bestFit="1" customWidth="1"/>
    <col min="32" max="32" width="31.33203125" bestFit="1" customWidth="1"/>
    <col min="33" max="35" width="13.6640625" bestFit="1" customWidth="1"/>
    <col min="37" max="37" width="21.77734375" bestFit="1" customWidth="1"/>
    <col min="38" max="39" width="11.109375" bestFit="1" customWidth="1"/>
    <col min="40" max="40" width="17" customWidth="1"/>
  </cols>
  <sheetData>
    <row r="2" spans="1:23" x14ac:dyDescent="0.3">
      <c r="A2" s="23" t="s">
        <v>95</v>
      </c>
      <c r="F2" s="23" t="s">
        <v>57</v>
      </c>
      <c r="V2" s="23" t="s">
        <v>50</v>
      </c>
    </row>
    <row r="3" spans="1:23" x14ac:dyDescent="0.3">
      <c r="A3" s="2" t="s">
        <v>0</v>
      </c>
      <c r="B3" s="2" t="s">
        <v>5</v>
      </c>
      <c r="C3" s="2" t="s">
        <v>6</v>
      </c>
      <c r="D3" s="2" t="s">
        <v>7</v>
      </c>
      <c r="E3" s="3"/>
      <c r="F3" s="2" t="s">
        <v>0</v>
      </c>
      <c r="G3" s="2" t="s">
        <v>5</v>
      </c>
      <c r="H3" s="2" t="s">
        <v>6</v>
      </c>
      <c r="I3" s="2" t="s">
        <v>7</v>
      </c>
      <c r="J3" s="2" t="s">
        <v>27</v>
      </c>
      <c r="K3" s="3"/>
      <c r="L3" s="2" t="s">
        <v>28</v>
      </c>
      <c r="M3" s="2" t="s">
        <v>5</v>
      </c>
      <c r="N3" s="2" t="s">
        <v>6</v>
      </c>
      <c r="O3" s="2" t="s">
        <v>7</v>
      </c>
      <c r="V3" s="2" t="s">
        <v>32</v>
      </c>
      <c r="W3" s="2" t="s">
        <v>99</v>
      </c>
    </row>
    <row r="4" spans="1:23" x14ac:dyDescent="0.3">
      <c r="A4" s="1">
        <v>45597</v>
      </c>
      <c r="B4" s="3">
        <f>Data!B3</f>
        <v>218.318435668945</v>
      </c>
      <c r="C4" s="3">
        <v>113.667182922363</v>
      </c>
      <c r="D4" s="3">
        <v>40.799842834472599</v>
      </c>
      <c r="E4" s="3"/>
      <c r="F4" s="1">
        <v>45597</v>
      </c>
      <c r="K4" s="3"/>
      <c r="L4" s="2" t="s">
        <v>8</v>
      </c>
      <c r="M4" s="19">
        <v>0.3</v>
      </c>
      <c r="N4" s="19">
        <v>0.4</v>
      </c>
      <c r="O4" s="19">
        <v>0.3</v>
      </c>
      <c r="V4">
        <v>1</v>
      </c>
      <c r="W4" s="4">
        <v>-9.2126849878148065E-2</v>
      </c>
    </row>
    <row r="5" spans="1:23" x14ac:dyDescent="0.3">
      <c r="A5" s="1">
        <v>45600</v>
      </c>
      <c r="B5" s="3">
        <f>Data!B4</f>
        <v>215.22393798828099</v>
      </c>
      <c r="C5" s="3">
        <v>112.976524353027</v>
      </c>
      <c r="D5" s="3">
        <v>40.379734039306598</v>
      </c>
      <c r="E5" s="3"/>
      <c r="F5" s="1">
        <v>45600</v>
      </c>
      <c r="G5" s="4">
        <f t="shared" ref="G5:G68" si="0">B5/B4-1</f>
        <v>-1.4174238978866938E-2</v>
      </c>
      <c r="H5" s="4">
        <f t="shared" ref="H5:H68" si="1">C5/C4-1</f>
        <v>-6.0761474999141418E-3</v>
      </c>
      <c r="I5" s="4">
        <f t="shared" ref="I5:I68" si="2">D5/D4-1</f>
        <v>-1.0296823859601845E-2</v>
      </c>
      <c r="J5" s="4">
        <f t="shared" ref="J5:J68" si="3">SUMPRODUCT(G5:I5,$M$4:$O$4)</f>
        <v>-9.7717778515062914E-3</v>
      </c>
      <c r="K5" s="3"/>
      <c r="R5" s="4"/>
      <c r="V5">
        <v>2</v>
      </c>
      <c r="W5" s="4">
        <v>-7.5281298235776686E-2</v>
      </c>
    </row>
    <row r="6" spans="1:23" x14ac:dyDescent="0.3">
      <c r="A6" s="1">
        <v>45601</v>
      </c>
      <c r="B6" s="3">
        <f>Data!B5</f>
        <v>216.89848327636699</v>
      </c>
      <c r="C6" s="3">
        <v>114.60104370117099</v>
      </c>
      <c r="D6" s="3">
        <v>40.917087554931598</v>
      </c>
      <c r="E6" s="3"/>
      <c r="F6" s="1">
        <v>45601</v>
      </c>
      <c r="G6" s="4">
        <f t="shared" si="0"/>
        <v>7.7804788061128782E-3</v>
      </c>
      <c r="H6" s="4">
        <f t="shared" si="1"/>
        <v>1.4379264696333882E-2</v>
      </c>
      <c r="I6" s="4">
        <f t="shared" si="2"/>
        <v>1.3307505074251491E-2</v>
      </c>
      <c r="J6" s="4">
        <f t="shared" si="3"/>
        <v>1.2078101042642864E-2</v>
      </c>
      <c r="K6" s="3"/>
      <c r="R6" s="4"/>
      <c r="V6" s="2">
        <v>3</v>
      </c>
      <c r="W6" s="41">
        <v>-5.3920453460100312E-2</v>
      </c>
    </row>
    <row r="7" spans="1:23" x14ac:dyDescent="0.3">
      <c r="A7" s="1">
        <v>45602</v>
      </c>
      <c r="B7" s="3">
        <f>Data!B6</f>
        <v>241.93843078613199</v>
      </c>
      <c r="C7" s="3">
        <v>127.90841674804599</v>
      </c>
      <c r="D7" s="3">
        <v>44.365924835205</v>
      </c>
      <c r="E7" s="3"/>
      <c r="F7" s="1">
        <v>45602</v>
      </c>
      <c r="G7" s="4">
        <f t="shared" si="0"/>
        <v>0.11544547076366451</v>
      </c>
      <c r="H7" s="4">
        <f t="shared" si="1"/>
        <v>0.11611912611873554</v>
      </c>
      <c r="I7" s="4">
        <f t="shared" si="2"/>
        <v>8.4288435134668438E-2</v>
      </c>
      <c r="J7" s="4">
        <f t="shared" si="3"/>
        <v>0.10636782221699409</v>
      </c>
      <c r="K7" s="3"/>
      <c r="R7" s="4"/>
      <c r="V7">
        <v>4</v>
      </c>
      <c r="W7" s="4">
        <v>-4.931757503206502E-2</v>
      </c>
    </row>
    <row r="8" spans="1:23" x14ac:dyDescent="0.3">
      <c r="A8" s="1">
        <v>45603</v>
      </c>
      <c r="B8" s="3">
        <f>Data!B7</f>
        <v>231.47981262207</v>
      </c>
      <c r="C8" s="3">
        <v>124.941505432128</v>
      </c>
      <c r="D8" s="3">
        <v>43.740642547607401</v>
      </c>
      <c r="E8" s="3"/>
      <c r="F8" s="1">
        <v>45603</v>
      </c>
      <c r="G8" s="4">
        <f t="shared" si="0"/>
        <v>-4.32284285306751E-2</v>
      </c>
      <c r="H8" s="4">
        <f t="shared" si="1"/>
        <v>-2.319559096538748E-2</v>
      </c>
      <c r="I8" s="4">
        <f t="shared" si="2"/>
        <v>-1.4093750776529079E-2</v>
      </c>
      <c r="J8" s="4">
        <f t="shared" si="3"/>
        <v>-2.6474890178316248E-2</v>
      </c>
      <c r="K8" s="3"/>
      <c r="L8" s="75" t="s">
        <v>64</v>
      </c>
      <c r="M8" s="75"/>
      <c r="N8" s="75"/>
      <c r="O8" s="75"/>
      <c r="V8">
        <v>5</v>
      </c>
      <c r="W8" s="4">
        <v>-4.1358226481779864E-2</v>
      </c>
    </row>
    <row r="9" spans="1:23" x14ac:dyDescent="0.3">
      <c r="A9" s="1">
        <v>45604</v>
      </c>
      <c r="B9" s="3">
        <f>Data!B8</f>
        <v>232.06736755371</v>
      </c>
      <c r="C9" s="3">
        <v>126.00179290771401</v>
      </c>
      <c r="D9" s="3">
        <v>44.092361450195298</v>
      </c>
      <c r="E9" s="3"/>
      <c r="F9" s="1">
        <v>45604</v>
      </c>
      <c r="G9" s="4">
        <f t="shared" si="0"/>
        <v>2.5382556041690929E-3</v>
      </c>
      <c r="H9" s="4">
        <f t="shared" si="1"/>
        <v>8.4862710107329598E-3</v>
      </c>
      <c r="I9" s="4">
        <f t="shared" si="2"/>
        <v>8.0410090502234244E-3</v>
      </c>
      <c r="J9" s="4">
        <f t="shared" si="3"/>
        <v>6.5682878006109394E-3</v>
      </c>
      <c r="K9" s="3"/>
      <c r="L9" s="2" t="s">
        <v>59</v>
      </c>
      <c r="M9">
        <v>249</v>
      </c>
      <c r="N9">
        <f>M9</f>
        <v>249</v>
      </c>
      <c r="O9">
        <f>M9</f>
        <v>249</v>
      </c>
      <c r="V9">
        <v>6</v>
      </c>
      <c r="W9" s="4">
        <v>-3.8088628361003476E-2</v>
      </c>
    </row>
    <row r="10" spans="1:23" x14ac:dyDescent="0.3">
      <c r="A10" s="1">
        <v>45607</v>
      </c>
      <c r="B10" s="3">
        <f>Data!B9</f>
        <v>234.32946777343699</v>
      </c>
      <c r="C10" s="3">
        <v>129.88313293457</v>
      </c>
      <c r="D10" s="3">
        <v>45.020523071288999</v>
      </c>
      <c r="E10" s="3"/>
      <c r="F10" s="1">
        <v>45607</v>
      </c>
      <c r="G10" s="4">
        <f t="shared" si="0"/>
        <v>9.7476014985322657E-3</v>
      </c>
      <c r="H10" s="4">
        <f t="shared" si="1"/>
        <v>3.0803847606349244E-2</v>
      </c>
      <c r="I10" s="4">
        <f t="shared" si="2"/>
        <v>2.1050394911193537E-2</v>
      </c>
      <c r="J10" s="4">
        <f t="shared" si="3"/>
        <v>2.1560937965457438E-2</v>
      </c>
      <c r="K10" s="3"/>
      <c r="L10" s="17" t="s">
        <v>23</v>
      </c>
      <c r="M10" s="16">
        <v>0.99</v>
      </c>
      <c r="N10" s="16">
        <v>0.95</v>
      </c>
      <c r="O10" s="16">
        <v>0.9</v>
      </c>
      <c r="V10">
        <v>7</v>
      </c>
      <c r="W10" s="4">
        <v>-3.6058368119597659E-2</v>
      </c>
    </row>
    <row r="11" spans="1:23" x14ac:dyDescent="0.3">
      <c r="A11" s="1">
        <v>45608</v>
      </c>
      <c r="B11" s="3">
        <f>Data!B10</f>
        <v>234.59388732910099</v>
      </c>
      <c r="C11" s="3">
        <v>128.70608520507801</v>
      </c>
      <c r="D11" s="3">
        <v>44.805580139160099</v>
      </c>
      <c r="E11" s="3"/>
      <c r="F11" s="1">
        <v>45608</v>
      </c>
      <c r="G11" s="4">
        <f t="shared" si="0"/>
        <v>1.1284093211856305E-3</v>
      </c>
      <c r="H11" s="4">
        <f t="shared" si="1"/>
        <v>-9.062360160999039E-3</v>
      </c>
      <c r="I11" s="4">
        <f t="shared" si="2"/>
        <v>-4.774332181537333E-3</v>
      </c>
      <c r="J11" s="4">
        <f t="shared" si="3"/>
        <v>-4.7187209225051261E-3</v>
      </c>
      <c r="K11" s="3"/>
      <c r="L11" s="2" t="s">
        <v>24</v>
      </c>
      <c r="M11" s="5">
        <f>1-M10</f>
        <v>1.0000000000000009E-2</v>
      </c>
      <c r="N11" s="5">
        <f t="shared" ref="N11:O11" si="4">1-N10</f>
        <v>5.0000000000000044E-2</v>
      </c>
      <c r="O11" s="5">
        <f t="shared" si="4"/>
        <v>9.9999999999999978E-2</v>
      </c>
      <c r="R11" s="4"/>
      <c r="S11" s="4"/>
      <c r="T11" s="4"/>
      <c r="U11" s="4"/>
      <c r="V11">
        <v>8</v>
      </c>
      <c r="W11" s="4">
        <v>-2.7942043664697068E-2</v>
      </c>
    </row>
    <row r="12" spans="1:23" x14ac:dyDescent="0.3">
      <c r="A12" s="1">
        <v>45609</v>
      </c>
      <c r="B12" s="3">
        <f>Data!B11</f>
        <v>236.160720825195</v>
      </c>
      <c r="C12" s="3">
        <v>129.14382934570301</v>
      </c>
      <c r="D12" s="3">
        <v>44.815349578857401</v>
      </c>
      <c r="E12" s="3"/>
      <c r="F12" s="1">
        <v>45609</v>
      </c>
      <c r="G12" s="4">
        <f t="shared" si="0"/>
        <v>6.6789186791382793E-3</v>
      </c>
      <c r="H12" s="4">
        <f t="shared" si="1"/>
        <v>3.4011145621242189E-3</v>
      </c>
      <c r="I12" s="4">
        <f t="shared" si="2"/>
        <v>2.1804069196207365E-4</v>
      </c>
      <c r="J12" s="4">
        <f t="shared" si="3"/>
        <v>3.4295336361797935E-3</v>
      </c>
      <c r="K12" s="3"/>
      <c r="L12" s="2" t="s">
        <v>30</v>
      </c>
      <c r="M12">
        <f>M9*M11</f>
        <v>2.490000000000002</v>
      </c>
      <c r="N12">
        <f>N9*N11</f>
        <v>12.450000000000012</v>
      </c>
      <c r="O12">
        <f>O9*O11</f>
        <v>24.899999999999995</v>
      </c>
      <c r="R12" s="17" t="s">
        <v>98</v>
      </c>
      <c r="S12" s="17"/>
      <c r="T12" s="17"/>
      <c r="U12" s="4"/>
      <c r="V12">
        <v>9</v>
      </c>
      <c r="W12" s="4">
        <v>-2.6769983976692516E-2</v>
      </c>
    </row>
    <row r="13" spans="1:23" x14ac:dyDescent="0.3">
      <c r="A13" s="1">
        <v>45610</v>
      </c>
      <c r="B13" s="3">
        <f>Data!B12</f>
        <v>236.85600280761699</v>
      </c>
      <c r="C13" s="3">
        <v>128.82279968261699</v>
      </c>
      <c r="D13" s="3">
        <v>44.844657897949197</v>
      </c>
      <c r="E13" s="3"/>
      <c r="F13" s="1">
        <v>45610</v>
      </c>
      <c r="G13" s="4">
        <f t="shared" si="0"/>
        <v>2.9441050992413675E-3</v>
      </c>
      <c r="H13" s="4">
        <f t="shared" si="1"/>
        <v>-2.4858304474359993E-3</v>
      </c>
      <c r="I13" s="4">
        <f t="shared" si="2"/>
        <v>6.5397948174483744E-4</v>
      </c>
      <c r="J13" s="4">
        <f t="shared" si="3"/>
        <v>8.5093195321461594E-5</v>
      </c>
      <c r="K13" s="3"/>
      <c r="L13" s="2" t="s">
        <v>31</v>
      </c>
      <c r="M13">
        <f>ROUNDUP(M12,0)</f>
        <v>3</v>
      </c>
      <c r="N13">
        <f>ROUNDUP(N12,0)</f>
        <v>13</v>
      </c>
      <c r="O13">
        <f>ROUNDUP(O12,0)</f>
        <v>25</v>
      </c>
      <c r="Q13" s="2" t="s">
        <v>23</v>
      </c>
      <c r="R13" s="16">
        <v>0.99</v>
      </c>
      <c r="S13" s="16">
        <v>0.95</v>
      </c>
      <c r="T13" s="16">
        <v>0.9</v>
      </c>
      <c r="U13" s="16"/>
      <c r="V13">
        <v>10</v>
      </c>
      <c r="W13" s="4">
        <v>-2.6637408166679977E-2</v>
      </c>
    </row>
    <row r="14" spans="1:23" x14ac:dyDescent="0.3">
      <c r="A14" s="1">
        <v>45611</v>
      </c>
      <c r="B14" s="3">
        <f>Data!B13</f>
        <v>240.224685668945</v>
      </c>
      <c r="C14" s="3">
        <v>130.40841674804599</v>
      </c>
      <c r="D14" s="3">
        <v>45.675113677978501</v>
      </c>
      <c r="E14" s="3"/>
      <c r="F14" s="1">
        <v>45611</v>
      </c>
      <c r="G14" s="4">
        <f t="shared" si="0"/>
        <v>1.4222493081858634E-2</v>
      </c>
      <c r="H14" s="4">
        <f t="shared" si="1"/>
        <v>1.2308512696009632E-2</v>
      </c>
      <c r="I14" s="4">
        <f t="shared" si="2"/>
        <v>1.8518499615252537E-2</v>
      </c>
      <c r="J14" s="4">
        <f t="shared" si="3"/>
        <v>1.4745702887537203E-2</v>
      </c>
      <c r="K14" s="3"/>
      <c r="L14" s="2" t="s">
        <v>33</v>
      </c>
      <c r="M14" s="6">
        <f>W6</f>
        <v>-5.3920453460100312E-2</v>
      </c>
      <c r="N14" s="6">
        <f>W16</f>
        <v>-2.5997085063977465E-2</v>
      </c>
      <c r="O14" s="6">
        <f>W28</f>
        <v>-1.49897142044783E-2</v>
      </c>
      <c r="Q14" s="2" t="s">
        <v>33</v>
      </c>
      <c r="R14" s="4">
        <f>_xlfn.PERCENTILE.EXC(W4:W254,0.01)</f>
        <v>-6.4814484295695252E-2</v>
      </c>
      <c r="S14" s="4">
        <f>_xlfn.PERCENTILE.EXC(W4:W254,0.05)</f>
        <v>-2.6007126971071486E-2</v>
      </c>
      <c r="T14" s="4">
        <f>_xlfn.PERCENTILE.EXC(W4:W254,0.1)</f>
        <v>-1.4990070078890628E-2</v>
      </c>
      <c r="U14" s="4"/>
      <c r="V14">
        <v>11</v>
      </c>
      <c r="W14" s="4">
        <v>-2.6474890178316248E-2</v>
      </c>
    </row>
    <row r="15" spans="1:23" x14ac:dyDescent="0.3">
      <c r="A15" s="1">
        <v>45614</v>
      </c>
      <c r="B15" s="3">
        <f>Data!B14</f>
        <v>239.95048522949199</v>
      </c>
      <c r="C15" s="3">
        <v>130.13604736328099</v>
      </c>
      <c r="D15" s="3">
        <v>45.645809173583899</v>
      </c>
      <c r="E15" s="3"/>
      <c r="F15" s="1">
        <v>45614</v>
      </c>
      <c r="G15" s="4">
        <f t="shared" si="0"/>
        <v>-1.1414332323484988E-3</v>
      </c>
      <c r="H15" s="4">
        <f t="shared" si="1"/>
        <v>-2.0885874666450865E-3</v>
      </c>
      <c r="I15" s="4">
        <f t="shared" si="2"/>
        <v>-6.4158580099449303E-4</v>
      </c>
      <c r="J15" s="4">
        <f t="shared" si="3"/>
        <v>-1.3703406966609323E-3</v>
      </c>
      <c r="K15" s="3"/>
      <c r="L15" s="2" t="s">
        <v>25</v>
      </c>
      <c r="M15" s="20">
        <f>1*10^6</f>
        <v>1000000</v>
      </c>
      <c r="N15" s="20">
        <f t="shared" ref="N15:O15" si="5">1*10^6</f>
        <v>1000000</v>
      </c>
      <c r="O15" s="20">
        <f t="shared" si="5"/>
        <v>1000000</v>
      </c>
      <c r="Q15" s="2" t="s">
        <v>25</v>
      </c>
      <c r="R15" s="20">
        <f>1*10^6</f>
        <v>1000000</v>
      </c>
      <c r="S15" s="20">
        <f t="shared" ref="S15:T15" si="6">1*10^6</f>
        <v>1000000</v>
      </c>
      <c r="T15" s="20">
        <f t="shared" si="6"/>
        <v>1000000</v>
      </c>
      <c r="U15" s="20"/>
      <c r="V15">
        <v>12</v>
      </c>
      <c r="W15" s="4">
        <v>-2.6015343076875683E-2</v>
      </c>
    </row>
    <row r="16" spans="1:23" x14ac:dyDescent="0.3">
      <c r="A16" s="1">
        <v>45615</v>
      </c>
      <c r="B16" s="3">
        <f>Data!B15</f>
        <v>238.05070495605401</v>
      </c>
      <c r="C16" s="3">
        <v>128.63801574707</v>
      </c>
      <c r="D16" s="3">
        <v>45.342933654785099</v>
      </c>
      <c r="E16" s="3"/>
      <c r="F16" s="1">
        <v>45615</v>
      </c>
      <c r="G16" s="4">
        <f t="shared" si="0"/>
        <v>-7.9173845871618465E-3</v>
      </c>
      <c r="H16" s="4">
        <f t="shared" si="1"/>
        <v>-1.1511273367856067E-2</v>
      </c>
      <c r="I16" s="4">
        <f t="shared" si="2"/>
        <v>-6.6353412127498901E-3</v>
      </c>
      <c r="J16" s="4">
        <f t="shared" si="3"/>
        <v>-8.9703270871159466E-3</v>
      </c>
      <c r="K16" s="3"/>
      <c r="L16" s="17" t="s">
        <v>26</v>
      </c>
      <c r="M16" s="22">
        <f>M15*M14</f>
        <v>-53920.453460100311</v>
      </c>
      <c r="N16" s="22">
        <f>N15*N14</f>
        <v>-25997.085063977465</v>
      </c>
      <c r="O16" s="22">
        <f>O15*O14</f>
        <v>-14989.7142044783</v>
      </c>
      <c r="R16" s="22">
        <f>R15*R14</f>
        <v>-64814.484295695249</v>
      </c>
      <c r="S16" s="22">
        <f>S15*S14</f>
        <v>-26007.126971071484</v>
      </c>
      <c r="T16" s="22">
        <f>T15*T14</f>
        <v>-14990.070078890627</v>
      </c>
      <c r="U16" s="69"/>
      <c r="V16" s="2">
        <v>13</v>
      </c>
      <c r="W16" s="41">
        <v>-2.5997085063977465E-2</v>
      </c>
    </row>
    <row r="17" spans="1:23" x14ac:dyDescent="0.3">
      <c r="A17" s="1">
        <v>45616</v>
      </c>
      <c r="B17" s="3">
        <f>Data!B16</f>
        <v>235.78858947753901</v>
      </c>
      <c r="C17" s="3">
        <v>128.10299682617099</v>
      </c>
      <c r="D17" s="3">
        <v>45.000984191894503</v>
      </c>
      <c r="E17" s="3"/>
      <c r="F17" s="1">
        <v>45616</v>
      </c>
      <c r="G17" s="4">
        <f t="shared" si="0"/>
        <v>-9.5026623799858712E-3</v>
      </c>
      <c r="H17" s="4">
        <f t="shared" si="1"/>
        <v>-4.1591042724956617E-3</v>
      </c>
      <c r="I17" s="4">
        <f t="shared" si="2"/>
        <v>-7.5414058008245188E-3</v>
      </c>
      <c r="J17" s="4">
        <f t="shared" si="3"/>
        <v>-6.776862163241382E-3</v>
      </c>
      <c r="K17" s="3"/>
      <c r="L17" s="17" t="s">
        <v>91</v>
      </c>
      <c r="M17" s="22">
        <f>AVERAGE(W4:W5)*M15</f>
        <v>-83704.074056962374</v>
      </c>
      <c r="N17" s="22">
        <f>AVERAGE(W4:W15)*N15</f>
        <v>-43332.589052644376</v>
      </c>
      <c r="O17" s="22">
        <f>AVERAGE(W4:W27)*O15</f>
        <v>-31732.783490798658</v>
      </c>
      <c r="V17">
        <v>14</v>
      </c>
      <c r="W17" s="4">
        <v>-2.4960240434214798E-2</v>
      </c>
    </row>
    <row r="18" spans="1:23" x14ac:dyDescent="0.3">
      <c r="A18" s="1">
        <v>45617</v>
      </c>
      <c r="B18" s="3">
        <f>Data!B17</f>
        <v>239.68609619140599</v>
      </c>
      <c r="C18" s="3">
        <v>131.31309509277301</v>
      </c>
      <c r="D18" s="3">
        <v>45.391780853271399</v>
      </c>
      <c r="E18" s="3"/>
      <c r="F18" s="1">
        <v>45617</v>
      </c>
      <c r="G18" s="4">
        <f t="shared" si="0"/>
        <v>1.6529666352825156E-2</v>
      </c>
      <c r="H18" s="4">
        <f t="shared" si="1"/>
        <v>2.505872888327465E-2</v>
      </c>
      <c r="I18" s="4">
        <f t="shared" si="2"/>
        <v>8.6841803217114766E-3</v>
      </c>
      <c r="J18" s="4">
        <f t="shared" si="3"/>
        <v>1.7587645555670852E-2</v>
      </c>
      <c r="K18" s="3"/>
      <c r="L18" s="17" t="s">
        <v>94</v>
      </c>
      <c r="M18" s="22">
        <f>M16*SQRT(10)</f>
        <v>-170511.445403024</v>
      </c>
      <c r="N18" s="22">
        <f t="shared" ref="N18:O18" si="7">N16*SQRT(10)</f>
        <v>-82210.001327312988</v>
      </c>
      <c r="O18" s="22">
        <f t="shared" si="7"/>
        <v>-47401.638361130361</v>
      </c>
      <c r="V18">
        <v>15</v>
      </c>
      <c r="W18" s="4">
        <v>-2.404328753315018E-2</v>
      </c>
    </row>
    <row r="19" spans="1:23" x14ac:dyDescent="0.3">
      <c r="A19" s="1">
        <v>45618</v>
      </c>
      <c r="B19" s="3">
        <f>Data!B18</f>
        <v>243.397537231445</v>
      </c>
      <c r="C19" s="3">
        <v>131.02125549316401</v>
      </c>
      <c r="D19" s="3">
        <v>45.919368743896399</v>
      </c>
      <c r="E19" s="3"/>
      <c r="F19" s="1">
        <v>45618</v>
      </c>
      <c r="G19" s="4">
        <f t="shared" si="0"/>
        <v>1.5484590466503967E-2</v>
      </c>
      <c r="H19" s="4">
        <f t="shared" si="1"/>
        <v>-2.2224714100510523E-3</v>
      </c>
      <c r="I19" s="4">
        <f t="shared" si="2"/>
        <v>1.1622982855209463E-2</v>
      </c>
      <c r="J19" s="4">
        <f t="shared" si="3"/>
        <v>7.2432834324936074E-3</v>
      </c>
      <c r="K19" s="3"/>
      <c r="R19" s="4"/>
      <c r="V19">
        <v>16</v>
      </c>
      <c r="W19" s="4">
        <v>-2.2713005382649941E-2</v>
      </c>
    </row>
    <row r="20" spans="1:23" x14ac:dyDescent="0.3">
      <c r="A20" s="1">
        <v>45621</v>
      </c>
      <c r="B20" s="3">
        <f>Data!B19</f>
        <v>245.101470947265</v>
      </c>
      <c r="C20" s="3">
        <v>130.01930236816401</v>
      </c>
      <c r="D20" s="3">
        <v>46.407871246337798</v>
      </c>
      <c r="E20" s="3"/>
      <c r="F20" s="1">
        <v>45621</v>
      </c>
      <c r="G20" s="4">
        <f t="shared" si="0"/>
        <v>7.0006202001942075E-3</v>
      </c>
      <c r="H20" s="4">
        <f t="shared" si="1"/>
        <v>-7.6472563266826166E-3</v>
      </c>
      <c r="I20" s="4">
        <f t="shared" si="2"/>
        <v>1.0638266940599772E-2</v>
      </c>
      <c r="J20" s="4">
        <f t="shared" si="3"/>
        <v>2.2327636115651471E-3</v>
      </c>
      <c r="K20" s="3"/>
      <c r="R20" s="4"/>
      <c r="V20">
        <v>17</v>
      </c>
      <c r="W20" s="4">
        <v>-2.0042386290147495E-2</v>
      </c>
    </row>
    <row r="21" spans="1:23" x14ac:dyDescent="0.3">
      <c r="A21" s="1">
        <v>45622</v>
      </c>
      <c r="B21" s="3">
        <f>Data!B20</f>
        <v>244.7880859375</v>
      </c>
      <c r="C21" s="3">
        <v>127.704132080078</v>
      </c>
      <c r="D21" s="3">
        <v>46.652122497558501</v>
      </c>
      <c r="E21" s="3"/>
      <c r="F21" s="1">
        <v>45622</v>
      </c>
      <c r="G21" s="4">
        <f t="shared" si="0"/>
        <v>-1.278592937667189E-3</v>
      </c>
      <c r="H21" s="4">
        <f t="shared" si="1"/>
        <v>-1.7806358332321692E-2</v>
      </c>
      <c r="I21" s="4">
        <f t="shared" si="2"/>
        <v>5.2631427527496388E-3</v>
      </c>
      <c r="J21" s="4">
        <f t="shared" si="3"/>
        <v>-5.9271783884039418E-3</v>
      </c>
      <c r="K21" s="3"/>
      <c r="R21" s="4"/>
      <c r="V21">
        <v>18</v>
      </c>
      <c r="W21" s="4">
        <v>-1.92019542073542E-2</v>
      </c>
    </row>
    <row r="22" spans="1:23" x14ac:dyDescent="0.3">
      <c r="A22" s="1">
        <v>45623</v>
      </c>
      <c r="B22" s="3">
        <f>Data!B21</f>
        <v>244.61180114746</v>
      </c>
      <c r="C22" s="3">
        <v>127.63606262207</v>
      </c>
      <c r="D22" s="3">
        <v>46.671661376953097</v>
      </c>
      <c r="E22" s="3"/>
      <c r="F22" s="1">
        <v>45623</v>
      </c>
      <c r="G22" s="4">
        <f t="shared" si="0"/>
        <v>-7.2015265516234273E-4</v>
      </c>
      <c r="H22" s="4">
        <f t="shared" si="1"/>
        <v>-5.3302471031491105E-4</v>
      </c>
      <c r="I22" s="4">
        <f t="shared" si="2"/>
        <v>4.188208027537943E-4</v>
      </c>
      <c r="J22" s="4">
        <f t="shared" si="3"/>
        <v>-3.0360943984852895E-4</v>
      </c>
      <c r="K22" s="3"/>
      <c r="R22" s="4"/>
      <c r="V22">
        <v>19</v>
      </c>
      <c r="W22" s="4">
        <v>-1.9086005683758143E-2</v>
      </c>
    </row>
    <row r="23" spans="1:23" x14ac:dyDescent="0.3">
      <c r="A23" s="1">
        <v>45625</v>
      </c>
      <c r="B23" s="3">
        <f>Data!B22</f>
        <v>244.54327392578099</v>
      </c>
      <c r="C23" s="3">
        <v>128.025146484375</v>
      </c>
      <c r="D23" s="3">
        <v>46.417640686035099</v>
      </c>
      <c r="E23" s="3"/>
      <c r="F23" s="1">
        <v>45625</v>
      </c>
      <c r="G23" s="4">
        <f t="shared" si="0"/>
        <v>-2.8014683411659025E-4</v>
      </c>
      <c r="H23" s="4">
        <f t="shared" si="1"/>
        <v>3.0483850278042457E-3</v>
      </c>
      <c r="I23" s="4">
        <f t="shared" si="2"/>
        <v>-5.4427179882530208E-3</v>
      </c>
      <c r="J23" s="4">
        <f t="shared" si="3"/>
        <v>-4.9750543558918503E-4</v>
      </c>
      <c r="K23" s="3"/>
      <c r="R23" s="4"/>
      <c r="V23">
        <v>20</v>
      </c>
      <c r="W23" s="4">
        <v>-1.9035087354011729E-2</v>
      </c>
    </row>
    <row r="24" spans="1:23" x14ac:dyDescent="0.3">
      <c r="A24" s="1">
        <v>45628</v>
      </c>
      <c r="B24" s="3">
        <f>Data!B23</f>
        <v>241.14521789550699</v>
      </c>
      <c r="C24" s="3">
        <v>127.4609375</v>
      </c>
      <c r="D24" s="3">
        <v>45.958446502685497</v>
      </c>
      <c r="E24" s="3"/>
      <c r="F24" s="1">
        <v>45628</v>
      </c>
      <c r="G24" s="4">
        <f t="shared" si="0"/>
        <v>-1.3895520313125909E-2</v>
      </c>
      <c r="H24" s="4">
        <f t="shared" si="1"/>
        <v>-4.4070169015104632E-3</v>
      </c>
      <c r="I24" s="4">
        <f t="shared" si="2"/>
        <v>-9.8926653005815268E-3</v>
      </c>
      <c r="J24" s="4">
        <f t="shared" si="3"/>
        <v>-8.8992624447164145E-3</v>
      </c>
      <c r="K24" s="3"/>
      <c r="R24" s="4"/>
      <c r="V24">
        <v>21</v>
      </c>
      <c r="W24" s="4">
        <v>-1.8321996457772216E-2</v>
      </c>
    </row>
    <row r="25" spans="1:23" x14ac:dyDescent="0.3">
      <c r="A25" s="1">
        <v>45629</v>
      </c>
      <c r="B25" s="3">
        <f>Data!B24</f>
        <v>239.744857788085</v>
      </c>
      <c r="C25" s="3">
        <v>126.88701629638599</v>
      </c>
      <c r="D25" s="3">
        <v>45.743503570556598</v>
      </c>
      <c r="E25" s="3"/>
      <c r="F25" s="1">
        <v>45629</v>
      </c>
      <c r="G25" s="4">
        <f t="shared" si="0"/>
        <v>-5.8071236893811884E-3</v>
      </c>
      <c r="H25" s="4">
        <f t="shared" si="1"/>
        <v>-4.5027222839468806E-3</v>
      </c>
      <c r="I25" s="4">
        <f t="shared" si="2"/>
        <v>-4.6768972514408258E-3</v>
      </c>
      <c r="J25" s="4">
        <f t="shared" si="3"/>
        <v>-4.9462951958253567E-3</v>
      </c>
      <c r="K25" s="3"/>
      <c r="R25" s="4"/>
      <c r="V25">
        <v>22</v>
      </c>
      <c r="W25" s="4">
        <v>-1.7427528336576514E-2</v>
      </c>
    </row>
    <row r="26" spans="1:23" x14ac:dyDescent="0.3">
      <c r="A26" s="1">
        <v>45630</v>
      </c>
      <c r="B26" s="3">
        <f>Data!B25</f>
        <v>238.35426330566401</v>
      </c>
      <c r="C26" s="3">
        <v>126.44927978515599</v>
      </c>
      <c r="D26" s="3">
        <v>45.3038520812988</v>
      </c>
      <c r="E26" s="3"/>
      <c r="F26" s="1">
        <v>45630</v>
      </c>
      <c r="G26" s="4">
        <f t="shared" si="0"/>
        <v>-5.8003099430402605E-3</v>
      </c>
      <c r="H26" s="4">
        <f t="shared" si="1"/>
        <v>-3.4498132591243014E-3</v>
      </c>
      <c r="I26" s="4">
        <f t="shared" si="2"/>
        <v>-9.6112333979766484E-3</v>
      </c>
      <c r="J26" s="4">
        <f t="shared" si="3"/>
        <v>-6.0033883059547929E-3</v>
      </c>
      <c r="K26" s="3"/>
      <c r="R26" s="4"/>
      <c r="V26">
        <v>23</v>
      </c>
      <c r="W26" s="4">
        <v>-1.577388545522105E-2</v>
      </c>
    </row>
    <row r="27" spans="1:23" x14ac:dyDescent="0.3">
      <c r="A27" s="1">
        <v>45631</v>
      </c>
      <c r="B27" s="3">
        <f>Data!B26</f>
        <v>240.39117431640599</v>
      </c>
      <c r="C27" s="3">
        <v>126.770294189453</v>
      </c>
      <c r="D27" s="3">
        <v>45.919368743896399</v>
      </c>
      <c r="E27" s="3"/>
      <c r="F27" s="1">
        <v>45631</v>
      </c>
      <c r="G27" s="4">
        <f t="shared" si="0"/>
        <v>8.5457292959341125E-3</v>
      </c>
      <c r="H27" s="4">
        <f t="shared" si="1"/>
        <v>2.5386811600858206E-3</v>
      </c>
      <c r="I27" s="4">
        <f t="shared" si="2"/>
        <v>1.3586408976725473E-2</v>
      </c>
      <c r="J27" s="4">
        <f t="shared" si="3"/>
        <v>7.6551139458322041E-3</v>
      </c>
      <c r="K27" s="3"/>
      <c r="R27" s="4"/>
      <c r="V27">
        <v>24</v>
      </c>
      <c r="W27" s="4">
        <v>-1.4993272948601576E-2</v>
      </c>
    </row>
    <row r="28" spans="1:23" x14ac:dyDescent="0.3">
      <c r="A28" s="1">
        <v>45632</v>
      </c>
      <c r="B28" s="3">
        <f>Data!B27</f>
        <v>242.23220825195301</v>
      </c>
      <c r="C28" s="3">
        <v>126.420104980468</v>
      </c>
      <c r="D28" s="3">
        <v>45.929191589355398</v>
      </c>
      <c r="E28" s="3"/>
      <c r="F28" s="1">
        <v>45632</v>
      </c>
      <c r="G28" s="4">
        <f t="shared" si="0"/>
        <v>7.6584922087190588E-3</v>
      </c>
      <c r="H28" s="4">
        <f t="shared" si="1"/>
        <v>-2.7623917040190404E-3</v>
      </c>
      <c r="I28" s="4">
        <f t="shared" si="2"/>
        <v>2.1391508044854568E-4</v>
      </c>
      <c r="J28" s="4">
        <f t="shared" si="3"/>
        <v>1.2567655051426649E-3</v>
      </c>
      <c r="K28" s="3"/>
      <c r="R28" s="4"/>
      <c r="V28" s="2">
        <v>25</v>
      </c>
      <c r="W28" s="41">
        <v>-1.49897142044783E-2</v>
      </c>
    </row>
    <row r="29" spans="1:23" x14ac:dyDescent="0.3">
      <c r="A29" s="1">
        <v>45635</v>
      </c>
      <c r="B29" s="3">
        <f>Data!B28</f>
        <v>238.75578308105401</v>
      </c>
      <c r="C29" s="3">
        <v>125.07769012451099</v>
      </c>
      <c r="D29" s="3">
        <v>45.1039428710937</v>
      </c>
      <c r="E29" s="3"/>
      <c r="F29" s="1">
        <v>45635</v>
      </c>
      <c r="G29" s="4">
        <f t="shared" si="0"/>
        <v>-1.4351622337864578E-2</v>
      </c>
      <c r="H29" s="4">
        <f t="shared" si="1"/>
        <v>-1.0618681705448774E-2</v>
      </c>
      <c r="I29" s="4">
        <f t="shared" si="2"/>
        <v>-1.7967847673873716E-2</v>
      </c>
      <c r="J29" s="4">
        <f t="shared" si="3"/>
        <v>-1.3943313685700998E-2</v>
      </c>
      <c r="K29" s="3"/>
      <c r="R29" s="4"/>
      <c r="V29">
        <v>26</v>
      </c>
      <c r="W29" s="4">
        <v>-1.4710249279888541E-2</v>
      </c>
    </row>
    <row r="30" spans="1:23" x14ac:dyDescent="0.3">
      <c r="A30" s="1">
        <v>45636</v>
      </c>
      <c r="B30" s="3">
        <f>Data!B29</f>
        <v>237.82546997070301</v>
      </c>
      <c r="C30" s="3">
        <v>123.33644104003901</v>
      </c>
      <c r="D30" s="3">
        <v>44.946750640869098</v>
      </c>
      <c r="E30" s="3"/>
      <c r="F30" s="1">
        <v>45636</v>
      </c>
      <c r="G30" s="4">
        <f t="shared" si="0"/>
        <v>-3.896505032655706E-3</v>
      </c>
      <c r="H30" s="4">
        <f t="shared" si="1"/>
        <v>-1.3921340270504068E-2</v>
      </c>
      <c r="I30" s="4">
        <f t="shared" si="2"/>
        <v>-3.485110618241416E-3</v>
      </c>
      <c r="J30" s="4">
        <f t="shared" si="3"/>
        <v>-7.7830208034707637E-3</v>
      </c>
      <c r="K30" s="3"/>
      <c r="R30" s="4"/>
      <c r="V30">
        <v>27</v>
      </c>
      <c r="W30" s="4">
        <v>-1.4610978661950991E-2</v>
      </c>
    </row>
    <row r="31" spans="1:23" x14ac:dyDescent="0.3">
      <c r="A31" s="1">
        <v>45637</v>
      </c>
      <c r="B31" s="3">
        <f>Data!B30</f>
        <v>238.48158264160099</v>
      </c>
      <c r="C31" s="3">
        <v>124.11464691162099</v>
      </c>
      <c r="D31" s="3">
        <v>45.270957946777301</v>
      </c>
      <c r="E31" s="3"/>
      <c r="F31" s="1">
        <v>45637</v>
      </c>
      <c r="G31" s="4">
        <f t="shared" si="0"/>
        <v>2.7587990091171299E-3</v>
      </c>
      <c r="H31" s="4">
        <f t="shared" si="1"/>
        <v>6.3096183497735048E-3</v>
      </c>
      <c r="I31" s="4">
        <f t="shared" si="2"/>
        <v>7.2131422468926232E-3</v>
      </c>
      <c r="J31" s="4">
        <f t="shared" si="3"/>
        <v>5.5154297167123272E-3</v>
      </c>
      <c r="K31" s="3"/>
      <c r="R31" s="4"/>
      <c r="V31">
        <v>28</v>
      </c>
      <c r="W31" s="4">
        <v>-1.4014025082662728E-2</v>
      </c>
    </row>
    <row r="32" spans="1:23" x14ac:dyDescent="0.3">
      <c r="A32" s="1">
        <v>45638</v>
      </c>
      <c r="B32" s="3">
        <f>Data!B31</f>
        <v>236.52305603027301</v>
      </c>
      <c r="C32" s="3">
        <v>124.42592620849599</v>
      </c>
      <c r="D32" s="3">
        <v>45.270957946777301</v>
      </c>
      <c r="E32" s="3"/>
      <c r="F32" s="1">
        <v>45638</v>
      </c>
      <c r="G32" s="4">
        <f t="shared" si="0"/>
        <v>-8.2124858013514768E-3</v>
      </c>
      <c r="H32" s="4">
        <f t="shared" si="1"/>
        <v>2.5079980858073725E-3</v>
      </c>
      <c r="I32" s="4">
        <f t="shared" si="2"/>
        <v>0</v>
      </c>
      <c r="J32" s="4">
        <f t="shared" si="3"/>
        <v>-1.4605465060824939E-3</v>
      </c>
      <c r="K32" s="3"/>
      <c r="R32" s="4"/>
      <c r="V32">
        <v>29</v>
      </c>
      <c r="W32" s="4">
        <v>-1.3943313685700998E-2</v>
      </c>
    </row>
    <row r="33" spans="1:23" x14ac:dyDescent="0.3">
      <c r="A33" s="1">
        <v>45639</v>
      </c>
      <c r="B33" s="3">
        <f>Data!B32</f>
        <v>234.96600341796801</v>
      </c>
      <c r="C33" s="3">
        <v>123.92982482910099</v>
      </c>
      <c r="D33" s="3">
        <v>44.868148803710902</v>
      </c>
      <c r="E33" s="3"/>
      <c r="F33" s="1">
        <v>45639</v>
      </c>
      <c r="G33" s="4">
        <f t="shared" si="0"/>
        <v>-6.5830902003299885E-3</v>
      </c>
      <c r="H33" s="4">
        <f t="shared" si="1"/>
        <v>-3.9871222542776641E-3</v>
      </c>
      <c r="I33" s="4">
        <f t="shared" si="2"/>
        <v>-8.8977384472394005E-3</v>
      </c>
      <c r="J33" s="4">
        <f t="shared" si="3"/>
        <v>-6.2390974959818822E-3</v>
      </c>
      <c r="K33" s="3"/>
      <c r="R33" s="4"/>
      <c r="V33">
        <v>30</v>
      </c>
      <c r="W33" s="4">
        <v>-1.3511778706179445E-2</v>
      </c>
    </row>
    <row r="34" spans="1:23" x14ac:dyDescent="0.3">
      <c r="A34" s="1">
        <v>45642</v>
      </c>
      <c r="B34" s="3">
        <f>Data!B33</f>
        <v>234.61346435546801</v>
      </c>
      <c r="C34" s="3">
        <v>125.515426635742</v>
      </c>
      <c r="D34" s="3">
        <v>44.671665191650298</v>
      </c>
      <c r="E34" s="3"/>
      <c r="F34" s="1">
        <v>45642</v>
      </c>
      <c r="G34" s="4">
        <f t="shared" si="0"/>
        <v>-1.500383278311479E-3</v>
      </c>
      <c r="H34" s="4">
        <f t="shared" si="1"/>
        <v>1.2794352036142653E-2</v>
      </c>
      <c r="I34" s="4">
        <f t="shared" si="2"/>
        <v>-4.3791334677117932E-3</v>
      </c>
      <c r="J34" s="4">
        <f t="shared" si="3"/>
        <v>3.3538857906500802E-3</v>
      </c>
      <c r="K34" s="3"/>
      <c r="R34" s="4"/>
      <c r="V34">
        <v>31</v>
      </c>
      <c r="W34" s="4">
        <v>-1.289268480763074E-2</v>
      </c>
    </row>
    <row r="35" spans="1:23" x14ac:dyDescent="0.3">
      <c r="A35" s="1">
        <v>45643</v>
      </c>
      <c r="B35" s="3">
        <f>Data!B34</f>
        <v>233.41876220703099</v>
      </c>
      <c r="C35" s="3">
        <v>124.260566711425</v>
      </c>
      <c r="D35" s="3">
        <v>44.259040832519503</v>
      </c>
      <c r="E35" s="3"/>
      <c r="F35" s="1">
        <v>45643</v>
      </c>
      <c r="G35" s="4">
        <f t="shared" si="0"/>
        <v>-5.0922147700223075E-3</v>
      </c>
      <c r="H35" s="4">
        <f t="shared" si="1"/>
        <v>-9.9976549333551379E-3</v>
      </c>
      <c r="I35" s="4">
        <f t="shared" si="2"/>
        <v>-9.2368251185747097E-3</v>
      </c>
      <c r="J35" s="4">
        <f t="shared" si="3"/>
        <v>-8.2977739399211596E-3</v>
      </c>
      <c r="K35" s="3"/>
      <c r="R35" s="4"/>
      <c r="V35">
        <v>32</v>
      </c>
      <c r="W35" s="4">
        <v>-1.1823081823427862E-2</v>
      </c>
    </row>
    <row r="36" spans="1:23" x14ac:dyDescent="0.3">
      <c r="A36" s="1">
        <v>45644</v>
      </c>
      <c r="B36" s="3">
        <f>Data!B35</f>
        <v>225.59440612792901</v>
      </c>
      <c r="C36" s="3">
        <v>117.74305725097599</v>
      </c>
      <c r="D36" s="3">
        <v>42.736251831054602</v>
      </c>
      <c r="E36" s="3"/>
      <c r="F36" s="1">
        <v>45644</v>
      </c>
      <c r="G36" s="4">
        <f t="shared" si="0"/>
        <v>-3.352068190714752E-2</v>
      </c>
      <c r="H36" s="4">
        <f t="shared" si="1"/>
        <v>-5.2450343925960596E-2</v>
      </c>
      <c r="I36" s="4">
        <f t="shared" si="2"/>
        <v>-3.4406281130837879E-2</v>
      </c>
      <c r="J36" s="4">
        <f t="shared" si="3"/>
        <v>-4.1358226481779864E-2</v>
      </c>
      <c r="K36" s="3"/>
      <c r="R36" s="4"/>
      <c r="V36">
        <v>33</v>
      </c>
      <c r="W36" s="4">
        <v>-1.0860099258816669E-2</v>
      </c>
    </row>
    <row r="37" spans="1:23" x14ac:dyDescent="0.3">
      <c r="A37" s="1">
        <v>45645</v>
      </c>
      <c r="B37" s="3">
        <f>Data!B36</f>
        <v>228.13070678710901</v>
      </c>
      <c r="C37" s="3">
        <v>117.217765808105</v>
      </c>
      <c r="D37" s="3">
        <v>42.618358612060497</v>
      </c>
      <c r="E37" s="3"/>
      <c r="F37" s="1">
        <v>45645</v>
      </c>
      <c r="G37" s="4">
        <f t="shared" si="0"/>
        <v>1.1242746230780698E-2</v>
      </c>
      <c r="H37" s="4">
        <f t="shared" si="1"/>
        <v>-4.4613368731483138E-3</v>
      </c>
      <c r="I37" s="4">
        <f t="shared" si="2"/>
        <v>-2.7586232751567463E-3</v>
      </c>
      <c r="J37" s="4">
        <f t="shared" si="3"/>
        <v>7.6070213742786004E-4</v>
      </c>
      <c r="K37" s="3"/>
      <c r="R37" s="4"/>
      <c r="V37">
        <v>34</v>
      </c>
      <c r="W37" s="4">
        <v>-1.0457598692006475E-2</v>
      </c>
    </row>
    <row r="38" spans="1:23" x14ac:dyDescent="0.3">
      <c r="A38" s="1">
        <v>45646</v>
      </c>
      <c r="B38" s="3">
        <f>Data!B37</f>
        <v>232.67453002929599</v>
      </c>
      <c r="C38" s="3">
        <v>120.07769775390599</v>
      </c>
      <c r="D38" s="3">
        <v>43.39448928833</v>
      </c>
      <c r="E38" s="3"/>
      <c r="F38" s="1">
        <v>45646</v>
      </c>
      <c r="G38" s="4">
        <f t="shared" si="0"/>
        <v>1.991763102030486E-2</v>
      </c>
      <c r="H38" s="4">
        <f t="shared" si="1"/>
        <v>2.4398451259367349E-2</v>
      </c>
      <c r="I38" s="4">
        <f t="shared" si="2"/>
        <v>1.8211181789855813E-2</v>
      </c>
      <c r="J38" s="4">
        <f t="shared" si="3"/>
        <v>2.1198024346795141E-2</v>
      </c>
      <c r="K38" s="3"/>
      <c r="R38" s="4"/>
      <c r="V38">
        <v>35</v>
      </c>
      <c r="W38" s="4">
        <v>-1.0222031956651523E-2</v>
      </c>
    </row>
    <row r="39" spans="1:23" x14ac:dyDescent="0.3">
      <c r="A39" s="1">
        <v>45649</v>
      </c>
      <c r="B39" s="3">
        <f>Data!B38</f>
        <v>233.448150634765</v>
      </c>
      <c r="C39" s="3">
        <v>121.060173034667</v>
      </c>
      <c r="D39" s="3">
        <v>43.1194038391113</v>
      </c>
      <c r="E39" s="3"/>
      <c r="F39" s="1">
        <v>45649</v>
      </c>
      <c r="G39" s="4">
        <f t="shared" si="0"/>
        <v>3.3249045581895675E-3</v>
      </c>
      <c r="H39" s="4">
        <f t="shared" si="1"/>
        <v>8.181996316872775E-3</v>
      </c>
      <c r="I39" s="4">
        <f t="shared" si="2"/>
        <v>-6.3391793227689508E-3</v>
      </c>
      <c r="J39" s="4">
        <f t="shared" si="3"/>
        <v>2.3685160973752951E-3</v>
      </c>
      <c r="K39" s="3"/>
      <c r="R39" s="4"/>
      <c r="V39">
        <v>36</v>
      </c>
      <c r="W39" s="4">
        <v>-9.7717778515062914E-3</v>
      </c>
    </row>
    <row r="40" spans="1:23" x14ac:dyDescent="0.3">
      <c r="A40" s="1">
        <v>45650</v>
      </c>
      <c r="B40" s="3">
        <f>Data!B39</f>
        <v>237.28688049316401</v>
      </c>
      <c r="C40" s="3">
        <v>123.599082946777</v>
      </c>
      <c r="D40" s="3">
        <v>43.600803375244098</v>
      </c>
      <c r="E40" s="3"/>
      <c r="F40" s="1">
        <v>45650</v>
      </c>
      <c r="G40" s="4">
        <f t="shared" si="0"/>
        <v>1.6443607918765535E-2</v>
      </c>
      <c r="H40" s="4">
        <f t="shared" si="1"/>
        <v>2.0972297069020041E-2</v>
      </c>
      <c r="I40" s="4">
        <f t="shared" si="2"/>
        <v>1.1164336546233722E-2</v>
      </c>
      <c r="J40" s="4">
        <f t="shared" si="3"/>
        <v>1.6671302167107792E-2</v>
      </c>
      <c r="K40" s="3"/>
      <c r="R40" s="4"/>
      <c r="V40">
        <v>37</v>
      </c>
      <c r="W40" s="4">
        <v>-9.5975863775131891E-3</v>
      </c>
    </row>
    <row r="41" spans="1:23" x14ac:dyDescent="0.3">
      <c r="A41" s="1">
        <v>45652</v>
      </c>
      <c r="B41" s="3">
        <f>Data!B40</f>
        <v>238.09967041015599</v>
      </c>
      <c r="C41" s="3">
        <v>124.542663574218</v>
      </c>
      <c r="D41" s="3">
        <v>43.767818450927699</v>
      </c>
      <c r="E41" s="3"/>
      <c r="F41" s="1">
        <v>45652</v>
      </c>
      <c r="G41" s="4">
        <f t="shared" si="0"/>
        <v>3.425347053755079E-3</v>
      </c>
      <c r="H41" s="4">
        <f t="shared" si="1"/>
        <v>7.6342041133696803E-3</v>
      </c>
      <c r="I41" s="4">
        <f t="shared" si="2"/>
        <v>3.8305504200508711E-3</v>
      </c>
      <c r="J41" s="4">
        <f t="shared" si="3"/>
        <v>5.2304508874896575E-3</v>
      </c>
      <c r="K41" s="3"/>
      <c r="R41" s="4"/>
      <c r="V41">
        <v>38</v>
      </c>
      <c r="W41" s="4">
        <v>-9.1703687176399769E-3</v>
      </c>
    </row>
    <row r="42" spans="1:23" x14ac:dyDescent="0.3">
      <c r="A42" s="1">
        <v>45653</v>
      </c>
      <c r="B42" s="3">
        <f>Data!B41</f>
        <v>236.17050170898401</v>
      </c>
      <c r="C42" s="3">
        <v>123.307258605957</v>
      </c>
      <c r="D42" s="3">
        <v>43.561504364013601</v>
      </c>
      <c r="E42" s="3"/>
      <c r="F42" s="1">
        <v>45653</v>
      </c>
      <c r="G42" s="4">
        <f t="shared" si="0"/>
        <v>-8.1023577136782876E-3</v>
      </c>
      <c r="H42" s="4">
        <f t="shared" si="1"/>
        <v>-9.9195322534979535E-3</v>
      </c>
      <c r="I42" s="4">
        <f t="shared" si="2"/>
        <v>-4.7138307143504976E-3</v>
      </c>
      <c r="J42" s="4">
        <f t="shared" si="3"/>
        <v>-7.8126694298078173E-3</v>
      </c>
      <c r="K42" s="3"/>
      <c r="R42" s="4"/>
      <c r="V42">
        <v>39</v>
      </c>
      <c r="W42" s="4">
        <v>-8.9703270871159466E-3</v>
      </c>
    </row>
    <row r="43" spans="1:23" x14ac:dyDescent="0.3">
      <c r="A43" s="1">
        <v>45656</v>
      </c>
      <c r="B43" s="3">
        <f>Data!B42</f>
        <v>234.35887145996</v>
      </c>
      <c r="C43" s="3">
        <v>122.3247756958</v>
      </c>
      <c r="D43" s="3">
        <v>43.139053344726499</v>
      </c>
      <c r="E43" s="3"/>
      <c r="F43" s="1">
        <v>45656</v>
      </c>
      <c r="G43" s="4">
        <f t="shared" si="0"/>
        <v>-7.6708574352624126E-3</v>
      </c>
      <c r="H43" s="4">
        <f t="shared" si="1"/>
        <v>-7.9677621679730137E-3</v>
      </c>
      <c r="I43" s="4">
        <f t="shared" si="2"/>
        <v>-9.6978060205856753E-3</v>
      </c>
      <c r="J43" s="4">
        <f t="shared" si="3"/>
        <v>-8.3977039039436312E-3</v>
      </c>
      <c r="K43" s="3"/>
      <c r="R43" s="4"/>
      <c r="V43">
        <v>40</v>
      </c>
      <c r="W43" s="4">
        <v>-8.9192183690800612E-3</v>
      </c>
    </row>
    <row r="44" spans="1:23" x14ac:dyDescent="0.3">
      <c r="A44" s="1">
        <v>45657</v>
      </c>
      <c r="B44" s="3">
        <f>Data!B43</f>
        <v>234.74078369140599</v>
      </c>
      <c r="C44" s="3">
        <v>122.29557800292901</v>
      </c>
      <c r="D44" s="3">
        <v>43.178352355957003</v>
      </c>
      <c r="E44" s="3"/>
      <c r="F44" s="1">
        <v>45657</v>
      </c>
      <c r="G44" s="4">
        <f t="shared" si="0"/>
        <v>1.629604328894585E-3</v>
      </c>
      <c r="H44" s="4">
        <f t="shared" si="1"/>
        <v>-2.3868993590969723E-4</v>
      </c>
      <c r="I44" s="4">
        <f t="shared" si="2"/>
        <v>9.1098455305593795E-4</v>
      </c>
      <c r="J44" s="4">
        <f t="shared" si="3"/>
        <v>6.6670069022127792E-4</v>
      </c>
      <c r="K44" s="3"/>
      <c r="R44" s="4"/>
      <c r="V44">
        <v>41</v>
      </c>
      <c r="W44" s="4">
        <v>-8.8992624447164145E-3</v>
      </c>
    </row>
    <row r="45" spans="1:23" x14ac:dyDescent="0.3">
      <c r="A45" s="1">
        <v>45659</v>
      </c>
      <c r="B45" s="3">
        <f>Data!B44</f>
        <v>235.02474975585901</v>
      </c>
      <c r="C45" s="3">
        <v>121.38118743896401</v>
      </c>
      <c r="D45" s="3">
        <v>43.512382507324197</v>
      </c>
      <c r="E45" s="3"/>
      <c r="F45" s="1">
        <v>45659</v>
      </c>
      <c r="G45" s="4">
        <f t="shared" si="0"/>
        <v>1.2097005896782864E-3</v>
      </c>
      <c r="H45" s="4">
        <f t="shared" si="1"/>
        <v>-7.4768898344230728E-3</v>
      </c>
      <c r="I45" s="4">
        <f t="shared" si="2"/>
        <v>7.7360559896655356E-3</v>
      </c>
      <c r="J45" s="4">
        <f t="shared" si="3"/>
        <v>-3.0702895996608274E-4</v>
      </c>
      <c r="K45" s="3"/>
      <c r="R45" s="4"/>
      <c r="V45">
        <v>42</v>
      </c>
      <c r="W45" s="4">
        <v>-8.3977039039436312E-3</v>
      </c>
    </row>
    <row r="46" spans="1:23" x14ac:dyDescent="0.3">
      <c r="A46" s="1">
        <v>45660</v>
      </c>
      <c r="B46" s="3">
        <f>Data!B45</f>
        <v>238.23677062988199</v>
      </c>
      <c r="C46" s="3">
        <v>122.509590148925</v>
      </c>
      <c r="D46" s="3">
        <v>44.0232543945312</v>
      </c>
      <c r="E46" s="3"/>
      <c r="F46" s="1">
        <v>45660</v>
      </c>
      <c r="G46" s="4">
        <f t="shared" si="0"/>
        <v>1.3666734577356676E-2</v>
      </c>
      <c r="H46" s="4">
        <f t="shared" si="1"/>
        <v>9.2963558337935126E-3</v>
      </c>
      <c r="I46" s="4">
        <f t="shared" si="2"/>
        <v>1.1740839222513566E-2</v>
      </c>
      <c r="J46" s="4">
        <f t="shared" si="3"/>
        <v>1.1340814473478476E-2</v>
      </c>
      <c r="K46" s="3"/>
      <c r="R46" s="4"/>
      <c r="V46">
        <v>43</v>
      </c>
      <c r="W46" s="4">
        <v>-8.3837614347895949E-3</v>
      </c>
    </row>
    <row r="47" spans="1:23" x14ac:dyDescent="0.3">
      <c r="A47" s="1">
        <v>45663</v>
      </c>
      <c r="B47" s="3">
        <f>Data!B46</f>
        <v>237.07528686523401</v>
      </c>
      <c r="C47" s="3">
        <v>125.13604736328099</v>
      </c>
      <c r="D47" s="3">
        <v>44.602893829345703</v>
      </c>
      <c r="E47" s="3"/>
      <c r="F47" s="1">
        <v>45663</v>
      </c>
      <c r="G47" s="4">
        <f t="shared" si="0"/>
        <v>-4.8753337344906722E-3</v>
      </c>
      <c r="H47" s="4">
        <f t="shared" si="1"/>
        <v>2.1438788679018606E-2</v>
      </c>
      <c r="I47" s="4">
        <f t="shared" si="2"/>
        <v>1.3166664818094587E-2</v>
      </c>
      <c r="J47" s="4">
        <f t="shared" si="3"/>
        <v>1.1062914796688618E-2</v>
      </c>
      <c r="K47" s="3"/>
      <c r="R47" s="4"/>
      <c r="V47">
        <v>44</v>
      </c>
      <c r="W47" s="4">
        <v>-8.2977739399211596E-3</v>
      </c>
    </row>
    <row r="48" spans="1:23" x14ac:dyDescent="0.3">
      <c r="A48" s="1">
        <v>45664</v>
      </c>
      <c r="B48" s="3">
        <f>Data!B47</f>
        <v>239.35890197753901</v>
      </c>
      <c r="C48" s="3">
        <v>123.42398071289</v>
      </c>
      <c r="D48" s="3">
        <v>45.270957946777301</v>
      </c>
      <c r="E48" s="3"/>
      <c r="F48" s="1">
        <v>45664</v>
      </c>
      <c r="G48" s="4">
        <f t="shared" si="0"/>
        <v>9.6324469011530578E-3</v>
      </c>
      <c r="H48" s="4">
        <f t="shared" si="1"/>
        <v>-1.3681642392145532E-2</v>
      </c>
      <c r="I48" s="4">
        <f t="shared" si="2"/>
        <v>1.4978044249498002E-2</v>
      </c>
      <c r="J48" s="4">
        <f t="shared" si="3"/>
        <v>1.9104903883371037E-3</v>
      </c>
      <c r="K48" s="3"/>
      <c r="R48" s="4"/>
      <c r="V48">
        <v>45</v>
      </c>
      <c r="W48" s="4">
        <v>-8.2887514687725473E-3</v>
      </c>
    </row>
    <row r="49" spans="1:23" x14ac:dyDescent="0.3">
      <c r="A49" s="1">
        <v>45665</v>
      </c>
      <c r="B49" s="3">
        <f>Data!B48</f>
        <v>239.31954956054599</v>
      </c>
      <c r="C49" s="3">
        <v>124.377296447753</v>
      </c>
      <c r="D49" s="3">
        <v>45.398670196533203</v>
      </c>
      <c r="E49" s="3"/>
      <c r="F49" s="1">
        <v>45665</v>
      </c>
      <c r="G49" s="4">
        <f t="shared" si="0"/>
        <v>-1.644075765216968E-4</v>
      </c>
      <c r="H49" s="4">
        <f t="shared" si="1"/>
        <v>7.72391012959317E-3</v>
      </c>
      <c r="I49" s="4">
        <f t="shared" si="2"/>
        <v>2.8210635592480493E-3</v>
      </c>
      <c r="J49" s="4">
        <f t="shared" si="3"/>
        <v>3.8865608466551742E-3</v>
      </c>
      <c r="K49" s="3"/>
      <c r="R49" s="4"/>
      <c r="V49">
        <v>46</v>
      </c>
      <c r="W49" s="4">
        <v>-8.2432534946429107E-3</v>
      </c>
    </row>
    <row r="50" spans="1:23" x14ac:dyDescent="0.3">
      <c r="A50" s="1">
        <v>45667</v>
      </c>
      <c r="B50" s="3">
        <f>Data!B49</f>
        <v>236.11061096191401</v>
      </c>
      <c r="C50" s="3">
        <v>120.08740997314401</v>
      </c>
      <c r="D50" s="3">
        <v>44.317985534667898</v>
      </c>
      <c r="E50" s="3"/>
      <c r="F50" s="1">
        <v>45667</v>
      </c>
      <c r="G50" s="4">
        <f t="shared" si="0"/>
        <v>-1.3408593675378611E-2</v>
      </c>
      <c r="H50" s="4">
        <f t="shared" si="1"/>
        <v>-3.4490912707778931E-2</v>
      </c>
      <c r="I50" s="4">
        <f t="shared" si="2"/>
        <v>-2.380432416163214E-2</v>
      </c>
      <c r="J50" s="4">
        <f t="shared" si="3"/>
        <v>-2.4960240434214798E-2</v>
      </c>
      <c r="K50" s="3"/>
      <c r="R50" s="4"/>
      <c r="V50">
        <v>47</v>
      </c>
      <c r="W50" s="4">
        <v>-7.9366577422938407E-3</v>
      </c>
    </row>
    <row r="51" spans="1:23" x14ac:dyDescent="0.3">
      <c r="A51" s="1">
        <v>45670</v>
      </c>
      <c r="B51" s="3">
        <f>Data!B50</f>
        <v>240.38261413574199</v>
      </c>
      <c r="C51" s="3">
        <v>120.612701416015</v>
      </c>
      <c r="D51" s="3">
        <v>44.268863677978501</v>
      </c>
      <c r="E51" s="3"/>
      <c r="F51" s="1">
        <v>45670</v>
      </c>
      <c r="G51" s="4">
        <f t="shared" si="0"/>
        <v>1.8093228239187686E-2</v>
      </c>
      <c r="H51" s="4">
        <f t="shared" si="1"/>
        <v>4.3742424204875618E-3</v>
      </c>
      <c r="I51" s="4">
        <f t="shared" si="2"/>
        <v>-1.108395521519645E-3</v>
      </c>
      <c r="J51" s="4">
        <f t="shared" si="3"/>
        <v>6.8451467834954368E-3</v>
      </c>
      <c r="K51" s="3"/>
      <c r="R51" s="4"/>
      <c r="V51">
        <v>48</v>
      </c>
      <c r="W51" s="4">
        <v>-7.8126694298078173E-3</v>
      </c>
    </row>
    <row r="52" spans="1:23" x14ac:dyDescent="0.3">
      <c r="A52" s="1">
        <v>45671</v>
      </c>
      <c r="B52" s="3">
        <f>Data!B51</f>
        <v>243.59150695800699</v>
      </c>
      <c r="C52" s="3">
        <v>121.22555541992099</v>
      </c>
      <c r="D52" s="3">
        <v>44.976222991943303</v>
      </c>
      <c r="E52" s="3"/>
      <c r="F52" s="1">
        <v>45671</v>
      </c>
      <c r="G52" s="4">
        <f t="shared" si="0"/>
        <v>1.3349105274531148E-2</v>
      </c>
      <c r="H52" s="4">
        <f t="shared" si="1"/>
        <v>5.0811730166970825E-3</v>
      </c>
      <c r="I52" s="4">
        <f t="shared" si="2"/>
        <v>1.5978709530705126E-2</v>
      </c>
      <c r="J52" s="4">
        <f t="shared" si="3"/>
        <v>1.0830813648249716E-2</v>
      </c>
      <c r="K52" s="3"/>
      <c r="R52" s="4"/>
      <c r="V52">
        <v>49</v>
      </c>
      <c r="W52" s="4">
        <v>-7.7830208034707637E-3</v>
      </c>
    </row>
    <row r="53" spans="1:23" x14ac:dyDescent="0.3">
      <c r="A53" s="1">
        <v>45672</v>
      </c>
      <c r="B53" s="3">
        <f>Data!B52</f>
        <v>248.39503479003901</v>
      </c>
      <c r="C53" s="3">
        <v>126.99403381347599</v>
      </c>
      <c r="D53" s="3">
        <v>46.273048400878899</v>
      </c>
      <c r="E53" s="3"/>
      <c r="F53" s="1">
        <v>45672</v>
      </c>
      <c r="G53" s="4">
        <f t="shared" si="0"/>
        <v>1.9719603084766391E-2</v>
      </c>
      <c r="H53" s="4">
        <f t="shared" si="1"/>
        <v>4.7584672832169828E-2</v>
      </c>
      <c r="I53" s="4">
        <f t="shared" si="2"/>
        <v>2.8833577447530345E-2</v>
      </c>
      <c r="J53" s="4">
        <f t="shared" si="3"/>
        <v>3.3599823292556952E-2</v>
      </c>
      <c r="K53" s="3"/>
      <c r="R53" s="4"/>
      <c r="V53">
        <v>50</v>
      </c>
      <c r="W53" s="4">
        <v>-7.4051073543382256E-3</v>
      </c>
    </row>
    <row r="54" spans="1:23" x14ac:dyDescent="0.3">
      <c r="A54" s="1">
        <v>45673</v>
      </c>
      <c r="B54" s="3">
        <f>Data!B53</f>
        <v>250.28494262695301</v>
      </c>
      <c r="C54" s="3">
        <v>132.11076354980401</v>
      </c>
      <c r="D54" s="3">
        <v>45.8211250305175</v>
      </c>
      <c r="E54" s="3"/>
      <c r="F54" s="1">
        <v>45673</v>
      </c>
      <c r="G54" s="4">
        <f t="shared" si="0"/>
        <v>7.6084767093331784E-3</v>
      </c>
      <c r="H54" s="4">
        <f t="shared" si="1"/>
        <v>4.0291103311540288E-2</v>
      </c>
      <c r="I54" s="4">
        <f t="shared" si="2"/>
        <v>-9.76644906655455E-3</v>
      </c>
      <c r="J54" s="4">
        <f t="shared" si="3"/>
        <v>1.5469049617449706E-2</v>
      </c>
      <c r="K54" s="3"/>
      <c r="R54" s="4"/>
      <c r="V54">
        <v>51</v>
      </c>
      <c r="W54" s="4">
        <v>-7.390522837907431E-3</v>
      </c>
    </row>
    <row r="55" spans="1:23" x14ac:dyDescent="0.3">
      <c r="A55" s="1">
        <v>45674</v>
      </c>
      <c r="B55" s="3">
        <f>Data!B54</f>
        <v>255.09829711914</v>
      </c>
      <c r="C55" s="3">
        <v>134.11463928222599</v>
      </c>
      <c r="D55" s="3">
        <v>45.713054656982401</v>
      </c>
      <c r="E55" s="3"/>
      <c r="F55" s="1">
        <v>45674</v>
      </c>
      <c r="G55" s="4">
        <f t="shared" si="0"/>
        <v>1.9231498473966324E-2</v>
      </c>
      <c r="H55" s="4">
        <f t="shared" si="1"/>
        <v>1.5168148897016565E-2</v>
      </c>
      <c r="I55" s="4">
        <f t="shared" si="2"/>
        <v>-2.3585272832808979E-3</v>
      </c>
      <c r="J55" s="4">
        <f t="shared" si="3"/>
        <v>1.1129150916012255E-2</v>
      </c>
      <c r="K55" s="3"/>
      <c r="R55" s="4"/>
      <c r="V55">
        <v>52</v>
      </c>
      <c r="W55" s="4">
        <v>-7.0736507209449226E-3</v>
      </c>
    </row>
    <row r="56" spans="1:23" x14ac:dyDescent="0.3">
      <c r="A56" s="1">
        <v>45678</v>
      </c>
      <c r="B56" s="3">
        <f>Data!B55</f>
        <v>258.907623291015</v>
      </c>
      <c r="C56" s="3">
        <v>133.56016540527301</v>
      </c>
      <c r="D56" s="3">
        <v>45.840770721435497</v>
      </c>
      <c r="E56" s="3"/>
      <c r="F56" s="1">
        <v>45678</v>
      </c>
      <c r="G56" s="4">
        <f t="shared" si="0"/>
        <v>1.4932777736638148E-2</v>
      </c>
      <c r="H56" s="4">
        <f t="shared" si="1"/>
        <v>-4.1343277655631061E-3</v>
      </c>
      <c r="I56" s="4">
        <f t="shared" si="2"/>
        <v>2.7938641469364978E-3</v>
      </c>
      <c r="J56" s="4">
        <f t="shared" si="3"/>
        <v>3.6642614588471511E-3</v>
      </c>
      <c r="K56" s="3"/>
      <c r="R56" s="4"/>
      <c r="V56">
        <v>53</v>
      </c>
      <c r="W56" s="4">
        <v>-6.9195537800558647E-3</v>
      </c>
    </row>
    <row r="57" spans="1:23" x14ac:dyDescent="0.3">
      <c r="A57" s="1">
        <v>45679</v>
      </c>
      <c r="B57" s="3">
        <f>Data!B56</f>
        <v>258.72064208984301</v>
      </c>
      <c r="C57" s="3">
        <v>132.29559326171801</v>
      </c>
      <c r="D57" s="3">
        <v>44.986045837402301</v>
      </c>
      <c r="E57" s="3"/>
      <c r="F57" s="1">
        <v>45679</v>
      </c>
      <c r="G57" s="4">
        <f t="shared" si="0"/>
        <v>-7.2219272184903538E-4</v>
      </c>
      <c r="H57" s="4">
        <f t="shared" si="1"/>
        <v>-9.4681834191938652E-3</v>
      </c>
      <c r="I57" s="4">
        <f t="shared" si="2"/>
        <v>-1.8645517310936444E-2</v>
      </c>
      <c r="J57" s="4">
        <f t="shared" si="3"/>
        <v>-9.5975863775131891E-3</v>
      </c>
      <c r="K57" s="3"/>
      <c r="R57" s="4"/>
      <c r="V57">
        <v>54</v>
      </c>
      <c r="W57" s="4">
        <v>-6.8498854129361965E-3</v>
      </c>
    </row>
    <row r="58" spans="1:23" x14ac:dyDescent="0.3">
      <c r="A58" s="1">
        <v>45680</v>
      </c>
      <c r="B58" s="3">
        <f>Data!B57</f>
        <v>261.78189086914</v>
      </c>
      <c r="C58" s="3">
        <v>134.04655456542901</v>
      </c>
      <c r="D58" s="3">
        <v>45.575511932372997</v>
      </c>
      <c r="E58" s="3"/>
      <c r="F58" s="1">
        <v>45680</v>
      </c>
      <c r="G58" s="4">
        <f t="shared" si="0"/>
        <v>1.183225565061008E-2</v>
      </c>
      <c r="H58" s="4">
        <f t="shared" si="1"/>
        <v>1.3235220165248363E-2</v>
      </c>
      <c r="I58" s="4">
        <f t="shared" si="2"/>
        <v>1.3103309793024875E-2</v>
      </c>
      <c r="J58" s="4">
        <f t="shared" si="3"/>
        <v>1.2774757699189832E-2</v>
      </c>
      <c r="K58" s="3"/>
      <c r="R58" s="4"/>
      <c r="V58">
        <v>55</v>
      </c>
      <c r="W58" s="4">
        <v>-6.776862163241382E-3</v>
      </c>
    </row>
    <row r="59" spans="1:23" x14ac:dyDescent="0.3">
      <c r="A59" s="1">
        <v>45681</v>
      </c>
      <c r="B59" s="3">
        <f>Data!B58</f>
        <v>260.68930053710898</v>
      </c>
      <c r="C59" s="3">
        <v>134.06600952148401</v>
      </c>
      <c r="D59" s="3">
        <v>45.703231811523402</v>
      </c>
      <c r="E59" s="3"/>
      <c r="F59" s="1">
        <v>45681</v>
      </c>
      <c r="G59" s="4">
        <f t="shared" si="0"/>
        <v>-4.1736665909299919E-3</v>
      </c>
      <c r="H59" s="4">
        <f t="shared" si="1"/>
        <v>1.4513581582220603E-4</v>
      </c>
      <c r="I59" s="4">
        <f t="shared" si="2"/>
        <v>2.8023794738700758E-3</v>
      </c>
      <c r="J59" s="4">
        <f t="shared" si="3"/>
        <v>-3.5333180878909236E-4</v>
      </c>
      <c r="K59" s="3"/>
      <c r="R59" s="4"/>
      <c r="V59">
        <v>56</v>
      </c>
      <c r="W59" s="4">
        <v>-6.6294543869739094E-3</v>
      </c>
    </row>
    <row r="60" spans="1:23" x14ac:dyDescent="0.3">
      <c r="A60" s="1">
        <v>45684</v>
      </c>
      <c r="B60" s="3">
        <f>Data!B59</f>
        <v>261.68344116210898</v>
      </c>
      <c r="C60" s="3">
        <v>132.92787170410099</v>
      </c>
      <c r="D60" s="3">
        <v>46.263221740722599</v>
      </c>
      <c r="E60" s="3"/>
      <c r="F60" s="1">
        <v>45684</v>
      </c>
      <c r="G60" s="4">
        <f t="shared" si="0"/>
        <v>3.8135075852814282E-3</v>
      </c>
      <c r="H60" s="4">
        <f t="shared" si="1"/>
        <v>-8.4893838598263383E-3</v>
      </c>
      <c r="I60" s="4">
        <f t="shared" si="2"/>
        <v>1.2252742464877509E-2</v>
      </c>
      <c r="J60" s="4">
        <f t="shared" si="3"/>
        <v>1.4241214711171448E-3</v>
      </c>
      <c r="K60" s="3"/>
      <c r="R60" s="4"/>
      <c r="V60">
        <v>57</v>
      </c>
      <c r="W60" s="4">
        <v>-6.5229194316769211E-3</v>
      </c>
    </row>
    <row r="61" spans="1:23" x14ac:dyDescent="0.3">
      <c r="A61" s="1">
        <v>45685</v>
      </c>
      <c r="B61" s="3">
        <f>Data!B60</f>
        <v>262.95324707031199</v>
      </c>
      <c r="C61" s="3">
        <v>134.76638793945301</v>
      </c>
      <c r="D61" s="3">
        <v>46.017608642578097</v>
      </c>
      <c r="E61" s="3"/>
      <c r="F61" s="1">
        <v>45685</v>
      </c>
      <c r="G61" s="4">
        <f t="shared" si="0"/>
        <v>4.8524503597320301E-3</v>
      </c>
      <c r="H61" s="4">
        <f t="shared" si="1"/>
        <v>1.383093110408451E-2</v>
      </c>
      <c r="I61" s="4">
        <f t="shared" si="2"/>
        <v>-5.3090357502773022E-3</v>
      </c>
      <c r="J61" s="4">
        <f t="shared" si="3"/>
        <v>5.3953968244702223E-3</v>
      </c>
      <c r="K61" s="3"/>
      <c r="R61" s="4"/>
      <c r="V61">
        <v>58</v>
      </c>
      <c r="W61" s="4">
        <v>-6.5135943389762916E-3</v>
      </c>
    </row>
    <row r="62" spans="1:23" x14ac:dyDescent="0.3">
      <c r="A62" s="1">
        <v>45686</v>
      </c>
      <c r="B62" s="3">
        <f>Data!B61</f>
        <v>262.40200805664</v>
      </c>
      <c r="C62" s="3">
        <v>134.93176269531199</v>
      </c>
      <c r="D62" s="3">
        <v>45.929191589355398</v>
      </c>
      <c r="E62" s="3"/>
      <c r="F62" s="1">
        <v>45686</v>
      </c>
      <c r="G62" s="4">
        <f t="shared" si="0"/>
        <v>-2.0963384929206796E-3</v>
      </c>
      <c r="H62" s="4">
        <f t="shared" si="1"/>
        <v>1.2271216761650106E-3</v>
      </c>
      <c r="I62" s="4">
        <f t="shared" si="2"/>
        <v>-1.9213743571387942E-3</v>
      </c>
      <c r="J62" s="4">
        <f t="shared" si="3"/>
        <v>-7.1446518455183796E-4</v>
      </c>
      <c r="K62" s="3"/>
      <c r="R62" s="4"/>
      <c r="V62">
        <v>59</v>
      </c>
      <c r="W62" s="4">
        <v>-6.447189482382442E-3</v>
      </c>
    </row>
    <row r="63" spans="1:23" x14ac:dyDescent="0.3">
      <c r="A63" s="1">
        <v>45687</v>
      </c>
      <c r="B63" s="3">
        <f>Data!B62</f>
        <v>264.02615356445301</v>
      </c>
      <c r="C63" s="3">
        <v>136.12826538085901</v>
      </c>
      <c r="D63" s="3">
        <v>45.899715423583899</v>
      </c>
      <c r="E63" s="3"/>
      <c r="F63" s="1">
        <v>45687</v>
      </c>
      <c r="G63" s="4">
        <f t="shared" si="0"/>
        <v>6.1895315506215187E-3</v>
      </c>
      <c r="H63" s="4">
        <f t="shared" si="1"/>
        <v>8.8674650182167802E-3</v>
      </c>
      <c r="I63" s="4">
        <f t="shared" si="2"/>
        <v>-6.4177410382137978E-4</v>
      </c>
      <c r="J63" s="4">
        <f t="shared" si="3"/>
        <v>5.2113132413267533E-3</v>
      </c>
      <c r="K63" s="3"/>
      <c r="R63" s="4"/>
      <c r="V63">
        <v>60</v>
      </c>
      <c r="W63" s="4">
        <v>-6.2390974959818822E-3</v>
      </c>
    </row>
    <row r="64" spans="1:23" x14ac:dyDescent="0.3">
      <c r="A64" s="1">
        <v>45688</v>
      </c>
      <c r="B64" s="3">
        <f>Data!B63</f>
        <v>263.11071777343699</v>
      </c>
      <c r="C64" s="3">
        <v>135.55538940429599</v>
      </c>
      <c r="D64" s="3">
        <v>45.487094879150298</v>
      </c>
      <c r="E64" s="3"/>
      <c r="F64" s="1">
        <v>45688</v>
      </c>
      <c r="G64" s="4">
        <f t="shared" si="0"/>
        <v>-3.4672163293570923E-3</v>
      </c>
      <c r="H64" s="4">
        <f t="shared" si="1"/>
        <v>-4.2083543411077784E-3</v>
      </c>
      <c r="I64" s="4">
        <f t="shared" si="2"/>
        <v>-8.9896100798392276E-3</v>
      </c>
      <c r="J64" s="4">
        <f t="shared" si="3"/>
        <v>-5.4203896592020075E-3</v>
      </c>
      <c r="K64" s="3"/>
      <c r="R64" s="4"/>
      <c r="V64">
        <v>61</v>
      </c>
      <c r="W64" s="4">
        <v>-6.0033883059547929E-3</v>
      </c>
    </row>
    <row r="65" spans="1:23" x14ac:dyDescent="0.3">
      <c r="A65" s="1">
        <v>45691</v>
      </c>
      <c r="B65" s="3">
        <f>Data!B64</f>
        <v>262.62838745117102</v>
      </c>
      <c r="C65" s="3">
        <v>134.31178283691401</v>
      </c>
      <c r="D65" s="3">
        <v>45.398670196533203</v>
      </c>
      <c r="E65" s="3"/>
      <c r="F65" s="1">
        <v>45691</v>
      </c>
      <c r="G65" s="4">
        <f t="shared" si="0"/>
        <v>-1.8331838639933373E-3</v>
      </c>
      <c r="H65" s="4">
        <f t="shared" si="1"/>
        <v>-9.1741580533762912E-3</v>
      </c>
      <c r="I65" s="4">
        <f t="shared" si="2"/>
        <v>-1.9439509788879983E-3</v>
      </c>
      <c r="J65" s="4">
        <f t="shared" si="3"/>
        <v>-4.802803674214917E-3</v>
      </c>
      <c r="K65" s="3"/>
      <c r="R65" s="4"/>
      <c r="V65">
        <v>62</v>
      </c>
      <c r="W65" s="4">
        <v>-5.9271783884039418E-3</v>
      </c>
    </row>
    <row r="66" spans="1:23" x14ac:dyDescent="0.3">
      <c r="A66" s="1">
        <v>45692</v>
      </c>
      <c r="B66" s="3">
        <f>Data!B65</f>
        <v>263.74069213867102</v>
      </c>
      <c r="C66" s="3">
        <v>133.92988586425699</v>
      </c>
      <c r="D66" s="3">
        <v>45.889896392822202</v>
      </c>
      <c r="E66" s="3"/>
      <c r="F66" s="1">
        <v>45692</v>
      </c>
      <c r="G66" s="4">
        <f t="shared" si="0"/>
        <v>4.2352797361131511E-3</v>
      </c>
      <c r="H66" s="4">
        <f t="shared" si="1"/>
        <v>-2.8433616514549342E-3</v>
      </c>
      <c r="I66" s="4">
        <f t="shared" si="2"/>
        <v>1.0820277205531692E-2</v>
      </c>
      <c r="J66" s="4">
        <f t="shared" si="3"/>
        <v>3.3793224219114794E-3</v>
      </c>
      <c r="K66" s="3"/>
      <c r="R66" s="4"/>
      <c r="V66">
        <v>63</v>
      </c>
      <c r="W66" s="4">
        <v>-5.8745086442280933E-3</v>
      </c>
    </row>
    <row r="67" spans="1:23" x14ac:dyDescent="0.3">
      <c r="A67" s="1">
        <v>45693</v>
      </c>
      <c r="B67" s="3">
        <f>Data!B66</f>
        <v>266.191650390625</v>
      </c>
      <c r="C67" s="3">
        <v>136.04502868652301</v>
      </c>
      <c r="D67" s="3">
        <v>46.282867431640597</v>
      </c>
      <c r="E67" s="3"/>
      <c r="F67" s="1">
        <v>45693</v>
      </c>
      <c r="G67" s="4">
        <f t="shared" si="0"/>
        <v>9.2930606653041092E-3</v>
      </c>
      <c r="H67" s="4">
        <f t="shared" si="1"/>
        <v>1.5792911407464416E-2</v>
      </c>
      <c r="I67" s="4">
        <f t="shared" si="2"/>
        <v>8.5633455228253386E-3</v>
      </c>
      <c r="J67" s="4">
        <f t="shared" si="3"/>
        <v>1.1674086419424599E-2</v>
      </c>
      <c r="K67" s="3"/>
      <c r="R67" s="4"/>
      <c r="V67">
        <v>64</v>
      </c>
      <c r="W67" s="4">
        <v>-5.4203896592020075E-3</v>
      </c>
    </row>
    <row r="68" spans="1:23" x14ac:dyDescent="0.3">
      <c r="A68" s="1">
        <v>45694</v>
      </c>
      <c r="B68" s="3">
        <f>Data!B67</f>
        <v>272.56027221679602</v>
      </c>
      <c r="C68" s="3">
        <v>138.15037536621</v>
      </c>
      <c r="D68" s="3">
        <v>46.901809692382798</v>
      </c>
      <c r="E68" s="3"/>
      <c r="F68" s="1">
        <v>45694</v>
      </c>
      <c r="G68" s="4">
        <f t="shared" si="0"/>
        <v>2.3924949624923864E-2</v>
      </c>
      <c r="H68" s="4">
        <f t="shared" si="1"/>
        <v>1.5475366501911392E-2</v>
      </c>
      <c r="I68" s="4">
        <f t="shared" si="2"/>
        <v>1.3373031860145046E-2</v>
      </c>
      <c r="J68" s="4">
        <f t="shared" si="3"/>
        <v>1.7379541046285231E-2</v>
      </c>
      <c r="K68" s="3"/>
      <c r="R68" s="4"/>
      <c r="V68">
        <v>65</v>
      </c>
      <c r="W68" s="4">
        <v>-5.1909138525324753E-3</v>
      </c>
    </row>
    <row r="69" spans="1:23" x14ac:dyDescent="0.3">
      <c r="A69" s="1">
        <v>45695</v>
      </c>
      <c r="B69" s="3">
        <f>Data!B68</f>
        <v>271.47747802734301</v>
      </c>
      <c r="C69" s="3">
        <v>137.07321166992099</v>
      </c>
      <c r="D69" s="3">
        <v>46.567779541015597</v>
      </c>
      <c r="E69" s="3"/>
      <c r="F69" s="1">
        <v>45695</v>
      </c>
      <c r="G69" s="4">
        <f t="shared" ref="G69:G132" si="8">B69/B68-1</f>
        <v>-3.9726779719083671E-3</v>
      </c>
      <c r="H69" s="4">
        <f t="shared" ref="H69:H132" si="9">C69/C68-1</f>
        <v>-7.7970377817190295E-3</v>
      </c>
      <c r="I69" s="4">
        <f t="shared" ref="I69:I132" si="10">D69/D68-1</f>
        <v>-7.1219032604077359E-3</v>
      </c>
      <c r="J69" s="4">
        <f t="shared" ref="J69:J132" si="11">SUMPRODUCT(G69:I69,$M$4:$O$4)</f>
        <v>-6.447189482382442E-3</v>
      </c>
      <c r="K69" s="3"/>
      <c r="R69" s="4"/>
      <c r="V69">
        <v>66</v>
      </c>
      <c r="W69" s="4">
        <v>-5.1817657418515963E-3</v>
      </c>
    </row>
    <row r="70" spans="1:23" x14ac:dyDescent="0.3">
      <c r="A70" s="1">
        <v>45698</v>
      </c>
      <c r="B70" s="3">
        <f>Data!B69</f>
        <v>266.79214477539</v>
      </c>
      <c r="C70" s="3">
        <v>134.45866394042901</v>
      </c>
      <c r="D70" s="3">
        <v>45.850589752197202</v>
      </c>
      <c r="E70" s="3"/>
      <c r="F70" s="1">
        <v>45698</v>
      </c>
      <c r="G70" s="4">
        <f t="shared" si="8"/>
        <v>-1.7258644385524713E-2</v>
      </c>
      <c r="H70" s="4">
        <f t="shared" si="9"/>
        <v>-1.907409695621598E-2</v>
      </c>
      <c r="I70" s="4">
        <f t="shared" si="10"/>
        <v>-1.5400987461442361E-2</v>
      </c>
      <c r="J70" s="4">
        <f t="shared" si="11"/>
        <v>-1.7427528336576514E-2</v>
      </c>
      <c r="K70" s="3"/>
      <c r="R70" s="4"/>
      <c r="V70">
        <v>67</v>
      </c>
      <c r="W70" s="4">
        <v>-4.9462951958253567E-3</v>
      </c>
    </row>
    <row r="71" spans="1:23" x14ac:dyDescent="0.3">
      <c r="A71" s="1">
        <v>45699</v>
      </c>
      <c r="B71" s="3">
        <f>Data!B70</f>
        <v>270.68017578125</v>
      </c>
      <c r="C71" s="3">
        <v>134.92869567871</v>
      </c>
      <c r="D71" s="3">
        <v>45.968490600585902</v>
      </c>
      <c r="E71" s="3"/>
      <c r="F71" s="1">
        <v>45699</v>
      </c>
      <c r="G71" s="4">
        <f t="shared" si="8"/>
        <v>1.4573258928344046E-2</v>
      </c>
      <c r="H71" s="4">
        <f t="shared" si="9"/>
        <v>3.4957341126731212E-3</v>
      </c>
      <c r="I71" s="4">
        <f t="shared" si="10"/>
        <v>2.571413999817862E-3</v>
      </c>
      <c r="J71" s="4">
        <f t="shared" si="11"/>
        <v>6.5416955235178213E-3</v>
      </c>
      <c r="K71" s="3"/>
      <c r="R71" s="4"/>
      <c r="V71">
        <v>68</v>
      </c>
      <c r="W71" s="4">
        <v>-4.85775262256376E-3</v>
      </c>
    </row>
    <row r="72" spans="1:23" x14ac:dyDescent="0.3">
      <c r="A72" s="1">
        <v>45700</v>
      </c>
      <c r="B72" s="3">
        <f>Data!B71</f>
        <v>271.13299560546801</v>
      </c>
      <c r="C72" s="3">
        <v>134.26281738281199</v>
      </c>
      <c r="D72" s="3">
        <v>45.398670196533203</v>
      </c>
      <c r="E72" s="3"/>
      <c r="F72" s="1">
        <v>45700</v>
      </c>
      <c r="G72" s="4">
        <f t="shared" si="8"/>
        <v>1.6728961510057427E-3</v>
      </c>
      <c r="H72" s="4">
        <f t="shared" si="9"/>
        <v>-4.9350384108328704E-3</v>
      </c>
      <c r="I72" s="4">
        <f t="shared" si="10"/>
        <v>-1.2395891111670165E-2</v>
      </c>
      <c r="J72" s="4">
        <f t="shared" si="11"/>
        <v>-5.1909138525324753E-3</v>
      </c>
      <c r="K72" s="3"/>
      <c r="R72" s="4"/>
      <c r="V72">
        <v>69</v>
      </c>
      <c r="W72" s="4">
        <v>-4.802803674214917E-3</v>
      </c>
    </row>
    <row r="73" spans="1:23" x14ac:dyDescent="0.3">
      <c r="A73" s="1">
        <v>45701</v>
      </c>
      <c r="B73" s="3">
        <f>Data!B72</f>
        <v>271.98934936523398</v>
      </c>
      <c r="C73" s="3">
        <v>133.99841308593699</v>
      </c>
      <c r="D73" s="3">
        <v>45.516563415527301</v>
      </c>
      <c r="E73" s="3"/>
      <c r="F73" s="1">
        <v>45701</v>
      </c>
      <c r="G73" s="4">
        <f t="shared" si="8"/>
        <v>3.158426947829307E-3</v>
      </c>
      <c r="H73" s="4">
        <f t="shared" si="9"/>
        <v>-1.9693039519730338E-3</v>
      </c>
      <c r="I73" s="4">
        <f t="shared" si="10"/>
        <v>2.5968430018705746E-3</v>
      </c>
      <c r="J73" s="4">
        <f t="shared" si="11"/>
        <v>9.3885940412075086E-4</v>
      </c>
      <c r="K73" s="3"/>
      <c r="R73" s="4"/>
      <c r="V73">
        <v>70</v>
      </c>
      <c r="W73" s="4">
        <v>-4.7187209225051261E-3</v>
      </c>
    </row>
    <row r="74" spans="1:23" x14ac:dyDescent="0.3">
      <c r="A74" s="1">
        <v>45702</v>
      </c>
      <c r="B74" s="3">
        <f>Data!B73</f>
        <v>272.255126953125</v>
      </c>
      <c r="C74" s="3">
        <v>136.06462097167901</v>
      </c>
      <c r="D74" s="3">
        <v>46.135505676269503</v>
      </c>
      <c r="E74" s="3"/>
      <c r="F74" s="1">
        <v>45702</v>
      </c>
      <c r="G74" s="4">
        <f t="shared" si="8"/>
        <v>9.7716174736728334E-4</v>
      </c>
      <c r="H74" s="4">
        <f t="shared" si="9"/>
        <v>1.5419644443228631E-2</v>
      </c>
      <c r="I74" s="4">
        <f t="shared" si="10"/>
        <v>1.3598176450444921E-2</v>
      </c>
      <c r="J74" s="4">
        <f t="shared" si="11"/>
        <v>1.0540459236635113E-2</v>
      </c>
      <c r="K74" s="3"/>
      <c r="R74" s="4"/>
      <c r="V74">
        <v>71</v>
      </c>
      <c r="W74" s="4">
        <v>-4.6231904961048006E-3</v>
      </c>
    </row>
    <row r="75" spans="1:23" x14ac:dyDescent="0.3">
      <c r="A75" s="1">
        <v>45706</v>
      </c>
      <c r="B75" s="3">
        <f>Data!B74</f>
        <v>275.5625</v>
      </c>
      <c r="C75" s="3">
        <v>137.78807067871</v>
      </c>
      <c r="D75" s="3">
        <v>45.713054656982401</v>
      </c>
      <c r="E75" s="3"/>
      <c r="F75" s="1">
        <v>45706</v>
      </c>
      <c r="G75" s="4">
        <f t="shared" si="8"/>
        <v>1.2148065250005224E-2</v>
      </c>
      <c r="H75" s="4">
        <f t="shared" si="9"/>
        <v>1.2666405820435322E-2</v>
      </c>
      <c r="I75" s="4">
        <f t="shared" si="10"/>
        <v>-9.1567440975161007E-3</v>
      </c>
      <c r="J75" s="4">
        <f t="shared" si="11"/>
        <v>5.9639586739208671E-3</v>
      </c>
      <c r="K75" s="3"/>
      <c r="R75" s="4"/>
      <c r="V75">
        <v>72</v>
      </c>
      <c r="W75" s="4">
        <v>-4.3825765369267296E-3</v>
      </c>
    </row>
    <row r="76" spans="1:23" x14ac:dyDescent="0.3">
      <c r="A76" s="1">
        <v>45707</v>
      </c>
      <c r="B76" s="3">
        <f>Data!B75</f>
        <v>274.873443603515</v>
      </c>
      <c r="C76" s="3">
        <v>137.76847839355401</v>
      </c>
      <c r="D76" s="3">
        <v>45.202178955078097</v>
      </c>
      <c r="E76" s="3"/>
      <c r="F76" s="1">
        <v>45707</v>
      </c>
      <c r="G76" s="4">
        <f t="shared" si="8"/>
        <v>-2.50054487270579E-3</v>
      </c>
      <c r="H76" s="4">
        <f t="shared" si="9"/>
        <v>-1.4219144704974429E-4</v>
      </c>
      <c r="I76" s="4">
        <f t="shared" si="10"/>
        <v>-1.117570693399883E-2</v>
      </c>
      <c r="J76" s="4">
        <f t="shared" si="11"/>
        <v>-4.1597521208312834E-3</v>
      </c>
      <c r="K76" s="3"/>
      <c r="R76" s="4"/>
      <c r="V76">
        <v>73</v>
      </c>
      <c r="W76" s="4">
        <v>-4.3551252390852668E-3</v>
      </c>
    </row>
    <row r="77" spans="1:23" x14ac:dyDescent="0.3">
      <c r="A77" s="1">
        <v>45708</v>
      </c>
      <c r="B77" s="3">
        <f>Data!B76</f>
        <v>262.618560791015</v>
      </c>
      <c r="C77" s="3">
        <v>131.55033874511699</v>
      </c>
      <c r="D77" s="3">
        <v>44.504653930663999</v>
      </c>
      <c r="E77" s="3"/>
      <c r="F77" s="1">
        <v>45708</v>
      </c>
      <c r="G77" s="4">
        <f t="shared" si="8"/>
        <v>-4.4583727885247337E-2</v>
      </c>
      <c r="H77" s="4">
        <f t="shared" si="9"/>
        <v>-4.5134705129529551E-2</v>
      </c>
      <c r="I77" s="4">
        <f t="shared" si="10"/>
        <v>-1.5431225674038762E-2</v>
      </c>
      <c r="J77" s="4">
        <f t="shared" si="11"/>
        <v>-3.6058368119597659E-2</v>
      </c>
      <c r="K77" s="3"/>
      <c r="R77" s="4"/>
      <c r="V77">
        <v>74</v>
      </c>
      <c r="W77" s="4">
        <v>-4.1597521208312834E-3</v>
      </c>
    </row>
    <row r="78" spans="1:23" x14ac:dyDescent="0.3">
      <c r="A78" s="1">
        <v>45709</v>
      </c>
      <c r="B78" s="3">
        <f>Data!B77</f>
        <v>260.09869384765602</v>
      </c>
      <c r="C78" s="3">
        <v>128.95536804199199</v>
      </c>
      <c r="D78" s="3">
        <v>44.0232543945312</v>
      </c>
      <c r="E78" s="3"/>
      <c r="F78" s="1">
        <v>45709</v>
      </c>
      <c r="G78" s="4">
        <f t="shared" si="8"/>
        <v>-9.5951593663793355E-3</v>
      </c>
      <c r="H78" s="4">
        <f t="shared" si="9"/>
        <v>-1.9726066294309175E-2</v>
      </c>
      <c r="I78" s="4">
        <f t="shared" si="10"/>
        <v>-1.0816835850084194E-2</v>
      </c>
      <c r="J78" s="4">
        <f t="shared" si="11"/>
        <v>-1.4014025082662728E-2</v>
      </c>
      <c r="K78" s="3"/>
      <c r="R78" s="4"/>
      <c r="V78">
        <v>75</v>
      </c>
      <c r="W78" s="4">
        <v>-3.9954882698999385E-3</v>
      </c>
    </row>
    <row r="79" spans="1:23" x14ac:dyDescent="0.3">
      <c r="A79" s="1">
        <v>45712</v>
      </c>
      <c r="B79" s="3">
        <f>Data!B78</f>
        <v>257.24411010742102</v>
      </c>
      <c r="C79" s="3">
        <v>127.271095275878</v>
      </c>
      <c r="D79" s="3">
        <v>43.679397583007798</v>
      </c>
      <c r="E79" s="3"/>
      <c r="F79" s="1">
        <v>45712</v>
      </c>
      <c r="G79" s="4">
        <f t="shared" si="8"/>
        <v>-1.0975002211687346E-2</v>
      </c>
      <c r="H79" s="4">
        <f t="shared" si="9"/>
        <v>-1.3060896895471186E-2</v>
      </c>
      <c r="I79" s="4">
        <f t="shared" si="10"/>
        <v>-7.810799457073303E-3</v>
      </c>
      <c r="J79" s="4">
        <f t="shared" si="11"/>
        <v>-1.0860099258816669E-2</v>
      </c>
      <c r="K79" s="3"/>
      <c r="R79" s="4"/>
      <c r="V79">
        <v>76</v>
      </c>
      <c r="W79" s="4">
        <v>-3.9943324401821023E-3</v>
      </c>
    </row>
    <row r="80" spans="1:23" x14ac:dyDescent="0.3">
      <c r="A80" s="1">
        <v>45713</v>
      </c>
      <c r="B80" s="3">
        <f>Data!B79</f>
        <v>253.36587524414</v>
      </c>
      <c r="C80" s="3">
        <v>126.908767700195</v>
      </c>
      <c r="D80" s="3">
        <v>43.168525695800703</v>
      </c>
      <c r="E80" s="3"/>
      <c r="F80" s="1">
        <v>45713</v>
      </c>
      <c r="G80" s="4">
        <f t="shared" si="8"/>
        <v>-1.5076088084821637E-2</v>
      </c>
      <c r="H80" s="4">
        <f t="shared" si="9"/>
        <v>-2.8468960284941947E-3</v>
      </c>
      <c r="I80" s="4">
        <f t="shared" si="10"/>
        <v>-1.1695946269319357E-2</v>
      </c>
      <c r="J80" s="4">
        <f t="shared" si="11"/>
        <v>-9.1703687176399769E-3</v>
      </c>
      <c r="K80" s="3"/>
      <c r="R80" s="4"/>
      <c r="V80">
        <v>77</v>
      </c>
      <c r="W80" s="4">
        <v>-3.6557197161404152E-3</v>
      </c>
    </row>
    <row r="81" spans="1:23" x14ac:dyDescent="0.3">
      <c r="A81" s="1">
        <v>45714</v>
      </c>
      <c r="B81" s="3">
        <f>Data!B80</f>
        <v>254.734115600585</v>
      </c>
      <c r="C81" s="3">
        <v>128.32865905761699</v>
      </c>
      <c r="D81" s="3">
        <v>43.168525695800703</v>
      </c>
      <c r="E81" s="3"/>
      <c r="F81" s="1">
        <v>45714</v>
      </c>
      <c r="G81" s="4">
        <f t="shared" si="8"/>
        <v>5.4002550861538268E-3</v>
      </c>
      <c r="H81" s="4">
        <f t="shared" si="9"/>
        <v>1.1188284175734031E-2</v>
      </c>
      <c r="I81" s="4">
        <f t="shared" si="10"/>
        <v>0</v>
      </c>
      <c r="J81" s="4">
        <f t="shared" si="11"/>
        <v>6.0953901961397607E-3</v>
      </c>
      <c r="K81" s="3"/>
      <c r="R81" s="4"/>
      <c r="V81">
        <v>78</v>
      </c>
      <c r="W81" s="4">
        <v>-3.1921264773056126E-3</v>
      </c>
    </row>
    <row r="82" spans="1:23" x14ac:dyDescent="0.3">
      <c r="A82" s="1">
        <v>45715</v>
      </c>
      <c r="B82" s="3">
        <f>Data!B81</f>
        <v>254.989990234375</v>
      </c>
      <c r="C82" s="3">
        <v>126.55624389648401</v>
      </c>
      <c r="D82" s="3">
        <v>43.345363616943303</v>
      </c>
      <c r="E82" s="3"/>
      <c r="F82" s="1">
        <v>45715</v>
      </c>
      <c r="G82" s="4">
        <f t="shared" si="8"/>
        <v>1.0044772887476405E-3</v>
      </c>
      <c r="H82" s="4">
        <f t="shared" si="9"/>
        <v>-1.3811530285976148E-2</v>
      </c>
      <c r="I82" s="4">
        <f t="shared" si="10"/>
        <v>4.096454958613549E-3</v>
      </c>
      <c r="J82" s="4">
        <f t="shared" si="11"/>
        <v>-3.9943324401821023E-3</v>
      </c>
      <c r="K82" s="3"/>
      <c r="R82" s="4"/>
      <c r="V82">
        <v>79</v>
      </c>
      <c r="W82" s="4">
        <v>-2.9624759757582056E-3</v>
      </c>
    </row>
    <row r="83" spans="1:23" x14ac:dyDescent="0.3">
      <c r="A83" s="1">
        <v>45716</v>
      </c>
      <c r="B83" s="3">
        <f>Data!B82</f>
        <v>260.50225830078102</v>
      </c>
      <c r="C83" s="3">
        <v>130.34588623046801</v>
      </c>
      <c r="D83" s="3">
        <v>45.290599822997997</v>
      </c>
      <c r="E83" s="3"/>
      <c r="F83" s="1">
        <v>45716</v>
      </c>
      <c r="G83" s="4">
        <f t="shared" si="8"/>
        <v>2.1617586091671193E-2</v>
      </c>
      <c r="H83" s="4">
        <f t="shared" si="9"/>
        <v>2.9944333185834227E-2</v>
      </c>
      <c r="I83" s="4">
        <f t="shared" si="10"/>
        <v>4.4877607285645604E-2</v>
      </c>
      <c r="J83" s="4">
        <f t="shared" si="11"/>
        <v>3.1926291287528732E-2</v>
      </c>
      <c r="K83" s="3"/>
      <c r="R83" s="4"/>
      <c r="V83">
        <v>80</v>
      </c>
      <c r="W83" s="4">
        <v>-2.928219487994588E-3</v>
      </c>
    </row>
    <row r="84" spans="1:23" x14ac:dyDescent="0.3">
      <c r="A84" s="1">
        <v>45719</v>
      </c>
      <c r="B84" s="3">
        <f>Data!B83</f>
        <v>256.53543090820301</v>
      </c>
      <c r="C84" s="3">
        <v>126.448532104492</v>
      </c>
      <c r="D84" s="3">
        <v>44.760086059570298</v>
      </c>
      <c r="E84" s="3"/>
      <c r="F84" s="1">
        <v>45719</v>
      </c>
      <c r="G84" s="4">
        <f t="shared" si="8"/>
        <v>-1.5227612299613336E-2</v>
      </c>
      <c r="H84" s="4">
        <f t="shared" si="9"/>
        <v>-2.9900093042330433E-2</v>
      </c>
      <c r="I84" s="4">
        <f t="shared" si="10"/>
        <v>-1.1713551277771073E-2</v>
      </c>
      <c r="J84" s="4">
        <f t="shared" si="11"/>
        <v>-2.0042386290147495E-2</v>
      </c>
      <c r="K84" s="3"/>
      <c r="R84" s="4"/>
      <c r="V84">
        <v>81</v>
      </c>
      <c r="W84" s="4">
        <v>-2.7423265990180632E-3</v>
      </c>
    </row>
    <row r="85" spans="1:23" x14ac:dyDescent="0.3">
      <c r="A85" s="1">
        <v>45720</v>
      </c>
      <c r="B85" s="3">
        <f>Data!B84</f>
        <v>246.32794189453099</v>
      </c>
      <c r="C85" s="3">
        <v>119.19239807128901</v>
      </c>
      <c r="D85" s="3">
        <v>41.920822143554602</v>
      </c>
      <c r="E85" s="3"/>
      <c r="F85" s="1">
        <v>45720</v>
      </c>
      <c r="G85" s="4">
        <f t="shared" si="8"/>
        <v>-3.9789782555707087E-2</v>
      </c>
      <c r="H85" s="4">
        <f t="shared" si="9"/>
        <v>-5.7384090684475586E-2</v>
      </c>
      <c r="I85" s="4">
        <f t="shared" si="10"/>
        <v>-6.3432941398659848E-2</v>
      </c>
      <c r="J85" s="4">
        <f t="shared" si="11"/>
        <v>-5.3920453460100312E-2</v>
      </c>
      <c r="K85" s="3"/>
      <c r="R85" s="4"/>
      <c r="V85">
        <v>82</v>
      </c>
      <c r="W85" s="4">
        <v>-2.3568686527622893E-3</v>
      </c>
    </row>
    <row r="86" spans="1:23" x14ac:dyDescent="0.3">
      <c r="A86" s="1">
        <v>45721</v>
      </c>
      <c r="B86" s="3">
        <f>Data!B85</f>
        <v>247.58787536621</v>
      </c>
      <c r="C86" s="3">
        <v>121.1802444458</v>
      </c>
      <c r="D86" s="3">
        <v>41.547500610351499</v>
      </c>
      <c r="E86" s="3"/>
      <c r="F86" s="1">
        <v>45721</v>
      </c>
      <c r="G86" s="4">
        <f t="shared" si="8"/>
        <v>5.114862171090806E-3</v>
      </c>
      <c r="H86" s="4">
        <f t="shared" si="9"/>
        <v>1.66776271530511E-2</v>
      </c>
      <c r="I86" s="4">
        <f t="shared" si="10"/>
        <v>-8.905396271206012E-3</v>
      </c>
      <c r="J86" s="4">
        <f t="shared" si="11"/>
        <v>5.5338906311858775E-3</v>
      </c>
      <c r="K86" s="3"/>
      <c r="R86" s="4"/>
      <c r="V86">
        <v>83</v>
      </c>
      <c r="W86" s="4">
        <v>-2.1237679013216045E-3</v>
      </c>
    </row>
    <row r="87" spans="1:23" x14ac:dyDescent="0.3">
      <c r="A87" s="1">
        <v>45722</v>
      </c>
      <c r="B87" s="3">
        <f>Data!B86</f>
        <v>242.67608642578099</v>
      </c>
      <c r="C87" s="3">
        <v>116.89120483398401</v>
      </c>
      <c r="D87" s="3">
        <v>40.732067108154297</v>
      </c>
      <c r="E87" s="3"/>
      <c r="F87" s="1">
        <v>45722</v>
      </c>
      <c r="G87" s="4">
        <f t="shared" si="8"/>
        <v>-1.9838568157523606E-2</v>
      </c>
      <c r="H87" s="4">
        <f t="shared" si="9"/>
        <v>-3.5393884798890163E-2</v>
      </c>
      <c r="I87" s="4">
        <f t="shared" si="10"/>
        <v>-1.9626535657214395E-2</v>
      </c>
      <c r="J87" s="4">
        <f t="shared" si="11"/>
        <v>-2.5997085063977465E-2</v>
      </c>
      <c r="K87" s="3"/>
      <c r="R87" s="4"/>
      <c r="V87">
        <v>84</v>
      </c>
      <c r="W87" s="4">
        <v>-1.8551975899406385E-3</v>
      </c>
    </row>
    <row r="88" spans="1:23" x14ac:dyDescent="0.3">
      <c r="A88" s="1">
        <v>45723</v>
      </c>
      <c r="B88" s="3">
        <f>Data!B87</f>
        <v>238.48284912109301</v>
      </c>
      <c r="C88" s="3">
        <v>116.812858581542</v>
      </c>
      <c r="D88" s="3">
        <v>40.929801940917898</v>
      </c>
      <c r="E88" s="3"/>
      <c r="F88" s="1">
        <v>45723</v>
      </c>
      <c r="G88" s="4">
        <f t="shared" si="8"/>
        <v>-1.7279153320986285E-2</v>
      </c>
      <c r="H88" s="4">
        <f t="shared" si="9"/>
        <v>-6.7024933615211779E-4</v>
      </c>
      <c r="I88" s="4">
        <f t="shared" si="10"/>
        <v>4.8545248695226473E-3</v>
      </c>
      <c r="J88" s="4">
        <f t="shared" si="11"/>
        <v>-3.9954882698999385E-3</v>
      </c>
      <c r="K88" s="3"/>
      <c r="R88" s="4"/>
      <c r="V88">
        <v>85</v>
      </c>
      <c r="W88" s="4">
        <v>-1.6382295018117167E-3</v>
      </c>
    </row>
    <row r="89" spans="1:23" x14ac:dyDescent="0.3">
      <c r="A89" s="1">
        <v>45726</v>
      </c>
      <c r="B89" s="3">
        <f>Data!B88</f>
        <v>228.58052062988199</v>
      </c>
      <c r="C89" s="3">
        <v>109.370681762695</v>
      </c>
      <c r="D89" s="3">
        <v>39.377632141113203</v>
      </c>
      <c r="E89" s="3"/>
      <c r="F89" s="1">
        <v>45726</v>
      </c>
      <c r="G89" s="4">
        <f t="shared" si="8"/>
        <v>-4.1522182948187547E-2</v>
      </c>
      <c r="H89" s="4">
        <f t="shared" si="9"/>
        <v>-6.37102533849212E-2</v>
      </c>
      <c r="I89" s="4">
        <f t="shared" si="10"/>
        <v>-3.7922729312134251E-2</v>
      </c>
      <c r="J89" s="4">
        <f t="shared" si="11"/>
        <v>-4.931757503206502E-2</v>
      </c>
      <c r="K89" s="3"/>
      <c r="R89" s="4"/>
      <c r="V89">
        <v>86</v>
      </c>
      <c r="W89" s="4">
        <v>-1.6068373538953074E-3</v>
      </c>
    </row>
    <row r="90" spans="1:23" x14ac:dyDescent="0.3">
      <c r="A90" s="1">
        <v>45727</v>
      </c>
      <c r="B90" s="3">
        <f>Data!B89</f>
        <v>225.54879760742099</v>
      </c>
      <c r="C90" s="3">
        <v>109.713409423828</v>
      </c>
      <c r="D90" s="3">
        <v>39.160129547119098</v>
      </c>
      <c r="E90" s="3"/>
      <c r="F90" s="1">
        <v>45727</v>
      </c>
      <c r="G90" s="4">
        <f t="shared" si="8"/>
        <v>-1.3263260640524854E-2</v>
      </c>
      <c r="H90" s="4">
        <f t="shared" si="9"/>
        <v>3.1336337637231093E-3</v>
      </c>
      <c r="I90" s="4">
        <f t="shared" si="10"/>
        <v>-5.5235061675283914E-3</v>
      </c>
      <c r="J90" s="4">
        <f t="shared" si="11"/>
        <v>-4.3825765369267296E-3</v>
      </c>
      <c r="K90" s="3"/>
      <c r="R90" s="4"/>
      <c r="V90">
        <v>87</v>
      </c>
      <c r="W90" s="4">
        <v>-1.5715731991789773E-3</v>
      </c>
    </row>
    <row r="91" spans="1:23" x14ac:dyDescent="0.3">
      <c r="A91" s="1">
        <v>45728</v>
      </c>
      <c r="B91" s="3">
        <f>Data!B90</f>
        <v>224.32821655273401</v>
      </c>
      <c r="C91" s="3">
        <v>111.63271331787099</v>
      </c>
      <c r="D91" s="3">
        <v>39.456722259521399</v>
      </c>
      <c r="E91" s="3"/>
      <c r="F91" s="1">
        <v>45728</v>
      </c>
      <c r="G91" s="4">
        <f t="shared" si="8"/>
        <v>-5.4116052385766444E-3</v>
      </c>
      <c r="H91" s="4">
        <f t="shared" si="9"/>
        <v>1.7493795007578639E-2</v>
      </c>
      <c r="I91" s="4">
        <f t="shared" si="10"/>
        <v>7.5738440049191169E-3</v>
      </c>
      <c r="J91" s="4">
        <f t="shared" si="11"/>
        <v>7.6461896329341975E-3</v>
      </c>
      <c r="K91" s="3"/>
      <c r="R91" s="4"/>
      <c r="V91">
        <v>88</v>
      </c>
      <c r="W91" s="4">
        <v>-1.5709088971504804E-3</v>
      </c>
    </row>
    <row r="92" spans="1:23" x14ac:dyDescent="0.3">
      <c r="A92" s="1">
        <v>45729</v>
      </c>
      <c r="B92" s="3">
        <f>Data!B91</f>
        <v>221.66069030761699</v>
      </c>
      <c r="C92" s="3">
        <v>109.36089324951099</v>
      </c>
      <c r="D92" s="3">
        <v>39.219444274902301</v>
      </c>
      <c r="E92" s="3"/>
      <c r="F92" s="1">
        <v>45729</v>
      </c>
      <c r="G92" s="4">
        <f t="shared" si="8"/>
        <v>-1.1891175733971693E-2</v>
      </c>
      <c r="H92" s="4">
        <f t="shared" si="9"/>
        <v>-2.0350845203332635E-2</v>
      </c>
      <c r="I92" s="4">
        <f t="shared" si="10"/>
        <v>-6.01362634884961E-3</v>
      </c>
      <c r="J92" s="4">
        <f t="shared" si="11"/>
        <v>-1.3511778706179445E-2</v>
      </c>
      <c r="K92" s="3"/>
      <c r="R92" s="4"/>
      <c r="V92">
        <v>89</v>
      </c>
      <c r="W92" s="4">
        <v>-1.475953396568763E-3</v>
      </c>
    </row>
    <row r="93" spans="1:23" x14ac:dyDescent="0.3">
      <c r="A93" s="1">
        <v>45730</v>
      </c>
      <c r="B93" s="3">
        <f>Data!B92</f>
        <v>228.79705810546801</v>
      </c>
      <c r="C93" s="3">
        <v>112.94487762451099</v>
      </c>
      <c r="D93" s="3">
        <v>40.425590515136697</v>
      </c>
      <c r="E93" s="3"/>
      <c r="F93" s="1">
        <v>45730</v>
      </c>
      <c r="G93" s="4">
        <f t="shared" si="8"/>
        <v>3.2195008451644247E-2</v>
      </c>
      <c r="H93" s="4">
        <f t="shared" si="9"/>
        <v>3.2772083955303843E-2</v>
      </c>
      <c r="I93" s="4">
        <f t="shared" si="10"/>
        <v>3.0753782021492038E-2</v>
      </c>
      <c r="J93" s="4">
        <f t="shared" si="11"/>
        <v>3.1993470724062424E-2</v>
      </c>
      <c r="K93" s="3"/>
      <c r="R93" s="4"/>
      <c r="V93">
        <v>90</v>
      </c>
      <c r="W93" s="4">
        <v>-1.4605465060824939E-3</v>
      </c>
    </row>
    <row r="94" spans="1:23" x14ac:dyDescent="0.3">
      <c r="A94" s="1">
        <v>45733</v>
      </c>
      <c r="B94" s="3">
        <f>Data!B93</f>
        <v>230.26370239257801</v>
      </c>
      <c r="C94" s="3">
        <v>115.51047515869099</v>
      </c>
      <c r="D94" s="3">
        <v>40.969345092773402</v>
      </c>
      <c r="E94" s="3"/>
      <c r="F94" s="1">
        <v>45733</v>
      </c>
      <c r="G94" s="4">
        <f t="shared" si="8"/>
        <v>6.4102410199431414E-3</v>
      </c>
      <c r="H94" s="4">
        <f t="shared" si="9"/>
        <v>2.2715483766421185E-2</v>
      </c>
      <c r="I94" s="4">
        <f t="shared" si="10"/>
        <v>1.345075163300602E-2</v>
      </c>
      <c r="J94" s="4">
        <f t="shared" si="11"/>
        <v>1.5044491302453222E-2</v>
      </c>
      <c r="K94" s="3"/>
      <c r="R94" s="4"/>
      <c r="V94">
        <v>91</v>
      </c>
      <c r="W94" s="4">
        <v>-1.4227288846881073E-3</v>
      </c>
    </row>
    <row r="95" spans="1:23" x14ac:dyDescent="0.3">
      <c r="A95" s="1">
        <v>45734</v>
      </c>
      <c r="B95" s="3">
        <f>Data!B94</f>
        <v>231.28741455078099</v>
      </c>
      <c r="C95" s="3">
        <v>115.65736389160099</v>
      </c>
      <c r="D95" s="3">
        <v>41.176959991455</v>
      </c>
      <c r="E95" s="3"/>
      <c r="F95" s="1">
        <v>45734</v>
      </c>
      <c r="G95" s="4">
        <f t="shared" si="8"/>
        <v>4.4458251455439246E-3</v>
      </c>
      <c r="H95" s="4">
        <f t="shared" si="9"/>
        <v>1.2716485903827568E-3</v>
      </c>
      <c r="I95" s="4">
        <f t="shared" si="10"/>
        <v>5.0675669384381283E-3</v>
      </c>
      <c r="J95" s="4">
        <f t="shared" si="11"/>
        <v>3.3626770613477187E-3</v>
      </c>
      <c r="K95" s="3"/>
      <c r="R95" s="4"/>
      <c r="V95">
        <v>92</v>
      </c>
      <c r="W95" s="4">
        <v>-1.3703406966609323E-3</v>
      </c>
    </row>
    <row r="96" spans="1:23" x14ac:dyDescent="0.3">
      <c r="A96" s="1">
        <v>45735</v>
      </c>
      <c r="B96" s="3">
        <f>Data!B95</f>
        <v>235.362533569335</v>
      </c>
      <c r="C96" s="3">
        <v>117.36122894287099</v>
      </c>
      <c r="D96" s="3">
        <v>41.730598449707003</v>
      </c>
      <c r="E96" s="3"/>
      <c r="F96" s="1">
        <v>45735</v>
      </c>
      <c r="G96" s="4">
        <f t="shared" si="8"/>
        <v>1.7619285625501524E-2</v>
      </c>
      <c r="H96" s="4">
        <f t="shared" si="9"/>
        <v>1.4732006626633209E-2</v>
      </c>
      <c r="I96" s="4">
        <f t="shared" si="10"/>
        <v>1.3445345609945258E-2</v>
      </c>
      <c r="J96" s="4">
        <f t="shared" si="11"/>
        <v>1.5212192021287319E-2</v>
      </c>
      <c r="K96" s="3"/>
      <c r="R96" s="4"/>
      <c r="V96">
        <v>93</v>
      </c>
      <c r="W96" s="4">
        <v>-1.3178718917852827E-3</v>
      </c>
    </row>
    <row r="97" spans="1:23" x14ac:dyDescent="0.3">
      <c r="A97" s="1">
        <v>45736</v>
      </c>
      <c r="B97" s="3">
        <f>Data!B96</f>
        <v>235.26409912109301</v>
      </c>
      <c r="C97" s="3">
        <v>117.968360900878</v>
      </c>
      <c r="D97" s="3">
        <v>41.997535705566399</v>
      </c>
      <c r="E97" s="3"/>
      <c r="F97" s="1">
        <v>45736</v>
      </c>
      <c r="G97" s="4">
        <f t="shared" si="8"/>
        <v>-4.1822479877828833E-4</v>
      </c>
      <c r="H97" s="4">
        <f t="shared" si="9"/>
        <v>5.1731901878988573E-3</v>
      </c>
      <c r="I97" s="4">
        <f t="shared" si="10"/>
        <v>6.3966793138876543E-3</v>
      </c>
      <c r="J97" s="4">
        <f t="shared" si="11"/>
        <v>3.8628124296923531E-3</v>
      </c>
      <c r="K97" s="3"/>
      <c r="R97" s="4"/>
      <c r="V97">
        <v>94</v>
      </c>
      <c r="W97" s="4">
        <v>-1.162523792979053E-3</v>
      </c>
    </row>
    <row r="98" spans="1:23" x14ac:dyDescent="0.3">
      <c r="A98" s="1">
        <v>45737</v>
      </c>
      <c r="B98" s="3">
        <f>Data!B97</f>
        <v>237.84304809570301</v>
      </c>
      <c r="C98" s="3">
        <v>117.645210266113</v>
      </c>
      <c r="D98" s="3">
        <v>41.987648010253899</v>
      </c>
      <c r="E98" s="3"/>
      <c r="F98" s="1">
        <v>45737</v>
      </c>
      <c r="G98" s="4">
        <f t="shared" si="8"/>
        <v>1.0961931651469747E-2</v>
      </c>
      <c r="H98" s="4">
        <f t="shared" si="9"/>
        <v>-2.7392991840966552E-3</v>
      </c>
      <c r="I98" s="4">
        <f t="shared" si="10"/>
        <v>-2.3543513080914735E-4</v>
      </c>
      <c r="J98" s="4">
        <f t="shared" si="11"/>
        <v>2.1222292825595177E-3</v>
      </c>
      <c r="K98" s="3"/>
      <c r="R98" s="4"/>
      <c r="V98">
        <v>95</v>
      </c>
      <c r="W98" s="4">
        <v>-8.5869203663088147E-4</v>
      </c>
    </row>
    <row r="99" spans="1:23" x14ac:dyDescent="0.3">
      <c r="A99" s="1">
        <v>45740</v>
      </c>
      <c r="B99" s="3">
        <f>Data!B98</f>
        <v>244.172271728515</v>
      </c>
      <c r="C99" s="3">
        <v>121.68943786621</v>
      </c>
      <c r="D99" s="3">
        <v>42.5808296203613</v>
      </c>
      <c r="E99" s="3"/>
      <c r="F99" s="1">
        <v>45740</v>
      </c>
      <c r="G99" s="4">
        <f t="shared" si="8"/>
        <v>2.6610925496822757E-2</v>
      </c>
      <c r="H99" s="4">
        <f t="shared" si="9"/>
        <v>3.4376474749366892E-2</v>
      </c>
      <c r="I99" s="4">
        <f t="shared" si="10"/>
        <v>1.4127526504045695E-2</v>
      </c>
      <c r="J99" s="4">
        <f t="shared" si="11"/>
        <v>2.5972125500007291E-2</v>
      </c>
      <c r="K99" s="3"/>
      <c r="R99" s="4"/>
      <c r="V99">
        <v>96</v>
      </c>
      <c r="W99" s="4">
        <v>-7.1446518455183796E-4</v>
      </c>
    </row>
    <row r="100" spans="1:23" x14ac:dyDescent="0.3">
      <c r="A100" s="1">
        <v>45741</v>
      </c>
      <c r="B100" s="3">
        <f>Data!B99</f>
        <v>247.19415283203099</v>
      </c>
      <c r="C100" s="3">
        <v>122.600135803222</v>
      </c>
      <c r="D100" s="3">
        <v>42.788448333740199</v>
      </c>
      <c r="E100" s="3"/>
      <c r="F100" s="1">
        <v>45741</v>
      </c>
      <c r="G100" s="4">
        <f t="shared" si="8"/>
        <v>1.2376020758310791E-2</v>
      </c>
      <c r="H100" s="4">
        <f t="shared" si="9"/>
        <v>7.4837878535789493E-3</v>
      </c>
      <c r="I100" s="4">
        <f t="shared" si="10"/>
        <v>4.8758729040736526E-3</v>
      </c>
      <c r="J100" s="4">
        <f t="shared" si="11"/>
        <v>8.1690832401469134E-3</v>
      </c>
      <c r="K100" s="3"/>
      <c r="R100" s="4"/>
      <c r="V100">
        <v>97</v>
      </c>
      <c r="W100" s="4">
        <v>-4.9750543558918503E-4</v>
      </c>
    </row>
    <row r="101" spans="1:23" x14ac:dyDescent="0.3">
      <c r="A101" s="1">
        <v>45742</v>
      </c>
      <c r="B101" s="3">
        <f>Data!B100</f>
        <v>247.09571838378901</v>
      </c>
      <c r="C101" s="3">
        <v>119.66242980957</v>
      </c>
      <c r="D101" s="3">
        <v>42.333671569824197</v>
      </c>
      <c r="E101" s="3"/>
      <c r="F101" s="1">
        <v>45742</v>
      </c>
      <c r="G101" s="4">
        <f t="shared" si="8"/>
        <v>-3.9820702518345019E-4</v>
      </c>
      <c r="H101" s="4">
        <f t="shared" si="9"/>
        <v>-2.3961686293456741E-2</v>
      </c>
      <c r="I101" s="4">
        <f t="shared" si="10"/>
        <v>-1.0628493942310024E-2</v>
      </c>
      <c r="J101" s="4">
        <f t="shared" si="11"/>
        <v>-1.289268480763074E-2</v>
      </c>
      <c r="K101" s="3"/>
      <c r="R101" s="4"/>
      <c r="V101">
        <v>98</v>
      </c>
      <c r="W101" s="4">
        <v>-3.7887144227585203E-4</v>
      </c>
    </row>
    <row r="102" spans="1:23" x14ac:dyDescent="0.3">
      <c r="A102" s="1">
        <v>45743</v>
      </c>
      <c r="B102" s="3">
        <f>Data!B101</f>
        <v>244.23132324218699</v>
      </c>
      <c r="C102" s="3">
        <v>116.5288772583</v>
      </c>
      <c r="D102" s="3">
        <v>42.076625823974602</v>
      </c>
      <c r="E102" s="3"/>
      <c r="F102" s="1">
        <v>45743</v>
      </c>
      <c r="G102" s="4">
        <f t="shared" si="8"/>
        <v>-1.1592249191275106E-2</v>
      </c>
      <c r="H102" s="4">
        <f t="shared" si="9"/>
        <v>-2.6186603065445957E-2</v>
      </c>
      <c r="I102" s="4">
        <f t="shared" si="10"/>
        <v>-6.0718982388671128E-3</v>
      </c>
      <c r="J102" s="4">
        <f t="shared" si="11"/>
        <v>-1.577388545522105E-2</v>
      </c>
      <c r="K102" s="3"/>
      <c r="R102" s="4"/>
      <c r="V102">
        <v>99</v>
      </c>
      <c r="W102" s="4">
        <v>-3.567734965826074E-4</v>
      </c>
    </row>
    <row r="103" spans="1:23" x14ac:dyDescent="0.3">
      <c r="A103" s="1">
        <v>45744</v>
      </c>
      <c r="B103" s="3">
        <f>Data!B102</f>
        <v>239.04393005371</v>
      </c>
      <c r="C103" s="3">
        <v>112.935096740722</v>
      </c>
      <c r="D103" s="3">
        <v>40.781501770019503</v>
      </c>
      <c r="E103" s="3"/>
      <c r="F103" s="1">
        <v>45744</v>
      </c>
      <c r="G103" s="4">
        <f t="shared" si="8"/>
        <v>-2.1239671961867934E-2</v>
      </c>
      <c r="H103" s="4">
        <f t="shared" si="9"/>
        <v>-3.0840256957182843E-2</v>
      </c>
      <c r="I103" s="4">
        <f t="shared" si="10"/>
        <v>-3.0780130977545173E-2</v>
      </c>
      <c r="J103" s="4">
        <f t="shared" si="11"/>
        <v>-2.7942043664697068E-2</v>
      </c>
      <c r="K103" s="3"/>
      <c r="R103" s="4"/>
      <c r="V103">
        <v>100</v>
      </c>
      <c r="W103" s="4">
        <v>-3.5333180878909236E-4</v>
      </c>
    </row>
    <row r="104" spans="1:23" x14ac:dyDescent="0.3">
      <c r="A104" s="1">
        <v>45747</v>
      </c>
      <c r="B104" s="3">
        <f>Data!B103</f>
        <v>241.45553588867099</v>
      </c>
      <c r="C104" s="3">
        <v>114.247261047363</v>
      </c>
      <c r="D104" s="3">
        <v>41.256050109863203</v>
      </c>
      <c r="E104" s="3"/>
      <c r="F104" s="1">
        <v>45747</v>
      </c>
      <c r="G104" s="4">
        <f t="shared" si="8"/>
        <v>1.0088546629982043E-2</v>
      </c>
      <c r="H104" s="4">
        <f t="shared" si="9"/>
        <v>1.1618746913136135E-2</v>
      </c>
      <c r="I104" s="4">
        <f t="shared" si="10"/>
        <v>1.1636362547898127E-2</v>
      </c>
      <c r="J104" s="4">
        <f t="shared" si="11"/>
        <v>1.1164971518618505E-2</v>
      </c>
      <c r="K104" s="3"/>
      <c r="R104" s="4"/>
      <c r="V104">
        <v>101</v>
      </c>
      <c r="W104" s="4">
        <v>-3.4692211518094762E-4</v>
      </c>
    </row>
    <row r="105" spans="1:23" x14ac:dyDescent="0.3">
      <c r="A105" s="1">
        <v>45748</v>
      </c>
      <c r="B105" s="3">
        <f>Data!B104</f>
        <v>239.84123229980401</v>
      </c>
      <c r="C105" s="3">
        <v>113.33657073974599</v>
      </c>
      <c r="D105" s="3">
        <v>41.018779754638601</v>
      </c>
      <c r="E105" s="3"/>
      <c r="F105" s="1">
        <v>45748</v>
      </c>
      <c r="G105" s="4">
        <f t="shared" si="8"/>
        <v>-6.685717860746454E-3</v>
      </c>
      <c r="H105" s="4">
        <f t="shared" si="9"/>
        <v>-7.9712222355988738E-3</v>
      </c>
      <c r="I105" s="4">
        <f t="shared" si="10"/>
        <v>-5.7511650919745971E-3</v>
      </c>
      <c r="J105" s="4">
        <f t="shared" si="11"/>
        <v>-6.9195537800558647E-3</v>
      </c>
      <c r="K105" s="3"/>
      <c r="R105" s="4"/>
      <c r="V105">
        <v>102</v>
      </c>
      <c r="W105" s="4">
        <v>-3.1713133540768319E-4</v>
      </c>
    </row>
    <row r="106" spans="1:23" x14ac:dyDescent="0.3">
      <c r="A106" s="1">
        <v>45749</v>
      </c>
      <c r="B106" s="3">
        <f>Data!B105</f>
        <v>241.96737670898401</v>
      </c>
      <c r="C106" s="3">
        <v>116.79327392578099</v>
      </c>
      <c r="D106" s="3">
        <v>41.374687194824197</v>
      </c>
      <c r="E106" s="3"/>
      <c r="F106" s="1">
        <v>45749</v>
      </c>
      <c r="G106" s="4">
        <f t="shared" si="8"/>
        <v>8.8647993874644282E-3</v>
      </c>
      <c r="H106" s="4">
        <f t="shared" si="9"/>
        <v>3.0499451002206523E-2</v>
      </c>
      <c r="I106" s="4">
        <f t="shared" si="10"/>
        <v>8.6766949751924116E-3</v>
      </c>
      <c r="J106" s="4">
        <f t="shared" si="11"/>
        <v>1.7462228709679662E-2</v>
      </c>
      <c r="K106" s="3"/>
      <c r="R106" s="4"/>
      <c r="V106">
        <v>103</v>
      </c>
      <c r="W106" s="4">
        <v>-3.0702895996608274E-4</v>
      </c>
    </row>
    <row r="107" spans="1:23" x14ac:dyDescent="0.3">
      <c r="A107" s="1">
        <v>45750</v>
      </c>
      <c r="B107" s="3">
        <f>Data!B106</f>
        <v>225.10583496093699</v>
      </c>
      <c r="C107" s="3">
        <v>105.688758850097</v>
      </c>
      <c r="D107" s="3">
        <v>36.797275543212798</v>
      </c>
      <c r="E107" s="3"/>
      <c r="F107" s="1">
        <v>45750</v>
      </c>
      <c r="G107" s="4">
        <f t="shared" si="8"/>
        <v>-6.9685186397365095E-2</v>
      </c>
      <c r="H107" s="4">
        <f t="shared" si="9"/>
        <v>-9.507837825267762E-2</v>
      </c>
      <c r="I107" s="4">
        <f t="shared" si="10"/>
        <v>-0.11063314219289166</v>
      </c>
      <c r="J107" s="4">
        <f t="shared" si="11"/>
        <v>-9.2126849878148065E-2</v>
      </c>
      <c r="K107" s="3"/>
      <c r="R107" s="4"/>
      <c r="V107">
        <v>104</v>
      </c>
      <c r="W107" s="4">
        <v>-3.0360943984852895E-4</v>
      </c>
    </row>
    <row r="108" spans="1:23" x14ac:dyDescent="0.3">
      <c r="A108" s="1">
        <v>45751</v>
      </c>
      <c r="B108" s="3">
        <f>Data!B107</f>
        <v>208.25930786132801</v>
      </c>
      <c r="C108" s="3">
        <v>97.7569580078125</v>
      </c>
      <c r="D108" s="3">
        <v>33.999412536621001</v>
      </c>
      <c r="E108" s="3"/>
      <c r="F108" s="1">
        <v>45751</v>
      </c>
      <c r="G108" s="4">
        <f t="shared" si="8"/>
        <v>-7.4838251538581368E-2</v>
      </c>
      <c r="H108" s="4">
        <f t="shared" si="9"/>
        <v>-7.5048670535856399E-2</v>
      </c>
      <c r="I108" s="4">
        <f t="shared" si="10"/>
        <v>-7.6034515199532415E-2</v>
      </c>
      <c r="J108" s="4">
        <f t="shared" si="11"/>
        <v>-7.5281298235776686E-2</v>
      </c>
      <c r="K108" s="3"/>
      <c r="R108" s="4"/>
      <c r="V108">
        <v>105</v>
      </c>
      <c r="W108" s="4">
        <v>-3.0326975702857915E-4</v>
      </c>
    </row>
    <row r="109" spans="1:23" x14ac:dyDescent="0.3">
      <c r="A109" s="1">
        <v>45754</v>
      </c>
      <c r="B109" s="3">
        <f>Data!B108</f>
        <v>212.37933349609301</v>
      </c>
      <c r="C109" s="3">
        <v>98.824325561523395</v>
      </c>
      <c r="D109" s="3">
        <v>35.1759033203125</v>
      </c>
      <c r="E109" s="3"/>
      <c r="F109" s="1">
        <v>45754</v>
      </c>
      <c r="G109" s="4">
        <f t="shared" si="8"/>
        <v>1.9783152441418705E-2</v>
      </c>
      <c r="H109" s="4">
        <f t="shared" si="9"/>
        <v>1.0918583960290551E-2</v>
      </c>
      <c r="I109" s="4">
        <f t="shared" si="10"/>
        <v>3.4603267995418907E-2</v>
      </c>
      <c r="J109" s="4">
        <f t="shared" si="11"/>
        <v>2.0683359715167503E-2</v>
      </c>
      <c r="K109" s="3"/>
      <c r="R109" s="4"/>
      <c r="V109">
        <v>106</v>
      </c>
      <c r="W109" s="4">
        <v>-1.8293927483953288E-4</v>
      </c>
    </row>
    <row r="110" spans="1:23" x14ac:dyDescent="0.3">
      <c r="A110" s="1">
        <v>45755</v>
      </c>
      <c r="B110" s="3">
        <f>Data!B109</f>
        <v>214.78596496582</v>
      </c>
      <c r="C110" s="3">
        <v>98.226989746093693</v>
      </c>
      <c r="D110" s="3">
        <v>34.632144927978501</v>
      </c>
      <c r="E110" s="3"/>
      <c r="F110" s="1">
        <v>45755</v>
      </c>
      <c r="G110" s="4">
        <f t="shared" si="8"/>
        <v>1.1331759216445914E-2</v>
      </c>
      <c r="H110" s="4">
        <f t="shared" si="9"/>
        <v>-6.0444208653650522E-3</v>
      </c>
      <c r="I110" s="4">
        <f t="shared" si="10"/>
        <v>-1.5458263783093895E-2</v>
      </c>
      <c r="J110" s="4">
        <f t="shared" si="11"/>
        <v>-3.6557197161404152E-3</v>
      </c>
      <c r="K110" s="3"/>
      <c r="R110" s="4"/>
      <c r="V110">
        <v>107</v>
      </c>
      <c r="W110" s="4">
        <v>8.5093195321461594E-5</v>
      </c>
    </row>
    <row r="111" spans="1:23" x14ac:dyDescent="0.3">
      <c r="A111" s="1">
        <v>45756</v>
      </c>
      <c r="B111" s="3">
        <f>Data!B110</f>
        <v>232.08808898925699</v>
      </c>
      <c r="C111" s="3">
        <v>109.380470275878</v>
      </c>
      <c r="D111" s="3">
        <v>36.728069305419901</v>
      </c>
      <c r="E111" s="3"/>
      <c r="F111" s="1">
        <v>45756</v>
      </c>
      <c r="G111" s="4">
        <f t="shared" si="8"/>
        <v>8.0555189098088231E-2</v>
      </c>
      <c r="H111" s="4">
        <f t="shared" si="9"/>
        <v>0.11354802339575776</v>
      </c>
      <c r="I111" s="4">
        <f t="shared" si="10"/>
        <v>6.0519623656002608E-2</v>
      </c>
      <c r="J111" s="4">
        <f t="shared" si="11"/>
        <v>8.7741653184530352E-2</v>
      </c>
      <c r="K111" s="3"/>
      <c r="R111" s="4"/>
      <c r="V111">
        <v>108</v>
      </c>
      <c r="W111" s="4">
        <v>9.0487028300023772E-5</v>
      </c>
    </row>
    <row r="112" spans="1:23" x14ac:dyDescent="0.3">
      <c r="A112" s="1">
        <v>45757</v>
      </c>
      <c r="B112" s="3">
        <f>Data!B111</f>
        <v>224.92756652832</v>
      </c>
      <c r="C112" s="3">
        <v>104.36679077148401</v>
      </c>
      <c r="D112" s="3">
        <v>35.44282913208</v>
      </c>
      <c r="E112" s="3"/>
      <c r="F112" s="1">
        <v>45757</v>
      </c>
      <c r="G112" s="4">
        <f t="shared" si="8"/>
        <v>-3.0852606405270655E-2</v>
      </c>
      <c r="H112" s="4">
        <f t="shared" si="9"/>
        <v>-4.5837062976128662E-2</v>
      </c>
      <c r="I112" s="4">
        <f t="shared" si="10"/>
        <v>-3.4993404163236042E-2</v>
      </c>
      <c r="J112" s="4">
        <f t="shared" si="11"/>
        <v>-3.8088628361003476E-2</v>
      </c>
      <c r="K112" s="3"/>
      <c r="R112" s="4"/>
      <c r="V112">
        <v>109</v>
      </c>
      <c r="W112" s="4">
        <v>3.1785351053386095E-4</v>
      </c>
    </row>
    <row r="113" spans="1:23" x14ac:dyDescent="0.3">
      <c r="A113" s="1">
        <v>45758</v>
      </c>
      <c r="B113" s="3">
        <f>Data!B112</f>
        <v>233.93022155761699</v>
      </c>
      <c r="C113" s="3">
        <v>105.87480926513599</v>
      </c>
      <c r="D113" s="3">
        <v>35.541698455810497</v>
      </c>
      <c r="E113" s="3"/>
      <c r="F113" s="1">
        <v>45758</v>
      </c>
      <c r="G113" s="4">
        <f t="shared" si="8"/>
        <v>4.0024685138642102E-2</v>
      </c>
      <c r="H113" s="4">
        <f t="shared" si="9"/>
        <v>1.4449217825944993E-2</v>
      </c>
      <c r="I113" s="4">
        <f t="shared" si="10"/>
        <v>2.7895437850644633E-3</v>
      </c>
      <c r="J113" s="4">
        <f t="shared" si="11"/>
        <v>1.8623955807489968E-2</v>
      </c>
      <c r="K113" s="3"/>
      <c r="R113" s="4"/>
      <c r="V113">
        <v>110</v>
      </c>
      <c r="W113" s="4">
        <v>4.2006874435118768E-4</v>
      </c>
    </row>
    <row r="114" spans="1:23" x14ac:dyDescent="0.3">
      <c r="A114" s="1">
        <v>45761</v>
      </c>
      <c r="B114" s="3">
        <f>Data!B113</f>
        <v>232.464431762695</v>
      </c>
      <c r="C114" s="3">
        <v>106.84425354003901</v>
      </c>
      <c r="D114" s="3">
        <v>36.253517150878899</v>
      </c>
      <c r="E114" s="3"/>
      <c r="F114" s="1">
        <v>45761</v>
      </c>
      <c r="G114" s="4">
        <f t="shared" si="8"/>
        <v>-6.2659274426454248E-3</v>
      </c>
      <c r="H114" s="4">
        <f t="shared" si="9"/>
        <v>9.1565149598078488E-3</v>
      </c>
      <c r="I114" s="4">
        <f t="shared" si="10"/>
        <v>2.0027706215374419E-2</v>
      </c>
      <c r="J114" s="4">
        <f t="shared" si="11"/>
        <v>7.7911396157418385E-3</v>
      </c>
      <c r="K114" s="3"/>
      <c r="R114" s="4"/>
      <c r="V114">
        <v>111</v>
      </c>
      <c r="W114" s="4">
        <v>6.3662501713307451E-4</v>
      </c>
    </row>
    <row r="115" spans="1:23" x14ac:dyDescent="0.3">
      <c r="A115" s="1">
        <v>45762</v>
      </c>
      <c r="B115" s="3">
        <f>Data!B114</f>
        <v>230.88973999023401</v>
      </c>
      <c r="C115" s="3">
        <v>108.14663696289</v>
      </c>
      <c r="D115" s="3">
        <v>37.558528900146399</v>
      </c>
      <c r="E115" s="3"/>
      <c r="F115" s="1">
        <v>45762</v>
      </c>
      <c r="G115" s="4">
        <f t="shared" si="8"/>
        <v>-6.7739041216785534E-3</v>
      </c>
      <c r="H115" s="4">
        <f t="shared" si="9"/>
        <v>1.2189550487738066E-2</v>
      </c>
      <c r="I115" s="4">
        <f t="shared" si="10"/>
        <v>3.599683153047839E-2</v>
      </c>
      <c r="J115" s="4">
        <f t="shared" si="11"/>
        <v>1.3642698417735178E-2</v>
      </c>
      <c r="K115" s="3"/>
      <c r="R115" s="4"/>
      <c r="V115">
        <v>112</v>
      </c>
      <c r="W115" s="4">
        <v>6.6670069022127792E-4</v>
      </c>
    </row>
    <row r="116" spans="1:23" x14ac:dyDescent="0.3">
      <c r="A116" s="1">
        <v>45763</v>
      </c>
      <c r="B116" s="3">
        <f>Data!B115</f>
        <v>227.403549194335</v>
      </c>
      <c r="C116" s="3">
        <v>105.620216369628</v>
      </c>
      <c r="D116" s="3">
        <v>36.9060249328613</v>
      </c>
      <c r="E116" s="3"/>
      <c r="F116" s="1">
        <v>45763</v>
      </c>
      <c r="G116" s="4">
        <f t="shared" si="8"/>
        <v>-1.509894201468831E-2</v>
      </c>
      <c r="H116" s="4">
        <f t="shared" si="9"/>
        <v>-2.3361064793248509E-2</v>
      </c>
      <c r="I116" s="4">
        <f t="shared" si="10"/>
        <v>-1.737299054017416E-2</v>
      </c>
      <c r="J116" s="4">
        <f t="shared" si="11"/>
        <v>-1.9086005683758143E-2</v>
      </c>
      <c r="K116" s="3"/>
      <c r="R116" s="4"/>
      <c r="V116">
        <v>113</v>
      </c>
      <c r="W116" s="4">
        <v>7.6070213742786004E-4</v>
      </c>
    </row>
    <row r="117" spans="1:23" x14ac:dyDescent="0.3">
      <c r="A117" s="1">
        <v>45764</v>
      </c>
      <c r="B117" s="3">
        <f>Data!B116</f>
        <v>229.73097229003901</v>
      </c>
      <c r="C117" s="3">
        <v>106.912803649902</v>
      </c>
      <c r="D117" s="3">
        <v>36.985115051269503</v>
      </c>
      <c r="E117" s="3"/>
      <c r="F117" s="1">
        <v>45764</v>
      </c>
      <c r="G117" s="4">
        <f t="shared" si="8"/>
        <v>1.0234770318888087E-2</v>
      </c>
      <c r="H117" s="4">
        <f t="shared" si="9"/>
        <v>1.2238066960121197E-2</v>
      </c>
      <c r="I117" s="4">
        <f t="shared" si="10"/>
        <v>2.1430137369733426E-3</v>
      </c>
      <c r="J117" s="4">
        <f t="shared" si="11"/>
        <v>8.6085620008069068E-3</v>
      </c>
      <c r="K117" s="3"/>
      <c r="R117" s="4"/>
      <c r="V117">
        <v>114</v>
      </c>
      <c r="W117" s="4">
        <v>8.6755025306987086E-4</v>
      </c>
    </row>
    <row r="118" spans="1:23" x14ac:dyDescent="0.3">
      <c r="A118" s="1">
        <v>45768</v>
      </c>
      <c r="B118" s="3">
        <f>Data!B117</f>
        <v>226.78950500488199</v>
      </c>
      <c r="C118" s="3">
        <v>104.09261322021401</v>
      </c>
      <c r="D118" s="3">
        <v>36.500679016113203</v>
      </c>
      <c r="E118" s="3"/>
      <c r="F118" s="1">
        <v>45768</v>
      </c>
      <c r="G118" s="4">
        <f t="shared" si="8"/>
        <v>-1.2803964810819579E-2</v>
      </c>
      <c r="H118" s="4">
        <f t="shared" si="9"/>
        <v>-2.6378416180376507E-2</v>
      </c>
      <c r="I118" s="4">
        <f t="shared" si="10"/>
        <v>-1.3098135141252465E-2</v>
      </c>
      <c r="J118" s="4">
        <f t="shared" si="11"/>
        <v>-1.8321996457772216E-2</v>
      </c>
      <c r="K118" s="3"/>
      <c r="R118" s="4"/>
      <c r="V118">
        <v>115</v>
      </c>
      <c r="W118" s="4">
        <v>9.1579549707737629E-4</v>
      </c>
    </row>
    <row r="119" spans="1:23" x14ac:dyDescent="0.3">
      <c r="A119" s="1">
        <v>45769</v>
      </c>
      <c r="B119" s="3">
        <f>Data!B118</f>
        <v>233.326080322265</v>
      </c>
      <c r="C119" s="3">
        <v>108.087882995605</v>
      </c>
      <c r="D119" s="3">
        <v>37.884780883788999</v>
      </c>
      <c r="E119" s="3"/>
      <c r="F119" s="1">
        <v>45769</v>
      </c>
      <c r="G119" s="4">
        <f t="shared" si="8"/>
        <v>2.8822212550101423E-2</v>
      </c>
      <c r="H119" s="4">
        <f t="shared" si="9"/>
        <v>3.8381876021680528E-2</v>
      </c>
      <c r="I119" s="4">
        <f t="shared" si="10"/>
        <v>3.7919893683752592E-2</v>
      </c>
      <c r="J119" s="4">
        <f t="shared" si="11"/>
        <v>3.5375382278828416E-2</v>
      </c>
      <c r="K119" s="3"/>
      <c r="R119" s="4"/>
      <c r="V119">
        <v>116</v>
      </c>
      <c r="W119" s="4">
        <v>9.3885940412075086E-4</v>
      </c>
    </row>
    <row r="120" spans="1:23" x14ac:dyDescent="0.3">
      <c r="A120" s="1">
        <v>45770</v>
      </c>
      <c r="B120" s="3">
        <f>Data!B119</f>
        <v>238.56524658203099</v>
      </c>
      <c r="C120" s="3">
        <v>109.97779846191401</v>
      </c>
      <c r="D120" s="3">
        <v>38.3098945617675</v>
      </c>
      <c r="E120" s="3"/>
      <c r="F120" s="1">
        <v>45770</v>
      </c>
      <c r="G120" s="4">
        <f t="shared" si="8"/>
        <v>2.2454267660648064E-2</v>
      </c>
      <c r="H120" s="4">
        <f t="shared" si="9"/>
        <v>1.7484989195188927E-2</v>
      </c>
      <c r="I120" s="4">
        <f t="shared" si="10"/>
        <v>1.1221225728677897E-2</v>
      </c>
      <c r="J120" s="4">
        <f t="shared" si="11"/>
        <v>1.7096643694873358E-2</v>
      </c>
      <c r="K120" s="3"/>
      <c r="R120" s="4"/>
      <c r="V120">
        <v>117</v>
      </c>
      <c r="W120" s="4">
        <v>1.0821351725603945E-3</v>
      </c>
    </row>
    <row r="121" spans="1:23" x14ac:dyDescent="0.3">
      <c r="A121" s="1">
        <v>45771</v>
      </c>
      <c r="B121" s="3">
        <f>Data!B120</f>
        <v>242.28910827636699</v>
      </c>
      <c r="C121" s="3">
        <v>113.199485778808</v>
      </c>
      <c r="D121" s="3">
        <v>39.130474090576101</v>
      </c>
      <c r="E121" s="3"/>
      <c r="F121" s="1">
        <v>45771</v>
      </c>
      <c r="G121" s="4">
        <f t="shared" si="8"/>
        <v>1.5609405593180359E-2</v>
      </c>
      <c r="H121" s="4">
        <f t="shared" si="9"/>
        <v>2.9293978984400892E-2</v>
      </c>
      <c r="I121" s="4">
        <f t="shared" si="10"/>
        <v>2.1419519374702878E-2</v>
      </c>
      <c r="J121" s="4">
        <f t="shared" si="11"/>
        <v>2.2826269084125328E-2</v>
      </c>
      <c r="K121" s="3"/>
      <c r="R121" s="4"/>
      <c r="V121">
        <v>118</v>
      </c>
      <c r="W121" s="4">
        <v>1.177800340641588E-3</v>
      </c>
    </row>
    <row r="122" spans="1:23" x14ac:dyDescent="0.3">
      <c r="A122" s="1">
        <v>45772</v>
      </c>
      <c r="B122" s="3">
        <f>Data!B121</f>
        <v>241.20959472656199</v>
      </c>
      <c r="C122" s="3">
        <v>113.600982666015</v>
      </c>
      <c r="D122" s="3">
        <v>39.239219665527301</v>
      </c>
      <c r="E122" s="3"/>
      <c r="F122" s="1">
        <v>45772</v>
      </c>
      <c r="G122" s="4">
        <f t="shared" si="8"/>
        <v>-4.4554770021839607E-3</v>
      </c>
      <c r="H122" s="4">
        <f t="shared" si="9"/>
        <v>3.5468084015111145E-3</v>
      </c>
      <c r="I122" s="4">
        <f t="shared" si="10"/>
        <v>2.7790507904270623E-3</v>
      </c>
      <c r="J122" s="4">
        <f t="shared" si="11"/>
        <v>9.1579549707737629E-4</v>
      </c>
      <c r="K122" s="3"/>
      <c r="R122" s="4"/>
      <c r="V122">
        <v>119</v>
      </c>
      <c r="W122" s="4">
        <v>1.2567655051426649E-3</v>
      </c>
    </row>
    <row r="123" spans="1:23" x14ac:dyDescent="0.3">
      <c r="A123" s="1">
        <v>45775</v>
      </c>
      <c r="B123" s="3">
        <f>Data!B122</f>
        <v>240.88275146484301</v>
      </c>
      <c r="C123" s="3">
        <v>113.42470550537099</v>
      </c>
      <c r="D123" s="3">
        <v>39.328197479247997</v>
      </c>
      <c r="E123" s="3"/>
      <c r="F123" s="1">
        <v>45775</v>
      </c>
      <c r="G123" s="4">
        <f t="shared" si="8"/>
        <v>-1.3550176645729106E-3</v>
      </c>
      <c r="H123" s="4">
        <f t="shared" si="9"/>
        <v>-1.5517221462973962E-3</v>
      </c>
      <c r="I123" s="4">
        <f t="shared" si="10"/>
        <v>2.2675734756996135E-3</v>
      </c>
      <c r="J123" s="4">
        <f t="shared" si="11"/>
        <v>-3.4692211518094762E-4</v>
      </c>
      <c r="K123" s="3"/>
      <c r="R123" s="4"/>
      <c r="V123">
        <v>120</v>
      </c>
      <c r="W123" s="4">
        <v>1.4241214711171448E-3</v>
      </c>
    </row>
    <row r="124" spans="1:23" x14ac:dyDescent="0.3">
      <c r="A124" s="1">
        <v>45776</v>
      </c>
      <c r="B124" s="3">
        <f>Data!B123</f>
        <v>242.26930236816401</v>
      </c>
      <c r="C124" s="3">
        <v>113.796813964843</v>
      </c>
      <c r="D124" s="3">
        <v>39.535812377929602</v>
      </c>
      <c r="E124" s="3"/>
      <c r="F124" s="1">
        <v>45776</v>
      </c>
      <c r="G124" s="4">
        <f t="shared" si="8"/>
        <v>5.7561236530601079E-3</v>
      </c>
      <c r="H124" s="4">
        <f t="shared" si="9"/>
        <v>3.2806649822367806E-3</v>
      </c>
      <c r="I124" s="4">
        <f t="shared" si="10"/>
        <v>5.2790341787507522E-3</v>
      </c>
      <c r="J124" s="4">
        <f t="shared" si="11"/>
        <v>4.6228133424379703E-3</v>
      </c>
      <c r="K124" s="3"/>
      <c r="R124" s="4"/>
      <c r="V124">
        <v>121</v>
      </c>
      <c r="W124" s="4">
        <v>1.4496970025731472E-3</v>
      </c>
    </row>
    <row r="125" spans="1:23" x14ac:dyDescent="0.3">
      <c r="A125" s="1">
        <v>45777</v>
      </c>
      <c r="B125" s="3">
        <f>Data!B124</f>
        <v>242.26930236816401</v>
      </c>
      <c r="C125" s="3">
        <v>113.93007659912099</v>
      </c>
      <c r="D125" s="3">
        <v>39.4270629882812</v>
      </c>
      <c r="E125" s="3"/>
      <c r="F125" s="1">
        <v>45777</v>
      </c>
      <c r="G125" s="4">
        <f t="shared" si="8"/>
        <v>0</v>
      </c>
      <c r="H125" s="4">
        <f t="shared" si="9"/>
        <v>1.1710576916430515E-3</v>
      </c>
      <c r="I125" s="4">
        <f t="shared" si="10"/>
        <v>-2.7506552441327603E-3</v>
      </c>
      <c r="J125" s="4">
        <f t="shared" si="11"/>
        <v>-3.567734965826074E-4</v>
      </c>
      <c r="K125" s="3"/>
      <c r="R125" s="4"/>
      <c r="V125">
        <v>122</v>
      </c>
      <c r="W125" s="4">
        <v>1.5660905956238814E-3</v>
      </c>
    </row>
    <row r="126" spans="1:23" x14ac:dyDescent="0.3">
      <c r="A126" s="1">
        <v>45778</v>
      </c>
      <c r="B126" s="3">
        <f>Data!B125</f>
        <v>244.51750183105401</v>
      </c>
      <c r="C126" s="3">
        <v>115.25277709960901</v>
      </c>
      <c r="D126" s="3">
        <v>39.713768005371001</v>
      </c>
      <c r="E126" s="3"/>
      <c r="F126" s="1">
        <v>45778</v>
      </c>
      <c r="G126" s="4">
        <f t="shared" si="8"/>
        <v>9.279753732371443E-3</v>
      </c>
      <c r="H126" s="4">
        <f t="shared" si="9"/>
        <v>1.1609756966477924E-2</v>
      </c>
      <c r="I126" s="4">
        <f t="shared" si="10"/>
        <v>7.2717822571521928E-3</v>
      </c>
      <c r="J126" s="4">
        <f t="shared" si="11"/>
        <v>9.6093635834482612E-3</v>
      </c>
      <c r="K126" s="3"/>
      <c r="R126" s="4"/>
      <c r="V126">
        <v>123</v>
      </c>
      <c r="W126" s="4">
        <v>1.9104903883371037E-3</v>
      </c>
    </row>
    <row r="127" spans="1:23" x14ac:dyDescent="0.3">
      <c r="A127" s="1">
        <v>45779</v>
      </c>
      <c r="B127" s="3">
        <f>Data!B126</f>
        <v>250.08348083496</v>
      </c>
      <c r="C127" s="3">
        <v>118.66811370849599</v>
      </c>
      <c r="D127" s="3">
        <v>40.603546142578097</v>
      </c>
      <c r="E127" s="3"/>
      <c r="F127" s="1">
        <v>45779</v>
      </c>
      <c r="G127" s="4">
        <f t="shared" si="8"/>
        <v>2.2763110870287484E-2</v>
      </c>
      <c r="H127" s="4">
        <f t="shared" si="9"/>
        <v>2.9633443070401944E-2</v>
      </c>
      <c r="I127" s="4">
        <f t="shared" si="10"/>
        <v>2.2404777534248632E-2</v>
      </c>
      <c r="J127" s="4">
        <f t="shared" si="11"/>
        <v>2.5403743749521614E-2</v>
      </c>
      <c r="K127" s="3"/>
      <c r="R127" s="4"/>
      <c r="V127">
        <v>124</v>
      </c>
      <c r="W127" s="4">
        <v>2.1222292825595177E-3</v>
      </c>
    </row>
    <row r="128" spans="1:23" x14ac:dyDescent="0.3">
      <c r="A128" s="1">
        <v>45782</v>
      </c>
      <c r="B128" s="3">
        <f>Data!B127</f>
        <v>250.13301086425699</v>
      </c>
      <c r="C128" s="3">
        <v>118.056114196777</v>
      </c>
      <c r="D128" s="3">
        <v>40.652980804443303</v>
      </c>
      <c r="E128" s="3"/>
      <c r="F128" s="1">
        <v>45782</v>
      </c>
      <c r="G128" s="4">
        <f t="shared" si="8"/>
        <v>1.9805398234074012E-4</v>
      </c>
      <c r="H128" s="4">
        <f t="shared" si="9"/>
        <v>-5.1572363678279443E-3</v>
      </c>
      <c r="I128" s="4">
        <f t="shared" si="10"/>
        <v>1.2174961687241304E-3</v>
      </c>
      <c r="J128" s="4">
        <f t="shared" si="11"/>
        <v>-1.6382295018117167E-3</v>
      </c>
      <c r="K128" s="3"/>
      <c r="R128" s="4"/>
      <c r="V128">
        <v>125</v>
      </c>
      <c r="W128" s="4">
        <v>2.1613345831436037E-3</v>
      </c>
    </row>
    <row r="129" spans="1:23" x14ac:dyDescent="0.3">
      <c r="A129" s="1">
        <v>45783</v>
      </c>
      <c r="B129" s="3">
        <f>Data!B128</f>
        <v>246.85481262207</v>
      </c>
      <c r="C129" s="3">
        <v>116.802513122558</v>
      </c>
      <c r="D129" s="3">
        <v>40.3761596679687</v>
      </c>
      <c r="E129" s="3"/>
      <c r="F129" s="1">
        <v>45783</v>
      </c>
      <c r="G129" s="4">
        <f t="shared" si="8"/>
        <v>-1.3105820102913168E-2</v>
      </c>
      <c r="H129" s="4">
        <f t="shared" si="9"/>
        <v>-1.0618688263188902E-2</v>
      </c>
      <c r="I129" s="4">
        <f t="shared" si="10"/>
        <v>-6.8093687350067045E-3</v>
      </c>
      <c r="J129" s="4">
        <f t="shared" si="11"/>
        <v>-1.0222031956651523E-2</v>
      </c>
      <c r="K129" s="3"/>
      <c r="R129" s="4"/>
      <c r="V129">
        <v>126</v>
      </c>
      <c r="W129" s="4">
        <v>2.2327636115651471E-3</v>
      </c>
    </row>
    <row r="130" spans="1:23" x14ac:dyDescent="0.3">
      <c r="A130" s="1">
        <v>45784</v>
      </c>
      <c r="B130" s="3">
        <f>Data!B129</f>
        <v>246.99346923828099</v>
      </c>
      <c r="C130" s="3">
        <v>117.56256866455</v>
      </c>
      <c r="D130" s="3">
        <v>40.465137481689403</v>
      </c>
      <c r="E130" s="3"/>
      <c r="F130" s="1">
        <v>45784</v>
      </c>
      <c r="G130" s="4">
        <f t="shared" si="8"/>
        <v>5.616929835727813E-4</v>
      </c>
      <c r="H130" s="4">
        <f t="shared" si="9"/>
        <v>6.5071848342381777E-3</v>
      </c>
      <c r="I130" s="4">
        <f t="shared" si="10"/>
        <v>2.2037215637249474E-3</v>
      </c>
      <c r="J130" s="4">
        <f t="shared" si="11"/>
        <v>3.4324982978845898E-3</v>
      </c>
      <c r="K130" s="3"/>
      <c r="R130" s="4"/>
      <c r="V130">
        <v>127</v>
      </c>
      <c r="W130" s="4">
        <v>2.3560711146181296E-3</v>
      </c>
    </row>
    <row r="131" spans="1:23" x14ac:dyDescent="0.3">
      <c r="A131" s="1">
        <v>45785</v>
      </c>
      <c r="B131" s="3">
        <f>Data!B130</f>
        <v>251.034255981445</v>
      </c>
      <c r="C131" s="3">
        <v>120.306678771972</v>
      </c>
      <c r="D131" s="3">
        <v>41.127529144287102</v>
      </c>
      <c r="E131" s="3"/>
      <c r="F131" s="1">
        <v>45785</v>
      </c>
      <c r="G131" s="4">
        <f t="shared" si="8"/>
        <v>1.6359893059624708E-2</v>
      </c>
      <c r="H131" s="4">
        <f t="shared" si="9"/>
        <v>2.3341699135989158E-2</v>
      </c>
      <c r="I131" s="4">
        <f t="shared" si="10"/>
        <v>1.6369440556020187E-2</v>
      </c>
      <c r="J131" s="4">
        <f t="shared" si="11"/>
        <v>1.915547973908913E-2</v>
      </c>
      <c r="K131" s="3"/>
      <c r="R131" s="4"/>
      <c r="V131">
        <v>128</v>
      </c>
      <c r="W131" s="4">
        <v>2.3685160973752951E-3</v>
      </c>
    </row>
    <row r="132" spans="1:23" x14ac:dyDescent="0.3">
      <c r="A132" s="1">
        <v>45786</v>
      </c>
      <c r="B132" s="3">
        <f>Data!B131</f>
        <v>250.64801025390599</v>
      </c>
      <c r="C132" s="3">
        <v>120.129005432128</v>
      </c>
      <c r="D132" s="3">
        <v>41.3153686523437</v>
      </c>
      <c r="E132" s="3"/>
      <c r="F132" s="1">
        <v>45786</v>
      </c>
      <c r="G132" s="4">
        <f t="shared" si="8"/>
        <v>-1.5386176122813566E-3</v>
      </c>
      <c r="H132" s="4">
        <f t="shared" si="9"/>
        <v>-1.4768368776996166E-3</v>
      </c>
      <c r="I132" s="4">
        <f t="shared" si="10"/>
        <v>4.5672451509937151E-3</v>
      </c>
      <c r="J132" s="4">
        <f t="shared" si="11"/>
        <v>3.1785351053386095E-4</v>
      </c>
      <c r="K132" s="3"/>
      <c r="R132" s="4"/>
      <c r="V132">
        <v>129</v>
      </c>
      <c r="W132" s="4">
        <v>2.5903786930038253E-3</v>
      </c>
    </row>
    <row r="133" spans="1:23" x14ac:dyDescent="0.3">
      <c r="A133" s="1">
        <v>45789</v>
      </c>
      <c r="B133" s="3">
        <f>Data!B132</f>
        <v>257.551025390625</v>
      </c>
      <c r="C133" s="3">
        <v>125.41981506347599</v>
      </c>
      <c r="D133" s="3">
        <v>42.867542266845703</v>
      </c>
      <c r="E133" s="3"/>
      <c r="F133" s="1">
        <v>45789</v>
      </c>
      <c r="G133" s="4">
        <f t="shared" ref="G133:G196" si="12">B133/B132-1</f>
        <v>2.754067399029525E-2</v>
      </c>
      <c r="H133" s="4">
        <f t="shared" ref="H133:H196" si="13">C133/C132-1</f>
        <v>4.4042732330263679E-2</v>
      </c>
      <c r="I133" s="4">
        <f t="shared" ref="I133:I196" si="14">D133/D132-1</f>
        <v>3.7568916002252761E-2</v>
      </c>
      <c r="J133" s="4">
        <f t="shared" ref="J133:J196" si="15">SUMPRODUCT(G133:I133,$M$4:$O$4)</f>
        <v>3.7149969929869874E-2</v>
      </c>
      <c r="K133" s="3"/>
      <c r="R133" s="4"/>
      <c r="V133">
        <v>130</v>
      </c>
      <c r="W133" s="4">
        <v>2.6332260640227643E-3</v>
      </c>
    </row>
    <row r="134" spans="1:23" x14ac:dyDescent="0.3">
      <c r="A134" s="1">
        <v>45790</v>
      </c>
      <c r="B134" s="3">
        <f>Data!B133</f>
        <v>260.48260498046801</v>
      </c>
      <c r="C134" s="3">
        <v>127.68026733398401</v>
      </c>
      <c r="D134" s="3">
        <v>43.777088165283203</v>
      </c>
      <c r="E134" s="3"/>
      <c r="F134" s="1">
        <v>45790</v>
      </c>
      <c r="G134" s="4">
        <f t="shared" si="12"/>
        <v>1.1382519581883743E-2</v>
      </c>
      <c r="H134" s="4">
        <f t="shared" si="13"/>
        <v>1.8023087255901071E-2</v>
      </c>
      <c r="I134" s="4">
        <f t="shared" si="14"/>
        <v>2.1217589120824165E-2</v>
      </c>
      <c r="J134" s="4">
        <f t="shared" si="15"/>
        <v>1.6989267513172802E-2</v>
      </c>
      <c r="K134" s="3"/>
      <c r="R134" s="4"/>
      <c r="V134">
        <v>131</v>
      </c>
      <c r="W134" s="4">
        <v>2.6438661257044637E-3</v>
      </c>
    </row>
    <row r="135" spans="1:23" x14ac:dyDescent="0.3">
      <c r="A135" s="1">
        <v>45791</v>
      </c>
      <c r="B135" s="3">
        <f>Data!B134</f>
        <v>263.08734130859301</v>
      </c>
      <c r="C135" s="3">
        <v>129.34841918945301</v>
      </c>
      <c r="D135" s="3">
        <v>44.231868743896399</v>
      </c>
      <c r="E135" s="3"/>
      <c r="F135" s="1">
        <v>45791</v>
      </c>
      <c r="G135" s="4">
        <f t="shared" si="12"/>
        <v>9.9996555559642708E-3</v>
      </c>
      <c r="H135" s="4">
        <f t="shared" si="13"/>
        <v>1.3065071763246561E-2</v>
      </c>
      <c r="I135" s="4">
        <f t="shared" si="14"/>
        <v>1.038855249796744E-2</v>
      </c>
      <c r="J135" s="4">
        <f t="shared" si="15"/>
        <v>1.1342491121478138E-2</v>
      </c>
      <c r="K135" s="3"/>
      <c r="R135" s="4"/>
      <c r="V135">
        <v>132</v>
      </c>
      <c r="W135" s="4">
        <v>2.7724986728808634E-3</v>
      </c>
    </row>
    <row r="136" spans="1:23" x14ac:dyDescent="0.3">
      <c r="A136" s="1">
        <v>45792</v>
      </c>
      <c r="B136" s="3">
        <f>Data!B135</f>
        <v>264.91952514648398</v>
      </c>
      <c r="C136" s="3">
        <v>130.79946899414</v>
      </c>
      <c r="D136" s="3">
        <v>43.875957489013601</v>
      </c>
      <c r="E136" s="3"/>
      <c r="F136" s="1">
        <v>45792</v>
      </c>
      <c r="G136" s="4">
        <f t="shared" si="12"/>
        <v>6.9641656978922661E-3</v>
      </c>
      <c r="H136" s="4">
        <f t="shared" si="13"/>
        <v>1.1218148731772848E-2</v>
      </c>
      <c r="I136" s="4">
        <f t="shared" si="14"/>
        <v>-8.0464892167123603E-3</v>
      </c>
      <c r="J136" s="4">
        <f t="shared" si="15"/>
        <v>4.1625624370631113E-3</v>
      </c>
      <c r="K136" s="3"/>
      <c r="R136" s="4"/>
      <c r="V136">
        <v>133</v>
      </c>
      <c r="W136" s="4">
        <v>3.0556350425777427E-3</v>
      </c>
    </row>
    <row r="137" spans="1:23" x14ac:dyDescent="0.3">
      <c r="A137" s="1">
        <v>45793</v>
      </c>
      <c r="B137" s="3">
        <f>Data!B136</f>
        <v>264.98886108398398</v>
      </c>
      <c r="C137" s="3">
        <v>130.473709106445</v>
      </c>
      <c r="D137" s="3">
        <v>44.182430267333899</v>
      </c>
      <c r="E137" s="3"/>
      <c r="F137" s="1">
        <v>45793</v>
      </c>
      <c r="G137" s="4">
        <f t="shared" si="12"/>
        <v>2.617245273319746E-4</v>
      </c>
      <c r="H137" s="4">
        <f t="shared" si="13"/>
        <v>-2.4905291298208398E-3</v>
      </c>
      <c r="I137" s="4">
        <f t="shared" si="14"/>
        <v>6.9849821145677726E-3</v>
      </c>
      <c r="J137" s="4">
        <f t="shared" si="15"/>
        <v>1.177800340641588E-3</v>
      </c>
      <c r="K137" s="3"/>
      <c r="R137" s="4"/>
      <c r="V137">
        <v>134</v>
      </c>
      <c r="W137" s="4">
        <v>3.1331086299831276E-3</v>
      </c>
    </row>
    <row r="138" spans="1:23" x14ac:dyDescent="0.3">
      <c r="A138" s="1">
        <v>45796</v>
      </c>
      <c r="B138" s="3">
        <f>Data!B137</f>
        <v>262.33462524414</v>
      </c>
      <c r="C138" s="3">
        <v>129.15101623535099</v>
      </c>
      <c r="D138" s="3">
        <v>44.261524200439403</v>
      </c>
      <c r="E138" s="3"/>
      <c r="F138" s="1">
        <v>45796</v>
      </c>
      <c r="G138" s="4">
        <f t="shared" si="12"/>
        <v>-1.0016405327327171E-2</v>
      </c>
      <c r="H138" s="4">
        <f t="shared" si="13"/>
        <v>-1.0137619909424855E-2</v>
      </c>
      <c r="I138" s="4">
        <f t="shared" si="14"/>
        <v>1.7901671009705744E-3</v>
      </c>
      <c r="J138" s="4">
        <f t="shared" si="15"/>
        <v>-6.5229194316769211E-3</v>
      </c>
      <c r="K138" s="3"/>
      <c r="R138" s="4"/>
      <c r="V138">
        <v>135</v>
      </c>
      <c r="W138" s="4">
        <v>3.1688006920461255E-3</v>
      </c>
    </row>
    <row r="139" spans="1:23" x14ac:dyDescent="0.3">
      <c r="A139" s="1">
        <v>45797</v>
      </c>
      <c r="B139" s="3">
        <f>Data!B138</f>
        <v>263.12692260742102</v>
      </c>
      <c r="C139" s="3">
        <v>127.46310424804599</v>
      </c>
      <c r="D139" s="3">
        <v>44.182430267333899</v>
      </c>
      <c r="E139" s="3"/>
      <c r="F139" s="1">
        <v>45797</v>
      </c>
      <c r="G139" s="4">
        <f t="shared" si="12"/>
        <v>3.0201783792118686E-3</v>
      </c>
      <c r="H139" s="4">
        <f t="shared" si="13"/>
        <v>-1.3069289243757276E-2</v>
      </c>
      <c r="I139" s="4">
        <f t="shared" si="14"/>
        <v>-1.7869681294147011E-3</v>
      </c>
      <c r="J139" s="4">
        <f t="shared" si="15"/>
        <v>-4.85775262256376E-3</v>
      </c>
      <c r="K139" s="3"/>
      <c r="R139" s="4"/>
      <c r="V139">
        <v>136</v>
      </c>
      <c r="W139" s="4">
        <v>3.3538857906500802E-3</v>
      </c>
    </row>
    <row r="140" spans="1:23" x14ac:dyDescent="0.3">
      <c r="A140" s="1">
        <v>45798</v>
      </c>
      <c r="B140" s="3">
        <f>Data!B139</f>
        <v>258.53152465820301</v>
      </c>
      <c r="C140" s="3">
        <v>123.68253326416</v>
      </c>
      <c r="D140" s="3">
        <v>42.7587890625</v>
      </c>
      <c r="E140" s="3"/>
      <c r="F140" s="1">
        <v>45798</v>
      </c>
      <c r="G140" s="4">
        <f t="shared" si="12"/>
        <v>-1.7464567683460608E-2</v>
      </c>
      <c r="H140" s="4">
        <f t="shared" si="13"/>
        <v>-2.9660120128009115E-2</v>
      </c>
      <c r="I140" s="4">
        <f t="shared" si="14"/>
        <v>-3.2221885401502282E-2</v>
      </c>
      <c r="J140" s="4">
        <f t="shared" si="15"/>
        <v>-2.6769983976692516E-2</v>
      </c>
      <c r="K140" s="3"/>
      <c r="R140" s="4"/>
      <c r="V140">
        <v>137</v>
      </c>
      <c r="W140" s="4">
        <v>3.3626770613477187E-3</v>
      </c>
    </row>
    <row r="141" spans="1:23" x14ac:dyDescent="0.3">
      <c r="A141" s="1">
        <v>45799</v>
      </c>
      <c r="B141" s="3">
        <f>Data!B140</f>
        <v>258.16510009765602</v>
      </c>
      <c r="C141" s="3">
        <v>124.63014221191401</v>
      </c>
      <c r="D141" s="3">
        <v>42.818107604980398</v>
      </c>
      <c r="E141" s="3"/>
      <c r="F141" s="1">
        <v>45799</v>
      </c>
      <c r="G141" s="4">
        <f t="shared" si="12"/>
        <v>-1.4173302889518569E-3</v>
      </c>
      <c r="H141" s="4">
        <f t="shared" si="13"/>
        <v>7.6616230501207472E-3</v>
      </c>
      <c r="I141" s="4">
        <f t="shared" si="14"/>
        <v>1.3872830307166684E-3</v>
      </c>
      <c r="J141" s="4">
        <f t="shared" si="15"/>
        <v>3.0556350425777427E-3</v>
      </c>
      <c r="K141" s="3"/>
      <c r="R141" s="4"/>
      <c r="V141">
        <v>138</v>
      </c>
      <c r="W141" s="4">
        <v>3.3793224219114794E-3</v>
      </c>
    </row>
    <row r="142" spans="1:23" x14ac:dyDescent="0.3">
      <c r="A142" s="1">
        <v>45800</v>
      </c>
      <c r="B142" s="3">
        <f>Data!B141</f>
        <v>258.20468139648398</v>
      </c>
      <c r="C142" s="3">
        <v>124.44259643554599</v>
      </c>
      <c r="D142" s="3">
        <v>42.709358215332003</v>
      </c>
      <c r="E142" s="3"/>
      <c r="F142" s="1">
        <v>45800</v>
      </c>
      <c r="G142" s="4">
        <f t="shared" si="12"/>
        <v>1.533177753809678E-4</v>
      </c>
      <c r="H142" s="4">
        <f t="shared" si="13"/>
        <v>-1.504818762455673E-3</v>
      </c>
      <c r="I142" s="4">
        <f t="shared" si="14"/>
        <v>-2.5397990647243462E-3</v>
      </c>
      <c r="J142" s="4">
        <f t="shared" si="15"/>
        <v>-1.3178718917852827E-3</v>
      </c>
      <c r="K142" s="3"/>
      <c r="R142" s="4"/>
      <c r="V142">
        <v>139</v>
      </c>
      <c r="W142" s="4">
        <v>3.4295336361797935E-3</v>
      </c>
    </row>
    <row r="143" spans="1:23" x14ac:dyDescent="0.3">
      <c r="A143" s="1">
        <v>45804</v>
      </c>
      <c r="B143" s="3">
        <f>Data!B142</f>
        <v>262.74069213867102</v>
      </c>
      <c r="C143" s="3">
        <v>127.542068481445</v>
      </c>
      <c r="D143" s="3">
        <v>43.7177734375</v>
      </c>
      <c r="E143" s="3"/>
      <c r="F143" s="1">
        <v>45804</v>
      </c>
      <c r="G143" s="4">
        <f t="shared" si="12"/>
        <v>1.7567500006794301E-2</v>
      </c>
      <c r="H143" s="4">
        <f t="shared" si="13"/>
        <v>2.4906841665782498E-2</v>
      </c>
      <c r="I143" s="4">
        <f t="shared" si="14"/>
        <v>2.3611106893336453E-2</v>
      </c>
      <c r="J143" s="4">
        <f t="shared" si="15"/>
        <v>2.2316318736352224E-2</v>
      </c>
      <c r="K143" s="3"/>
      <c r="R143" s="4"/>
      <c r="V143">
        <v>140</v>
      </c>
      <c r="W143" s="4">
        <v>3.4324982978845898E-3</v>
      </c>
    </row>
    <row r="144" spans="1:23" x14ac:dyDescent="0.3">
      <c r="A144" s="1">
        <v>45805</v>
      </c>
      <c r="B144" s="3">
        <f>Data!B143</f>
        <v>260.95797729492102</v>
      </c>
      <c r="C144" s="3">
        <v>125.864013671875</v>
      </c>
      <c r="D144" s="3">
        <v>43.5595893859863</v>
      </c>
      <c r="E144" s="3"/>
      <c r="F144" s="1">
        <v>45805</v>
      </c>
      <c r="G144" s="4">
        <f t="shared" si="12"/>
        <v>-6.7850732569780803E-3</v>
      </c>
      <c r="H144" s="4">
        <f t="shared" si="13"/>
        <v>-1.3156873097241006E-2</v>
      </c>
      <c r="I144" s="4">
        <f t="shared" si="14"/>
        <v>-3.6183007293325575E-3</v>
      </c>
      <c r="J144" s="4">
        <f t="shared" si="15"/>
        <v>-8.3837614347895949E-3</v>
      </c>
      <c r="K144" s="3"/>
      <c r="R144" s="4"/>
      <c r="V144">
        <v>141</v>
      </c>
      <c r="W144" s="4">
        <v>3.4542362380038049E-3</v>
      </c>
    </row>
    <row r="145" spans="1:23" x14ac:dyDescent="0.3">
      <c r="A145" s="1">
        <v>45806</v>
      </c>
      <c r="B145" s="3">
        <f>Data!B144</f>
        <v>261.829498291015</v>
      </c>
      <c r="C145" s="3">
        <v>126.50562286376901</v>
      </c>
      <c r="D145" s="3">
        <v>43.737548828125</v>
      </c>
      <c r="E145" s="3"/>
      <c r="F145" s="1">
        <v>45806</v>
      </c>
      <c r="G145" s="4">
        <f t="shared" si="12"/>
        <v>3.3396986178699795E-3</v>
      </c>
      <c r="H145" s="4">
        <f t="shared" si="13"/>
        <v>5.0976381030296558E-3</v>
      </c>
      <c r="I145" s="4">
        <f t="shared" si="14"/>
        <v>4.0854251531570185E-3</v>
      </c>
      <c r="J145" s="4">
        <f t="shared" si="15"/>
        <v>4.2665923725199615E-3</v>
      </c>
      <c r="K145" s="3"/>
      <c r="R145" s="4"/>
      <c r="V145">
        <v>142</v>
      </c>
      <c r="W145" s="4">
        <v>3.4786948625922581E-3</v>
      </c>
    </row>
    <row r="146" spans="1:23" x14ac:dyDescent="0.3">
      <c r="A146" s="1">
        <v>45807</v>
      </c>
      <c r="B146" s="3">
        <f>Data!B145</f>
        <v>261.46307373046801</v>
      </c>
      <c r="C146" s="3">
        <v>126.37728881835901</v>
      </c>
      <c r="D146" s="3">
        <v>43.628795623779297</v>
      </c>
      <c r="E146" s="3"/>
      <c r="F146" s="1">
        <v>45807</v>
      </c>
      <c r="G146" s="4">
        <f t="shared" si="12"/>
        <v>-1.3994777629666721E-3</v>
      </c>
      <c r="H146" s="4">
        <f t="shared" si="13"/>
        <v>-1.0144532907300219E-3</v>
      </c>
      <c r="I146" s="4">
        <f t="shared" si="14"/>
        <v>-2.4864951799898893E-3</v>
      </c>
      <c r="J146" s="4">
        <f t="shared" si="15"/>
        <v>-1.5715731991789773E-3</v>
      </c>
      <c r="K146" s="3"/>
      <c r="R146" s="4"/>
      <c r="V146">
        <v>143</v>
      </c>
      <c r="W146" s="4">
        <v>3.6099729489120101E-3</v>
      </c>
    </row>
    <row r="147" spans="1:23" x14ac:dyDescent="0.3">
      <c r="A147" s="1">
        <v>45810</v>
      </c>
      <c r="B147" s="3">
        <f>Data!B146</f>
        <v>262.11672973632801</v>
      </c>
      <c r="C147" s="3">
        <v>126.74251556396401</v>
      </c>
      <c r="D147" s="3">
        <v>43.5793647766113</v>
      </c>
      <c r="E147" s="3"/>
      <c r="F147" s="1">
        <v>45810</v>
      </c>
      <c r="G147" s="4">
        <f t="shared" si="12"/>
        <v>2.499993580484805E-3</v>
      </c>
      <c r="H147" s="4">
        <f t="shared" si="13"/>
        <v>2.8899713628920409E-3</v>
      </c>
      <c r="I147" s="4">
        <f t="shared" si="14"/>
        <v>-1.1329867455945886E-3</v>
      </c>
      <c r="J147" s="4">
        <f t="shared" si="15"/>
        <v>1.5660905956238814E-3</v>
      </c>
      <c r="K147" s="3"/>
      <c r="R147" s="4"/>
      <c r="V147">
        <v>144</v>
      </c>
      <c r="W147" s="4">
        <v>3.6642614588471511E-3</v>
      </c>
    </row>
    <row r="148" spans="1:23" x14ac:dyDescent="0.3">
      <c r="A148" s="1">
        <v>45811</v>
      </c>
      <c r="B148" s="3">
        <f>Data!B147</f>
        <v>263.71124267578102</v>
      </c>
      <c r="C148" s="3">
        <v>127.018898010253</v>
      </c>
      <c r="D148" s="3">
        <v>44.142887115478501</v>
      </c>
      <c r="E148" s="3"/>
      <c r="F148" s="1">
        <v>45811</v>
      </c>
      <c r="G148" s="4">
        <f t="shared" si="12"/>
        <v>6.0832169738154196E-3</v>
      </c>
      <c r="H148" s="4">
        <f t="shared" si="13"/>
        <v>2.1806608860426291E-3</v>
      </c>
      <c r="I148" s="4">
        <f t="shared" si="14"/>
        <v>1.293094430714703E-2</v>
      </c>
      <c r="J148" s="4">
        <f t="shared" si="15"/>
        <v>6.5765127387057854E-3</v>
      </c>
      <c r="K148" s="3"/>
      <c r="R148" s="4"/>
      <c r="V148">
        <v>145</v>
      </c>
      <c r="W148" s="4">
        <v>3.7648331423311143E-3</v>
      </c>
    </row>
    <row r="149" spans="1:23" x14ac:dyDescent="0.3">
      <c r="A149" s="1">
        <v>45812</v>
      </c>
      <c r="B149" s="3">
        <f>Data!B148</f>
        <v>261.68096923828102</v>
      </c>
      <c r="C149" s="3">
        <v>126.50562286376901</v>
      </c>
      <c r="D149" s="3">
        <v>43.856182098388601</v>
      </c>
      <c r="E149" s="3"/>
      <c r="F149" s="1">
        <v>45812</v>
      </c>
      <c r="G149" s="4">
        <f t="shared" si="12"/>
        <v>-7.698850518846112E-3</v>
      </c>
      <c r="H149" s="4">
        <f t="shared" si="13"/>
        <v>-4.0409352822645683E-3</v>
      </c>
      <c r="I149" s="4">
        <f t="shared" si="14"/>
        <v>-6.4949312522281089E-3</v>
      </c>
      <c r="J149" s="4">
        <f t="shared" si="15"/>
        <v>-5.8745086442280933E-3</v>
      </c>
      <c r="K149" s="3"/>
      <c r="R149" s="4"/>
      <c r="V149">
        <v>146</v>
      </c>
      <c r="W149" s="4">
        <v>3.8581040883859828E-3</v>
      </c>
    </row>
    <row r="150" spans="1:23" x14ac:dyDescent="0.3">
      <c r="A150" s="1">
        <v>45813</v>
      </c>
      <c r="B150" s="3">
        <f>Data!B149</f>
        <v>259.43280029296801</v>
      </c>
      <c r="C150" s="3">
        <v>128.93385314941401</v>
      </c>
      <c r="D150" s="3">
        <v>43.875957489013601</v>
      </c>
      <c r="E150" s="3"/>
      <c r="F150" s="1">
        <v>45813</v>
      </c>
      <c r="G150" s="4">
        <f t="shared" si="12"/>
        <v>-8.591258859431572E-3</v>
      </c>
      <c r="H150" s="4">
        <f t="shared" si="13"/>
        <v>1.919464313661301E-2</v>
      </c>
      <c r="I150" s="4">
        <f t="shared" si="14"/>
        <v>4.5091455021406546E-4</v>
      </c>
      <c r="J150" s="4">
        <f t="shared" si="15"/>
        <v>5.2357539618799517E-3</v>
      </c>
      <c r="K150" s="3"/>
      <c r="R150" s="4"/>
      <c r="V150">
        <v>147</v>
      </c>
      <c r="W150" s="4">
        <v>3.8628124296923531E-3</v>
      </c>
    </row>
    <row r="151" spans="1:23" x14ac:dyDescent="0.3">
      <c r="A151" s="1">
        <v>45814</v>
      </c>
      <c r="B151" s="3">
        <f>Data!B150</f>
        <v>263.17645263671801</v>
      </c>
      <c r="C151" s="3">
        <v>130.11837768554599</v>
      </c>
      <c r="D151" s="3">
        <v>44.7212524414062</v>
      </c>
      <c r="E151" s="3"/>
      <c r="F151" s="1">
        <v>45814</v>
      </c>
      <c r="G151" s="4">
        <f t="shared" si="12"/>
        <v>1.443014275574428E-2</v>
      </c>
      <c r="H151" s="4">
        <f t="shared" si="13"/>
        <v>9.1870715657531576E-3</v>
      </c>
      <c r="I151" s="4">
        <f t="shared" si="14"/>
        <v>1.9265561386421215E-2</v>
      </c>
      <c r="J151" s="4">
        <f t="shared" si="15"/>
        <v>1.3783539868950912E-2</v>
      </c>
      <c r="K151" s="3"/>
      <c r="R151" s="4"/>
      <c r="V151">
        <v>148</v>
      </c>
      <c r="W151" s="4">
        <v>3.8865608466551742E-3</v>
      </c>
    </row>
    <row r="152" spans="1:23" x14ac:dyDescent="0.3">
      <c r="A152" s="1">
        <v>45817</v>
      </c>
      <c r="B152" s="3">
        <f>Data!B151</f>
        <v>264.17672729492102</v>
      </c>
      <c r="C152" s="3">
        <v>130.24668884277301</v>
      </c>
      <c r="D152" s="3">
        <v>44.621803283691399</v>
      </c>
      <c r="E152" s="3"/>
      <c r="F152" s="1">
        <v>45817</v>
      </c>
      <c r="G152" s="4">
        <f t="shared" si="12"/>
        <v>3.8007756703970497E-3</v>
      </c>
      <c r="H152" s="4">
        <f t="shared" si="13"/>
        <v>9.8611095149903072E-4</v>
      </c>
      <c r="I152" s="4">
        <f t="shared" si="14"/>
        <v>-2.2237560954961877E-3</v>
      </c>
      <c r="J152" s="4">
        <f t="shared" si="15"/>
        <v>8.6755025306987086E-4</v>
      </c>
      <c r="K152" s="3"/>
      <c r="R152" s="4"/>
      <c r="V152">
        <v>149</v>
      </c>
      <c r="W152" s="4">
        <v>3.897664249725508E-3</v>
      </c>
    </row>
    <row r="153" spans="1:23" x14ac:dyDescent="0.3">
      <c r="A153" s="1">
        <v>45818</v>
      </c>
      <c r="B153" s="3">
        <f>Data!B152</f>
        <v>266.01885986328102</v>
      </c>
      <c r="C153" s="3">
        <v>130.11837768554599</v>
      </c>
      <c r="D153" s="3">
        <v>44.840587615966797</v>
      </c>
      <c r="E153" s="3"/>
      <c r="F153" s="1">
        <v>45818</v>
      </c>
      <c r="G153" s="4">
        <f t="shared" si="12"/>
        <v>6.9731069319496353E-3</v>
      </c>
      <c r="H153" s="4">
        <f t="shared" si="13"/>
        <v>-9.8513949465472983E-4</v>
      </c>
      <c r="I153" s="4">
        <f t="shared" si="14"/>
        <v>4.9030813677437557E-3</v>
      </c>
      <c r="J153" s="4">
        <f t="shared" si="15"/>
        <v>3.1688006920461255E-3</v>
      </c>
      <c r="K153" s="3"/>
      <c r="R153" s="4"/>
      <c r="V153">
        <v>150</v>
      </c>
      <c r="W153" s="4">
        <v>4.1625624370631113E-3</v>
      </c>
    </row>
    <row r="154" spans="1:23" x14ac:dyDescent="0.3">
      <c r="A154" s="1">
        <v>45819</v>
      </c>
      <c r="B154" s="3">
        <f>Data!B153</f>
        <v>265.57318115234301</v>
      </c>
      <c r="C154" s="3">
        <v>130.10848999023401</v>
      </c>
      <c r="D154" s="3">
        <v>44.482578277587798</v>
      </c>
      <c r="E154" s="3"/>
      <c r="F154" s="1">
        <v>45819</v>
      </c>
      <c r="G154" s="4">
        <f t="shared" si="12"/>
        <v>-1.675365089404024E-3</v>
      </c>
      <c r="H154" s="4">
        <f t="shared" si="13"/>
        <v>-7.5989998398862113E-5</v>
      </c>
      <c r="I154" s="4">
        <f t="shared" si="14"/>
        <v>-7.9840465393794524E-3</v>
      </c>
      <c r="J154" s="4">
        <f t="shared" si="15"/>
        <v>-2.928219487994588E-3</v>
      </c>
      <c r="K154" s="3"/>
      <c r="R154" s="4"/>
      <c r="V154">
        <v>151</v>
      </c>
      <c r="W154" s="4">
        <v>4.2665923725199615E-3</v>
      </c>
    </row>
    <row r="155" spans="1:23" x14ac:dyDescent="0.3">
      <c r="A155" s="1">
        <v>45820</v>
      </c>
      <c r="B155" s="3">
        <f>Data!B154</f>
        <v>265.66229248046801</v>
      </c>
      <c r="C155" s="3">
        <v>130.21707153320301</v>
      </c>
      <c r="D155" s="3">
        <v>44.3731880187988</v>
      </c>
      <c r="E155" s="3"/>
      <c r="F155" s="1">
        <v>45820</v>
      </c>
      <c r="G155" s="4">
        <f t="shared" si="12"/>
        <v>3.3554339989572135E-4</v>
      </c>
      <c r="H155" s="4">
        <f t="shared" si="13"/>
        <v>8.3454617740286174E-4</v>
      </c>
      <c r="I155" s="4">
        <f t="shared" si="14"/>
        <v>-2.4591708265281342E-3</v>
      </c>
      <c r="J155" s="4">
        <f t="shared" si="15"/>
        <v>-3.0326975702857915E-4</v>
      </c>
      <c r="K155" s="3"/>
      <c r="R155" s="4"/>
      <c r="V155">
        <v>152</v>
      </c>
      <c r="W155" s="4">
        <v>4.5915412905946692E-3</v>
      </c>
    </row>
    <row r="156" spans="1:23" x14ac:dyDescent="0.3">
      <c r="A156" s="1">
        <v>45821</v>
      </c>
      <c r="B156" s="3">
        <f>Data!B155</f>
        <v>262.40396118164</v>
      </c>
      <c r="C156" s="3">
        <v>127.81845092773401</v>
      </c>
      <c r="D156" s="3">
        <v>43.846118927001903</v>
      </c>
      <c r="E156" s="3"/>
      <c r="F156" s="1">
        <v>45821</v>
      </c>
      <c r="G156" s="4">
        <f t="shared" si="12"/>
        <v>-1.2264937068807269E-2</v>
      </c>
      <c r="H156" s="4">
        <f t="shared" si="13"/>
        <v>-1.8420170083900289E-2</v>
      </c>
      <c r="I156" s="4">
        <f t="shared" si="14"/>
        <v>-1.1878098359162315E-2</v>
      </c>
      <c r="J156" s="4">
        <f t="shared" si="15"/>
        <v>-1.4610978661950991E-2</v>
      </c>
      <c r="K156" s="3"/>
      <c r="R156" s="4"/>
      <c r="V156">
        <v>153</v>
      </c>
      <c r="W156" s="4">
        <v>4.6228133424379703E-3</v>
      </c>
    </row>
    <row r="157" spans="1:23" x14ac:dyDescent="0.3">
      <c r="A157" s="1">
        <v>45824</v>
      </c>
      <c r="B157" s="3">
        <f>Data!B156</f>
        <v>267.76193237304602</v>
      </c>
      <c r="C157" s="3">
        <v>129.21023559570301</v>
      </c>
      <c r="D157" s="3">
        <v>44.164348602294901</v>
      </c>
      <c r="E157" s="3"/>
      <c r="F157" s="1">
        <v>45824</v>
      </c>
      <c r="G157" s="4">
        <f t="shared" si="12"/>
        <v>2.0418789286862804E-2</v>
      </c>
      <c r="H157" s="4">
        <f t="shared" si="13"/>
        <v>1.0888761816992165E-2</v>
      </c>
      <c r="I157" s="4">
        <f t="shared" si="14"/>
        <v>7.257875567568739E-3</v>
      </c>
      <c r="J157" s="4">
        <f t="shared" si="15"/>
        <v>1.2658504183126328E-2</v>
      </c>
      <c r="K157" s="3"/>
      <c r="R157" s="4"/>
      <c r="V157">
        <v>154</v>
      </c>
      <c r="W157" s="4">
        <v>4.6417562743569672E-3</v>
      </c>
    </row>
    <row r="158" spans="1:23" x14ac:dyDescent="0.3">
      <c r="A158" s="1">
        <v>45825</v>
      </c>
      <c r="B158" s="3">
        <f>Data!B157</f>
        <v>266.93002319335898</v>
      </c>
      <c r="C158" s="3">
        <v>128.41069030761699</v>
      </c>
      <c r="D158" s="3">
        <v>43.985343933105398</v>
      </c>
      <c r="E158" s="3"/>
      <c r="F158" s="1">
        <v>45825</v>
      </c>
      <c r="G158" s="4">
        <f t="shared" si="12"/>
        <v>-3.1068986256345132E-3</v>
      </c>
      <c r="H158" s="4">
        <f t="shared" si="13"/>
        <v>-6.1879407958653765E-3</v>
      </c>
      <c r="I158" s="4">
        <f t="shared" si="14"/>
        <v>-4.0531486335609879E-3</v>
      </c>
      <c r="J158" s="4">
        <f t="shared" si="15"/>
        <v>-4.6231904961048006E-3</v>
      </c>
      <c r="K158" s="3"/>
      <c r="R158" s="4"/>
      <c r="V158">
        <v>155</v>
      </c>
      <c r="W158" s="4">
        <v>4.6823416624650173E-3</v>
      </c>
    </row>
    <row r="159" spans="1:23" x14ac:dyDescent="0.3">
      <c r="A159" s="1">
        <v>45826</v>
      </c>
      <c r="B159" s="3">
        <f>Data!B158</f>
        <v>271.32736206054602</v>
      </c>
      <c r="C159" s="3">
        <v>130.80934143066401</v>
      </c>
      <c r="D159" s="3">
        <v>44.810756683349602</v>
      </c>
      <c r="E159" s="3"/>
      <c r="F159" s="1">
        <v>45826</v>
      </c>
      <c r="G159" s="4">
        <f t="shared" si="12"/>
        <v>1.6473751489549437E-2</v>
      </c>
      <c r="H159" s="4">
        <f t="shared" si="13"/>
        <v>1.8679528295509229E-2</v>
      </c>
      <c r="I159" s="4">
        <f t="shared" si="14"/>
        <v>1.8765631377113401E-2</v>
      </c>
      <c r="J159" s="4">
        <f t="shared" si="15"/>
        <v>1.8043626178202543E-2</v>
      </c>
      <c r="K159" s="3"/>
      <c r="R159" s="4"/>
      <c r="V159">
        <v>156</v>
      </c>
      <c r="W159" s="4">
        <v>5.2113132413267533E-3</v>
      </c>
    </row>
    <row r="160" spans="1:23" x14ac:dyDescent="0.3">
      <c r="A160" s="1">
        <v>45828</v>
      </c>
      <c r="B160" s="3">
        <f>Data!B159</f>
        <v>272.35736083984301</v>
      </c>
      <c r="C160" s="3">
        <v>130.99688720703099</v>
      </c>
      <c r="D160" s="3">
        <v>45.248321533203097</v>
      </c>
      <c r="E160" s="3"/>
      <c r="F160" s="1">
        <v>45828</v>
      </c>
      <c r="G160" s="4">
        <f t="shared" si="12"/>
        <v>3.7961478395500681E-3</v>
      </c>
      <c r="H160" s="4">
        <f t="shared" si="13"/>
        <v>1.433733816834426E-3</v>
      </c>
      <c r="I160" s="4">
        <f t="shared" si="14"/>
        <v>9.7647279858605884E-3</v>
      </c>
      <c r="J160" s="4">
        <f t="shared" si="15"/>
        <v>4.6417562743569672E-3</v>
      </c>
      <c r="K160" s="3"/>
      <c r="R160" s="4"/>
      <c r="V160">
        <v>157</v>
      </c>
      <c r="W160" s="4">
        <v>5.2304508874896575E-3</v>
      </c>
    </row>
    <row r="161" spans="1:23" x14ac:dyDescent="0.3">
      <c r="A161" s="1">
        <v>45831</v>
      </c>
      <c r="B161" s="3">
        <f>Data!B160</f>
        <v>275.59591674804602</v>
      </c>
      <c r="C161" s="3">
        <v>132.27023315429599</v>
      </c>
      <c r="D161" s="3">
        <v>46.043895721435497</v>
      </c>
      <c r="E161" s="3"/>
      <c r="F161" s="1">
        <v>45831</v>
      </c>
      <c r="G161" s="4">
        <f t="shared" si="12"/>
        <v>1.1890833051901195E-2</v>
      </c>
      <c r="H161" s="4">
        <f t="shared" si="13"/>
        <v>9.7204290454060427E-3</v>
      </c>
      <c r="I161" s="4">
        <f t="shared" si="14"/>
        <v>1.7582402203551561E-2</v>
      </c>
      <c r="J161" s="4">
        <f t="shared" si="15"/>
        <v>1.2730142194798243E-2</v>
      </c>
      <c r="K161" s="3"/>
      <c r="R161" s="4"/>
      <c r="V161">
        <v>158</v>
      </c>
      <c r="W161" s="4">
        <v>5.2357539618799517E-3</v>
      </c>
    </row>
    <row r="162" spans="1:23" x14ac:dyDescent="0.3">
      <c r="A162" s="1">
        <v>45832</v>
      </c>
      <c r="B162" s="3">
        <f>Data!B161</f>
        <v>278.55722045898398</v>
      </c>
      <c r="C162" s="3">
        <v>134.14569091796801</v>
      </c>
      <c r="D162" s="3">
        <v>46.401905059814403</v>
      </c>
      <c r="E162" s="3"/>
      <c r="F162" s="1">
        <v>45832</v>
      </c>
      <c r="G162" s="4">
        <f t="shared" si="12"/>
        <v>1.0745092836935033E-2</v>
      </c>
      <c r="H162" s="4">
        <f t="shared" si="13"/>
        <v>1.4178985845471725E-2</v>
      </c>
      <c r="I162" s="4">
        <f t="shared" si="14"/>
        <v>7.7753919986451869E-3</v>
      </c>
      <c r="J162" s="4">
        <f t="shared" si="15"/>
        <v>1.1227739788862757E-2</v>
      </c>
      <c r="K162" s="3"/>
      <c r="R162" s="4"/>
      <c r="V162">
        <v>159</v>
      </c>
      <c r="W162" s="4">
        <v>5.3953968244702223E-3</v>
      </c>
    </row>
    <row r="163" spans="1:23" x14ac:dyDescent="0.3">
      <c r="A163" s="1">
        <v>45833</v>
      </c>
      <c r="B163" s="3">
        <f>Data!B162</f>
        <v>281.33029174804602</v>
      </c>
      <c r="C163" s="3">
        <v>135.94219970703099</v>
      </c>
      <c r="D163" s="3">
        <v>46.590850830078097</v>
      </c>
      <c r="E163" s="3"/>
      <c r="F163" s="1">
        <v>45833</v>
      </c>
      <c r="G163" s="4">
        <f t="shared" si="12"/>
        <v>9.9551226297160955E-3</v>
      </c>
      <c r="H163" s="4">
        <f t="shared" si="13"/>
        <v>1.3392221373413893E-2</v>
      </c>
      <c r="I163" s="4">
        <f t="shared" si="14"/>
        <v>4.0719399347963758E-3</v>
      </c>
      <c r="J163" s="4">
        <f t="shared" si="15"/>
        <v>9.5650073187192996E-3</v>
      </c>
      <c r="K163" s="3"/>
      <c r="R163" s="4"/>
      <c r="V163">
        <v>160</v>
      </c>
      <c r="W163" s="4">
        <v>5.5154297167123272E-3</v>
      </c>
    </row>
    <row r="164" spans="1:23" x14ac:dyDescent="0.3">
      <c r="A164" s="1">
        <v>45834</v>
      </c>
      <c r="B164" s="3">
        <f>Data!B163</f>
        <v>285.97525024414</v>
      </c>
      <c r="C164" s="3">
        <v>137.94599914550699</v>
      </c>
      <c r="D164" s="3">
        <v>47.197479248046797</v>
      </c>
      <c r="E164" s="3"/>
      <c r="F164" s="1">
        <v>45834</v>
      </c>
      <c r="G164" s="4">
        <f t="shared" si="12"/>
        <v>1.6510694483813149E-2</v>
      </c>
      <c r="H164" s="4">
        <f t="shared" si="13"/>
        <v>1.4740083967998086E-2</v>
      </c>
      <c r="I164" s="4">
        <f t="shared" si="14"/>
        <v>1.3020333545337825E-2</v>
      </c>
      <c r="J164" s="4">
        <f t="shared" si="15"/>
        <v>1.4755341995944526E-2</v>
      </c>
      <c r="K164" s="3"/>
      <c r="R164" s="4"/>
      <c r="V164">
        <v>161</v>
      </c>
      <c r="W164" s="4">
        <v>5.5338906311858775E-3</v>
      </c>
    </row>
    <row r="165" spans="1:23" x14ac:dyDescent="0.3">
      <c r="A165" s="1">
        <v>45835</v>
      </c>
      <c r="B165" s="3">
        <f>Data!B164</f>
        <v>284.350982666015</v>
      </c>
      <c r="C165" s="3">
        <v>138.87388610839801</v>
      </c>
      <c r="D165" s="3">
        <v>46.859359741210902</v>
      </c>
      <c r="E165" s="3"/>
      <c r="F165" s="1">
        <v>45835</v>
      </c>
      <c r="G165" s="4">
        <f t="shared" si="12"/>
        <v>-5.6797487780441136E-3</v>
      </c>
      <c r="H165" s="4">
        <f t="shared" si="13"/>
        <v>6.7264507027295917E-3</v>
      </c>
      <c r="I165" s="4">
        <f t="shared" si="14"/>
        <v>-7.1639314688588529E-3</v>
      </c>
      <c r="J165" s="4">
        <f t="shared" si="15"/>
        <v>-1.162523792979053E-3</v>
      </c>
      <c r="K165" s="3"/>
      <c r="R165" s="4"/>
      <c r="V165">
        <v>162</v>
      </c>
      <c r="W165" s="4">
        <v>5.9639586739208671E-3</v>
      </c>
    </row>
    <row r="166" spans="1:23" x14ac:dyDescent="0.3">
      <c r="A166" s="1">
        <v>45838</v>
      </c>
      <c r="B166" s="3">
        <f>Data!B165</f>
        <v>287.12408447265602</v>
      </c>
      <c r="C166" s="3">
        <v>139.04167175292901</v>
      </c>
      <c r="D166" s="3">
        <v>47.058254241943303</v>
      </c>
      <c r="E166" s="3"/>
      <c r="F166" s="1">
        <v>45838</v>
      </c>
      <c r="G166" s="4">
        <f t="shared" si="12"/>
        <v>9.7523904459235755E-3</v>
      </c>
      <c r="H166" s="4">
        <f t="shared" si="13"/>
        <v>1.2081871490225993E-3</v>
      </c>
      <c r="I166" s="4">
        <f t="shared" si="14"/>
        <v>4.2444988969296826E-3</v>
      </c>
      <c r="J166" s="4">
        <f t="shared" si="15"/>
        <v>4.6823416624650173E-3</v>
      </c>
      <c r="K166" s="3"/>
      <c r="R166" s="4"/>
      <c r="V166">
        <v>163</v>
      </c>
      <c r="W166" s="4">
        <v>6.0953901961397607E-3</v>
      </c>
    </row>
    <row r="167" spans="1:23" x14ac:dyDescent="0.3">
      <c r="A167" s="1">
        <v>45839</v>
      </c>
      <c r="B167" s="3">
        <f>Data!B166</f>
        <v>287.61929321289</v>
      </c>
      <c r="C167" s="3">
        <v>139.24897766113199</v>
      </c>
      <c r="D167" s="3">
        <v>47.883663177490199</v>
      </c>
      <c r="E167" s="3"/>
      <c r="F167" s="1">
        <v>45839</v>
      </c>
      <c r="G167" s="4">
        <f t="shared" si="12"/>
        <v>1.7247203108841092E-3</v>
      </c>
      <c r="H167" s="4">
        <f t="shared" si="13"/>
        <v>1.4909624257923859E-3</v>
      </c>
      <c r="I167" s="4">
        <f t="shared" si="14"/>
        <v>1.7540152069882797E-2</v>
      </c>
      <c r="J167" s="4">
        <f t="shared" si="15"/>
        <v>6.375846684547026E-3</v>
      </c>
      <c r="K167" s="3"/>
      <c r="R167" s="4"/>
      <c r="V167">
        <v>164</v>
      </c>
      <c r="W167" s="4">
        <v>6.375846684547026E-3</v>
      </c>
    </row>
    <row r="168" spans="1:23" x14ac:dyDescent="0.3">
      <c r="A168" s="1">
        <v>45840</v>
      </c>
      <c r="B168" s="3">
        <f>Data!B167</f>
        <v>289.19403076171801</v>
      </c>
      <c r="C168" s="3">
        <v>141.015853881835</v>
      </c>
      <c r="D168" s="3">
        <v>48.440563201904297</v>
      </c>
      <c r="E168" s="3"/>
      <c r="F168" s="1">
        <v>45840</v>
      </c>
      <c r="G168" s="4">
        <f t="shared" si="12"/>
        <v>5.4750762065964853E-3</v>
      </c>
      <c r="H168" s="4">
        <f t="shared" si="13"/>
        <v>1.2688611797228244E-2</v>
      </c>
      <c r="I168" s="4">
        <f t="shared" si="14"/>
        <v>1.1630271943686488E-2</v>
      </c>
      <c r="J168" s="4">
        <f t="shared" si="15"/>
        <v>1.020704916397619E-2</v>
      </c>
      <c r="K168" s="3"/>
      <c r="R168" s="4"/>
      <c r="V168">
        <v>165</v>
      </c>
      <c r="W168" s="4">
        <v>6.5234330563866075E-3</v>
      </c>
    </row>
    <row r="169" spans="1:23" x14ac:dyDescent="0.3">
      <c r="A169" s="1">
        <v>45841</v>
      </c>
      <c r="B169" s="3">
        <f>Data!B168</f>
        <v>294.56787109375</v>
      </c>
      <c r="C169" s="3">
        <v>142.27932739257801</v>
      </c>
      <c r="D169" s="3">
        <v>48.659347534179602</v>
      </c>
      <c r="E169" s="3"/>
      <c r="F169" s="1">
        <v>45841</v>
      </c>
      <c r="G169" s="4">
        <f t="shared" si="12"/>
        <v>1.8582127431460593E-2</v>
      </c>
      <c r="H169" s="4">
        <f t="shared" si="13"/>
        <v>8.9597976111377431E-3</v>
      </c>
      <c r="I169" s="4">
        <f t="shared" si="14"/>
        <v>4.5165521995149671E-3</v>
      </c>
      <c r="J169" s="4">
        <f t="shared" si="15"/>
        <v>1.0513522933747764E-2</v>
      </c>
      <c r="K169" s="3"/>
      <c r="R169" s="4"/>
      <c r="V169">
        <v>166</v>
      </c>
      <c r="W169" s="4">
        <v>6.5416955235178213E-3</v>
      </c>
    </row>
    <row r="170" spans="1:23" x14ac:dyDescent="0.3">
      <c r="A170" s="1">
        <v>45845</v>
      </c>
      <c r="B170" s="3">
        <f>Data!B169</f>
        <v>290.557373046875</v>
      </c>
      <c r="C170" s="3">
        <v>141.884506225585</v>
      </c>
      <c r="D170" s="3">
        <v>48.390838623046797</v>
      </c>
      <c r="E170" s="3"/>
      <c r="F170" s="1">
        <v>45845</v>
      </c>
      <c r="G170" s="4">
        <f t="shared" si="12"/>
        <v>-1.36148522647217E-2</v>
      </c>
      <c r="H170" s="4">
        <f t="shared" si="13"/>
        <v>-2.774972121590169E-3</v>
      </c>
      <c r="I170" s="4">
        <f t="shared" si="14"/>
        <v>-5.5181362829453962E-3</v>
      </c>
      <c r="J170" s="4">
        <f t="shared" si="15"/>
        <v>-6.8498854129361965E-3</v>
      </c>
      <c r="K170" s="3"/>
      <c r="R170" s="4"/>
      <c r="V170">
        <v>167</v>
      </c>
      <c r="W170" s="4">
        <v>6.5682878006109394E-3</v>
      </c>
    </row>
    <row r="171" spans="1:23" x14ac:dyDescent="0.3">
      <c r="A171" s="1">
        <v>45846</v>
      </c>
      <c r="B171" s="3">
        <f>Data!B170</f>
        <v>281.41183471679602</v>
      </c>
      <c r="C171" s="3">
        <v>139.30819702148401</v>
      </c>
      <c r="D171" s="3">
        <v>46.889194488525298</v>
      </c>
      <c r="E171" s="3"/>
      <c r="F171" s="1">
        <v>45846</v>
      </c>
      <c r="G171" s="4">
        <f t="shared" si="12"/>
        <v>-3.1475843253179314E-2</v>
      </c>
      <c r="H171" s="4">
        <f t="shared" si="13"/>
        <v>-1.8157790957138542E-2</v>
      </c>
      <c r="I171" s="4">
        <f t="shared" si="14"/>
        <v>-3.1031579060221581E-2</v>
      </c>
      <c r="J171" s="4">
        <f t="shared" si="15"/>
        <v>-2.6015343076875683E-2</v>
      </c>
      <c r="K171" s="3"/>
      <c r="R171" s="4"/>
      <c r="V171">
        <v>168</v>
      </c>
      <c r="W171" s="4">
        <v>6.5765127387057854E-3</v>
      </c>
    </row>
    <row r="172" spans="1:23" x14ac:dyDescent="0.3">
      <c r="A172" s="1">
        <v>45847</v>
      </c>
      <c r="B172" s="3">
        <f>Data!B171</f>
        <v>281.79000854492102</v>
      </c>
      <c r="C172" s="3">
        <v>139.72277832031199</v>
      </c>
      <c r="D172" s="3">
        <v>46.580909729003899</v>
      </c>
      <c r="E172" s="3"/>
      <c r="F172" s="1">
        <v>45847</v>
      </c>
      <c r="G172" s="4">
        <f t="shared" si="12"/>
        <v>1.3438447906981565E-3</v>
      </c>
      <c r="H172" s="4">
        <f t="shared" si="13"/>
        <v>2.9760007500783114E-3</v>
      </c>
      <c r="I172" s="4">
        <f t="shared" si="14"/>
        <v>-6.5747505983887455E-3</v>
      </c>
      <c r="J172" s="4">
        <f t="shared" si="15"/>
        <v>-3.7887144227585203E-4</v>
      </c>
      <c r="K172" s="3"/>
      <c r="R172" s="4"/>
      <c r="V172">
        <v>169</v>
      </c>
      <c r="W172" s="4">
        <v>6.7477477645449657E-3</v>
      </c>
    </row>
    <row r="173" spans="1:23" x14ac:dyDescent="0.3">
      <c r="A173" s="1">
        <v>45848</v>
      </c>
      <c r="B173" s="3">
        <f>Data!B172</f>
        <v>286.79568481445301</v>
      </c>
      <c r="C173" s="3">
        <v>141.24288940429599</v>
      </c>
      <c r="D173" s="3">
        <v>46.710189819335902</v>
      </c>
      <c r="E173" s="3"/>
      <c r="F173" s="1">
        <v>45848</v>
      </c>
      <c r="G173" s="4">
        <f t="shared" si="12"/>
        <v>1.776385293211713E-2</v>
      </c>
      <c r="H173" s="4">
        <f t="shared" si="13"/>
        <v>1.0879479368061107E-2</v>
      </c>
      <c r="I173" s="4">
        <f t="shared" si="14"/>
        <v>2.7753878377241303E-3</v>
      </c>
      <c r="J173" s="4">
        <f t="shared" si="15"/>
        <v>1.0513563978176819E-2</v>
      </c>
      <c r="K173" s="3"/>
      <c r="R173" s="4"/>
      <c r="V173">
        <v>170</v>
      </c>
      <c r="W173" s="4">
        <v>6.8451467834954368E-3</v>
      </c>
    </row>
    <row r="174" spans="1:23" x14ac:dyDescent="0.3">
      <c r="A174" s="1">
        <v>45849</v>
      </c>
      <c r="B174" s="3">
        <f>Data!B173</f>
        <v>285.472076416015</v>
      </c>
      <c r="C174" s="3">
        <v>140.44334411621</v>
      </c>
      <c r="D174" s="3">
        <v>46.4715156555175</v>
      </c>
      <c r="E174" s="3"/>
      <c r="F174" s="1">
        <v>45849</v>
      </c>
      <c r="G174" s="4">
        <f t="shared" si="12"/>
        <v>-4.615161484365915E-3</v>
      </c>
      <c r="H174" s="4">
        <f t="shared" si="13"/>
        <v>-5.6607825813967949E-3</v>
      </c>
      <c r="I174" s="4">
        <f t="shared" si="14"/>
        <v>-5.1096808799436788E-3</v>
      </c>
      <c r="J174" s="4">
        <f t="shared" si="15"/>
        <v>-5.1817657418515963E-3</v>
      </c>
      <c r="K174" s="3"/>
      <c r="R174" s="4"/>
      <c r="V174">
        <v>171</v>
      </c>
      <c r="W174" s="4">
        <v>7.2432834324936074E-3</v>
      </c>
    </row>
    <row r="175" spans="1:23" x14ac:dyDescent="0.3">
      <c r="A175" s="1">
        <v>45852</v>
      </c>
      <c r="B175" s="3">
        <f>Data!B174</f>
        <v>287.30322265625</v>
      </c>
      <c r="C175" s="3">
        <v>142.11152648925699</v>
      </c>
      <c r="D175" s="3">
        <v>46.809635162353501</v>
      </c>
      <c r="E175" s="3"/>
      <c r="F175" s="1">
        <v>45852</v>
      </c>
      <c r="G175" s="4">
        <f t="shared" si="12"/>
        <v>6.4144495784816957E-3</v>
      </c>
      <c r="H175" s="4">
        <f t="shared" si="13"/>
        <v>1.1877973880105364E-2</v>
      </c>
      <c r="I175" s="4">
        <f t="shared" si="14"/>
        <v>7.2758441825397924E-3</v>
      </c>
      <c r="J175" s="4">
        <f t="shared" si="15"/>
        <v>8.8582776803485929E-3</v>
      </c>
      <c r="K175" s="3"/>
      <c r="R175" s="4"/>
      <c r="V175">
        <v>172</v>
      </c>
      <c r="W175" s="4">
        <v>7.3237642071054985E-3</v>
      </c>
    </row>
    <row r="176" spans="1:23" x14ac:dyDescent="0.3">
      <c r="A176" s="1">
        <v>45853</v>
      </c>
      <c r="B176" s="3">
        <f>Data!B175</f>
        <v>285.16360473632801</v>
      </c>
      <c r="C176" s="3">
        <v>139.76225280761699</v>
      </c>
      <c r="D176" s="3">
        <v>45.894725799560497</v>
      </c>
      <c r="E176" s="3"/>
      <c r="F176" s="1">
        <v>45853</v>
      </c>
      <c r="G176" s="4">
        <f t="shared" si="12"/>
        <v>-7.4472465019370659E-3</v>
      </c>
      <c r="H176" s="4">
        <f t="shared" si="13"/>
        <v>-1.65311972904435E-2</v>
      </c>
      <c r="I176" s="4">
        <f t="shared" si="14"/>
        <v>-1.9545321377100078E-2</v>
      </c>
      <c r="J176" s="4">
        <f t="shared" si="15"/>
        <v>-1.4710249279888541E-2</v>
      </c>
      <c r="K176" s="3"/>
      <c r="R176" s="4"/>
      <c r="V176">
        <v>173</v>
      </c>
      <c r="W176" s="4">
        <v>7.5000876208361818E-3</v>
      </c>
    </row>
    <row r="177" spans="1:23" x14ac:dyDescent="0.3">
      <c r="A177" s="1">
        <v>45854</v>
      </c>
      <c r="B177" s="3">
        <f>Data!B176</f>
        <v>284.43713378906199</v>
      </c>
      <c r="C177" s="3">
        <v>137.98548889160099</v>
      </c>
      <c r="D177" s="3">
        <v>45.775386810302699</v>
      </c>
      <c r="E177" s="3"/>
      <c r="F177" s="1">
        <v>45854</v>
      </c>
      <c r="G177" s="4">
        <f t="shared" si="12"/>
        <v>-2.5475584373318982E-3</v>
      </c>
      <c r="H177" s="4">
        <f t="shared" si="13"/>
        <v>-1.2712759563640597E-2</v>
      </c>
      <c r="I177" s="4">
        <f t="shared" si="14"/>
        <v>-2.6002767677270056E-3</v>
      </c>
      <c r="J177" s="4">
        <f t="shared" si="15"/>
        <v>-6.6294543869739094E-3</v>
      </c>
      <c r="K177" s="3"/>
      <c r="R177" s="4"/>
      <c r="V177">
        <v>174</v>
      </c>
      <c r="W177" s="4">
        <v>7.6461896329341975E-3</v>
      </c>
    </row>
    <row r="178" spans="1:23" x14ac:dyDescent="0.3">
      <c r="A178" s="1">
        <v>45855</v>
      </c>
      <c r="B178" s="3">
        <f>Data!B177</f>
        <v>288.49740600585898</v>
      </c>
      <c r="C178" s="3">
        <v>139.08114624023401</v>
      </c>
      <c r="D178" s="3">
        <v>46.759914398193303</v>
      </c>
      <c r="E178" s="3"/>
      <c r="F178" s="1">
        <v>45855</v>
      </c>
      <c r="G178" s="4">
        <f t="shared" si="12"/>
        <v>1.427476139528272E-2</v>
      </c>
      <c r="H178" s="4">
        <f t="shared" si="13"/>
        <v>7.9403809591438446E-3</v>
      </c>
      <c r="I178" s="4">
        <f t="shared" si="14"/>
        <v>2.1507793958586818E-2</v>
      </c>
      <c r="J178" s="4">
        <f t="shared" si="15"/>
        <v>1.3910918989818399E-2</v>
      </c>
      <c r="K178" s="3"/>
      <c r="R178" s="4"/>
      <c r="V178">
        <v>175</v>
      </c>
      <c r="W178" s="4">
        <v>7.6551139458322041E-3</v>
      </c>
    </row>
    <row r="179" spans="1:23" x14ac:dyDescent="0.3">
      <c r="A179" s="1">
        <v>45856</v>
      </c>
      <c r="B179" s="3">
        <f>Data!B178</f>
        <v>289.860748291015</v>
      </c>
      <c r="C179" s="3">
        <v>139.01206970214801</v>
      </c>
      <c r="D179" s="3">
        <v>47.058254241943303</v>
      </c>
      <c r="E179" s="3"/>
      <c r="F179" s="1">
        <v>45856</v>
      </c>
      <c r="G179" s="4">
        <f t="shared" si="12"/>
        <v>4.7256656620626725E-3</v>
      </c>
      <c r="H179" s="4">
        <f t="shared" si="13"/>
        <v>-4.9666356622257712E-4</v>
      </c>
      <c r="I179" s="4">
        <f t="shared" si="14"/>
        <v>6.38024785951119E-3</v>
      </c>
      <c r="J179" s="4">
        <f t="shared" si="15"/>
        <v>3.1331086299831276E-3</v>
      </c>
      <c r="K179" s="3"/>
      <c r="R179" s="4"/>
      <c r="V179">
        <v>176</v>
      </c>
      <c r="W179" s="4">
        <v>7.7522203115981897E-3</v>
      </c>
    </row>
    <row r="180" spans="1:23" x14ac:dyDescent="0.3">
      <c r="A180" s="1">
        <v>45859</v>
      </c>
      <c r="B180" s="3">
        <f>Data!B179</f>
        <v>289.56222534179602</v>
      </c>
      <c r="C180" s="3">
        <v>138.65670776367099</v>
      </c>
      <c r="D180" s="3">
        <v>47.217369079589801</v>
      </c>
      <c r="E180" s="3"/>
      <c r="F180" s="1">
        <v>45859</v>
      </c>
      <c r="G180" s="4">
        <f t="shared" si="12"/>
        <v>-1.0298840080246174E-3</v>
      </c>
      <c r="H180" s="4">
        <f t="shared" si="13"/>
        <v>-2.5563387354667899E-3</v>
      </c>
      <c r="I180" s="4">
        <f t="shared" si="14"/>
        <v>3.3812312039547265E-3</v>
      </c>
      <c r="J180" s="4">
        <f t="shared" si="15"/>
        <v>-3.1713133540768319E-4</v>
      </c>
      <c r="K180" s="3"/>
      <c r="R180" s="4"/>
      <c r="V180">
        <v>177</v>
      </c>
      <c r="W180" s="4">
        <v>7.7911396157418385E-3</v>
      </c>
    </row>
    <row r="181" spans="1:23" x14ac:dyDescent="0.3">
      <c r="A181" s="1">
        <v>45860</v>
      </c>
      <c r="B181" s="3">
        <f>Data!B180</f>
        <v>290.01998901367102</v>
      </c>
      <c r="C181" s="3">
        <v>138.23225402832</v>
      </c>
      <c r="D181" s="3">
        <v>47.505764007568303</v>
      </c>
      <c r="E181" s="3"/>
      <c r="F181" s="1">
        <v>45860</v>
      </c>
      <c r="G181" s="4">
        <f t="shared" si="12"/>
        <v>1.5808818686022796E-3</v>
      </c>
      <c r="H181" s="4">
        <f t="shared" si="13"/>
        <v>-3.0611842888584873E-3</v>
      </c>
      <c r="I181" s="4">
        <f t="shared" si="14"/>
        <v>6.1078144250770183E-3</v>
      </c>
      <c r="J181" s="4">
        <f t="shared" si="15"/>
        <v>1.0821351725603945E-3</v>
      </c>
      <c r="K181" s="3"/>
      <c r="R181" s="4"/>
      <c r="V181">
        <v>178</v>
      </c>
      <c r="W181" s="4">
        <v>8.1690832401469134E-3</v>
      </c>
    </row>
    <row r="182" spans="1:23" x14ac:dyDescent="0.3">
      <c r="A182" s="1">
        <v>45861</v>
      </c>
      <c r="B182" s="3">
        <f>Data!B181</f>
        <v>295.32421875</v>
      </c>
      <c r="C182" s="3">
        <v>140.374252319335</v>
      </c>
      <c r="D182" s="3">
        <v>47.873714447021399</v>
      </c>
      <c r="E182" s="3"/>
      <c r="F182" s="1">
        <v>45861</v>
      </c>
      <c r="G182" s="4">
        <f t="shared" si="12"/>
        <v>1.8289186736293983E-2</v>
      </c>
      <c r="H182" s="4">
        <f t="shared" si="13"/>
        <v>1.549564756844779E-2</v>
      </c>
      <c r="I182" s="4">
        <f t="shared" si="14"/>
        <v>7.7453851577773403E-3</v>
      </c>
      <c r="J182" s="4">
        <f t="shared" si="15"/>
        <v>1.4008630595600513E-2</v>
      </c>
      <c r="K182" s="3"/>
      <c r="R182" s="4"/>
      <c r="V182">
        <v>179</v>
      </c>
      <c r="W182" s="4">
        <v>8.6085620008069068E-3</v>
      </c>
    </row>
    <row r="183" spans="1:23" x14ac:dyDescent="0.3">
      <c r="A183" s="1">
        <v>45862</v>
      </c>
      <c r="B183" s="3">
        <f>Data!B182</f>
        <v>295.11520385742102</v>
      </c>
      <c r="C183" s="3">
        <v>140.66050720214801</v>
      </c>
      <c r="D183" s="3">
        <v>48.1223335266113</v>
      </c>
      <c r="E183" s="3"/>
      <c r="F183" s="1">
        <v>45862</v>
      </c>
      <c r="G183" s="4">
        <f t="shared" si="12"/>
        <v>-7.0774721241506633E-4</v>
      </c>
      <c r="H183" s="4">
        <f t="shared" si="13"/>
        <v>2.0392264114206249E-3</v>
      </c>
      <c r="I183" s="4">
        <f t="shared" si="14"/>
        <v>5.1932272743329122E-3</v>
      </c>
      <c r="J183" s="4">
        <f t="shared" si="15"/>
        <v>2.1613345831436037E-3</v>
      </c>
      <c r="K183" s="3"/>
      <c r="R183" s="4"/>
      <c r="V183">
        <v>180</v>
      </c>
      <c r="W183" s="4">
        <v>8.763378139591738E-3</v>
      </c>
    </row>
    <row r="184" spans="1:23" x14ac:dyDescent="0.3">
      <c r="A184" s="1">
        <v>45863</v>
      </c>
      <c r="B184" s="3">
        <f>Data!B183</f>
        <v>297.175201416015</v>
      </c>
      <c r="C184" s="3">
        <v>141.16392517089801</v>
      </c>
      <c r="D184" s="3">
        <v>48.182003021240199</v>
      </c>
      <c r="E184" s="3"/>
      <c r="F184" s="1">
        <v>45863</v>
      </c>
      <c r="G184" s="4">
        <f t="shared" si="12"/>
        <v>6.9803166074400291E-3</v>
      </c>
      <c r="H184" s="4">
        <f t="shared" si="13"/>
        <v>3.5789574398912283E-3</v>
      </c>
      <c r="I184" s="4">
        <f t="shared" si="14"/>
        <v>1.2399543051233586E-3</v>
      </c>
      <c r="J184" s="4">
        <f t="shared" si="15"/>
        <v>3.897664249725508E-3</v>
      </c>
      <c r="K184" s="3"/>
      <c r="R184" s="4"/>
      <c r="V184">
        <v>181</v>
      </c>
      <c r="W184" s="4">
        <v>8.8582776803485929E-3</v>
      </c>
    </row>
    <row r="185" spans="1:23" x14ac:dyDescent="0.3">
      <c r="A185" s="1">
        <v>45866</v>
      </c>
      <c r="B185" s="3">
        <f>Data!B184</f>
        <v>296.83685302734301</v>
      </c>
      <c r="C185" s="3">
        <v>140.7197265625</v>
      </c>
      <c r="D185" s="3">
        <v>47.963218688964801</v>
      </c>
      <c r="E185" s="3"/>
      <c r="F185" s="1">
        <v>45866</v>
      </c>
      <c r="G185" s="4">
        <f t="shared" si="12"/>
        <v>-1.1385485298227582E-3</v>
      </c>
      <c r="H185" s="4">
        <f t="shared" si="13"/>
        <v>-3.1466864346556545E-3</v>
      </c>
      <c r="I185" s="4">
        <f t="shared" si="14"/>
        <v>-4.5407894764970536E-3</v>
      </c>
      <c r="J185" s="4">
        <f t="shared" si="15"/>
        <v>-2.9624759757582056E-3</v>
      </c>
      <c r="K185" s="3"/>
      <c r="R185" s="4"/>
      <c r="V185">
        <v>182</v>
      </c>
      <c r="W185" s="4">
        <v>9.2682546978078532E-3</v>
      </c>
    </row>
    <row r="186" spans="1:23" x14ac:dyDescent="0.3">
      <c r="A186" s="1">
        <v>45867</v>
      </c>
      <c r="B186" s="3">
        <f>Data!B185</f>
        <v>295.60287475585898</v>
      </c>
      <c r="C186" s="3">
        <v>141.70681762695301</v>
      </c>
      <c r="D186" s="3">
        <v>47.684768676757798</v>
      </c>
      <c r="E186" s="3"/>
      <c r="F186" s="1">
        <v>45867</v>
      </c>
      <c r="G186" s="4">
        <f t="shared" si="12"/>
        <v>-4.1570925540379555E-3</v>
      </c>
      <c r="H186" s="4">
        <f t="shared" si="13"/>
        <v>7.014589130931892E-3</v>
      </c>
      <c r="I186" s="4">
        <f t="shared" si="14"/>
        <v>-5.8054905366696774E-3</v>
      </c>
      <c r="J186" s="4">
        <f t="shared" si="15"/>
        <v>-1.8293927483953288E-4</v>
      </c>
      <c r="K186" s="3"/>
      <c r="R186" s="4"/>
      <c r="V186">
        <v>183</v>
      </c>
      <c r="W186" s="4">
        <v>9.4260444420395384E-3</v>
      </c>
    </row>
    <row r="187" spans="1:23" x14ac:dyDescent="0.3">
      <c r="A187" s="1">
        <v>45868</v>
      </c>
      <c r="B187" s="3">
        <f>Data!B186</f>
        <v>298.18032836914</v>
      </c>
      <c r="C187" s="3">
        <v>143.06900024414</v>
      </c>
      <c r="D187" s="3">
        <v>47.694713592529297</v>
      </c>
      <c r="E187" s="3"/>
      <c r="F187" s="1">
        <v>45868</v>
      </c>
      <c r="G187" s="4">
        <f t="shared" si="12"/>
        <v>8.7193117300017331E-3</v>
      </c>
      <c r="H187" s="4">
        <f t="shared" si="13"/>
        <v>9.6126822971422943E-3</v>
      </c>
      <c r="I187" s="4">
        <f t="shared" si="14"/>
        <v>2.0855539509723187E-4</v>
      </c>
      <c r="J187" s="4">
        <f t="shared" si="15"/>
        <v>6.5234330563866075E-3</v>
      </c>
      <c r="K187" s="3"/>
      <c r="R187" s="4"/>
      <c r="V187">
        <v>184</v>
      </c>
      <c r="W187" s="4">
        <v>9.5650073187192996E-3</v>
      </c>
    </row>
    <row r="188" spans="1:23" x14ac:dyDescent="0.3">
      <c r="A188" s="1">
        <v>45869</v>
      </c>
      <c r="B188" s="3">
        <f>Data!B187</f>
        <v>294.80670166015602</v>
      </c>
      <c r="C188" s="3">
        <v>141.59797668457</v>
      </c>
      <c r="D188" s="3">
        <v>47.008529663085902</v>
      </c>
      <c r="E188" s="3"/>
      <c r="F188" s="1">
        <v>45869</v>
      </c>
      <c r="G188" s="4">
        <f t="shared" si="12"/>
        <v>-1.1314048540477573E-2</v>
      </c>
      <c r="H188" s="4">
        <f t="shared" si="13"/>
        <v>-1.0281916816779146E-2</v>
      </c>
      <c r="I188" s="4">
        <f t="shared" si="14"/>
        <v>-1.438700178190977E-2</v>
      </c>
      <c r="J188" s="4">
        <f t="shared" si="15"/>
        <v>-1.1823081823427862E-2</v>
      </c>
      <c r="K188" s="3"/>
      <c r="R188" s="4"/>
      <c r="V188">
        <v>185</v>
      </c>
      <c r="W188" s="4">
        <v>9.6093635834482612E-3</v>
      </c>
    </row>
    <row r="189" spans="1:23" x14ac:dyDescent="0.3">
      <c r="A189" s="1">
        <v>45870</v>
      </c>
      <c r="B189" s="3">
        <f>Data!B188</f>
        <v>287.969970703125</v>
      </c>
      <c r="C189" s="3">
        <v>138.24835205078099</v>
      </c>
      <c r="D189" s="3">
        <v>45.407436370849602</v>
      </c>
      <c r="E189" s="3"/>
      <c r="F189" s="1">
        <v>45870</v>
      </c>
      <c r="G189" s="4">
        <f t="shared" si="12"/>
        <v>-2.3190554755136428E-2</v>
      </c>
      <c r="H189" s="4">
        <f t="shared" si="13"/>
        <v>-2.3655879216768594E-2</v>
      </c>
      <c r="I189" s="4">
        <f t="shared" si="14"/>
        <v>-3.4059633511438703E-2</v>
      </c>
      <c r="J189" s="4">
        <f t="shared" si="15"/>
        <v>-2.6637408166679977E-2</v>
      </c>
      <c r="K189" s="3"/>
      <c r="R189" s="4"/>
      <c r="V189">
        <v>186</v>
      </c>
      <c r="W189" s="4">
        <v>1.020704916397619E-2</v>
      </c>
    </row>
    <row r="190" spans="1:23" x14ac:dyDescent="0.3">
      <c r="A190" s="1">
        <v>45873</v>
      </c>
      <c r="B190" s="3">
        <f>Data!B189</f>
        <v>292.83630371093699</v>
      </c>
      <c r="C190" s="3">
        <v>140.504623413085</v>
      </c>
      <c r="D190" s="3">
        <v>45.596382141113203</v>
      </c>
      <c r="E190" s="3"/>
      <c r="F190" s="1">
        <v>45873</v>
      </c>
      <c r="G190" s="4">
        <f t="shared" si="12"/>
        <v>1.6898751616114982E-2</v>
      </c>
      <c r="H190" s="4">
        <f t="shared" si="13"/>
        <v>1.6320421392619799E-2</v>
      </c>
      <c r="I190" s="4">
        <f t="shared" si="14"/>
        <v>4.1611195294191106E-3</v>
      </c>
      <c r="J190" s="4">
        <f t="shared" si="15"/>
        <v>1.2846129900708146E-2</v>
      </c>
      <c r="K190" s="3"/>
      <c r="R190" s="4"/>
      <c r="V190">
        <v>187</v>
      </c>
      <c r="W190" s="4">
        <v>1.0335214849866881E-2</v>
      </c>
    </row>
    <row r="191" spans="1:23" x14ac:dyDescent="0.3">
      <c r="A191" s="1">
        <v>45874</v>
      </c>
      <c r="B191" s="3">
        <f>Data!B190</f>
        <v>289.96026611328102</v>
      </c>
      <c r="C191" s="3">
        <v>139.61007690429599</v>
      </c>
      <c r="D191" s="3">
        <v>45.307991027832003</v>
      </c>
      <c r="E191" s="3"/>
      <c r="F191" s="1">
        <v>45874</v>
      </c>
      <c r="G191" s="4">
        <f t="shared" si="12"/>
        <v>-9.8213150528458915E-3</v>
      </c>
      <c r="H191" s="4">
        <f t="shared" si="13"/>
        <v>-6.3666695590438582E-3</v>
      </c>
      <c r="I191" s="4">
        <f t="shared" si="14"/>
        <v>-6.3248683281204032E-3</v>
      </c>
      <c r="J191" s="4">
        <f t="shared" si="15"/>
        <v>-7.390522837907431E-3</v>
      </c>
      <c r="K191" s="3"/>
      <c r="R191" s="4"/>
      <c r="V191">
        <v>188</v>
      </c>
      <c r="W191" s="4">
        <v>1.0513522933747764E-2</v>
      </c>
    </row>
    <row r="192" spans="1:23" x14ac:dyDescent="0.3">
      <c r="A192" s="1">
        <v>45875</v>
      </c>
      <c r="B192" s="3">
        <f>Data!B191</f>
        <v>289.94039916992102</v>
      </c>
      <c r="C192" s="3">
        <v>140.44499206542901</v>
      </c>
      <c r="D192" s="3">
        <v>45.1687622070312</v>
      </c>
      <c r="E192" s="3"/>
      <c r="F192" s="1">
        <v>45875</v>
      </c>
      <c r="G192" s="4">
        <f t="shared" si="12"/>
        <v>-6.8516088863823654E-5</v>
      </c>
      <c r="H192" s="4">
        <f t="shared" si="13"/>
        <v>5.9803359445562698E-3</v>
      </c>
      <c r="I192" s="4">
        <f t="shared" si="14"/>
        <v>-3.072941828634046E-3</v>
      </c>
      <c r="J192" s="4">
        <f t="shared" si="15"/>
        <v>1.4496970025731472E-3</v>
      </c>
      <c r="K192" s="3"/>
      <c r="R192" s="4"/>
      <c r="V192">
        <v>189</v>
      </c>
      <c r="W192" s="4">
        <v>1.0513563978176819E-2</v>
      </c>
    </row>
    <row r="193" spans="1:23" x14ac:dyDescent="0.3">
      <c r="A193" s="1">
        <v>45876</v>
      </c>
      <c r="B193" s="3">
        <f>Data!B192</f>
        <v>285.55172729492102</v>
      </c>
      <c r="C193" s="3">
        <v>140.06727600097599</v>
      </c>
      <c r="D193" s="3">
        <v>44.6715278625488</v>
      </c>
      <c r="E193" s="3"/>
      <c r="F193" s="1">
        <v>45876</v>
      </c>
      <c r="G193" s="4">
        <f t="shared" si="12"/>
        <v>-1.5136462140372453E-2</v>
      </c>
      <c r="H193" s="4">
        <f t="shared" si="13"/>
        <v>-2.6894235166252667E-3</v>
      </c>
      <c r="I193" s="4">
        <f t="shared" si="14"/>
        <v>-1.1008367734394064E-2</v>
      </c>
      <c r="J193" s="4">
        <f t="shared" si="15"/>
        <v>-8.9192183690800612E-3</v>
      </c>
      <c r="K193" s="3"/>
      <c r="R193" s="4"/>
      <c r="V193">
        <v>190</v>
      </c>
      <c r="W193" s="4">
        <v>1.0540459236635113E-2</v>
      </c>
    </row>
    <row r="194" spans="1:23" x14ac:dyDescent="0.3">
      <c r="A194" s="1">
        <v>45877</v>
      </c>
      <c r="B194" s="3">
        <f>Data!B193</f>
        <v>287.36291503906199</v>
      </c>
      <c r="C194" s="3">
        <v>142.31359863281199</v>
      </c>
      <c r="D194" s="3">
        <v>45.755496978759702</v>
      </c>
      <c r="E194" s="3"/>
      <c r="F194" s="1">
        <v>45877</v>
      </c>
      <c r="G194" s="4">
        <f t="shared" si="12"/>
        <v>6.3427658494614736E-3</v>
      </c>
      <c r="H194" s="4">
        <f t="shared" si="13"/>
        <v>1.603745497142639E-2</v>
      </c>
      <c r="I194" s="4">
        <f t="shared" si="14"/>
        <v>2.4265324426471446E-2</v>
      </c>
      <c r="J194" s="4">
        <f t="shared" si="15"/>
        <v>1.5597409071350432E-2</v>
      </c>
      <c r="K194" s="3"/>
      <c r="R194" s="4"/>
      <c r="V194">
        <v>191</v>
      </c>
      <c r="W194" s="4">
        <v>1.0830813648249716E-2</v>
      </c>
    </row>
    <row r="195" spans="1:23" x14ac:dyDescent="0.3">
      <c r="A195" s="1">
        <v>45880</v>
      </c>
      <c r="B195" s="3">
        <f>Data!B194</f>
        <v>288.15902709960898</v>
      </c>
      <c r="C195" s="3">
        <v>143.00938415527301</v>
      </c>
      <c r="D195" s="3">
        <v>45.904670715332003</v>
      </c>
      <c r="E195" s="3"/>
      <c r="F195" s="1">
        <v>45880</v>
      </c>
      <c r="G195" s="4">
        <f t="shared" si="12"/>
        <v>2.7704064055682487E-3</v>
      </c>
      <c r="H195" s="4">
        <f t="shared" si="13"/>
        <v>4.8891007545683873E-3</v>
      </c>
      <c r="I195" s="4">
        <f t="shared" si="14"/>
        <v>3.2602363961109493E-3</v>
      </c>
      <c r="J195" s="4">
        <f t="shared" si="15"/>
        <v>3.7648331423311143E-3</v>
      </c>
      <c r="K195" s="3"/>
      <c r="R195" s="4"/>
      <c r="V195">
        <v>192</v>
      </c>
      <c r="W195" s="4">
        <v>1.097363144863963E-2</v>
      </c>
    </row>
    <row r="196" spans="1:23" x14ac:dyDescent="0.3">
      <c r="A196" s="1">
        <v>45881</v>
      </c>
      <c r="B196" s="3">
        <f>Data!B195</f>
        <v>291.43313598632801</v>
      </c>
      <c r="C196" s="3">
        <v>146.39872741699199</v>
      </c>
      <c r="D196" s="3">
        <v>47.237258911132798</v>
      </c>
      <c r="E196" s="3"/>
      <c r="F196" s="1">
        <v>45881</v>
      </c>
      <c r="G196" s="4">
        <f t="shared" si="12"/>
        <v>1.1362159706304276E-2</v>
      </c>
      <c r="H196" s="4">
        <f t="shared" si="13"/>
        <v>2.3700145845247267E-2</v>
      </c>
      <c r="I196" s="4">
        <f t="shared" si="14"/>
        <v>2.9029468571173389E-2</v>
      </c>
      <c r="J196" s="4">
        <f t="shared" si="15"/>
        <v>2.1597546821342205E-2</v>
      </c>
      <c r="K196" s="3"/>
      <c r="R196" s="4"/>
      <c r="V196">
        <v>193</v>
      </c>
      <c r="W196" s="4">
        <v>1.1062914796688618E-2</v>
      </c>
    </row>
    <row r="197" spans="1:23" x14ac:dyDescent="0.3">
      <c r="A197" s="1">
        <v>45882</v>
      </c>
      <c r="B197" s="3">
        <f>Data!B196</f>
        <v>289.12435913085898</v>
      </c>
      <c r="C197" s="3">
        <v>146.86589050292901</v>
      </c>
      <c r="D197" s="3">
        <v>46.9786987304687</v>
      </c>
      <c r="E197" s="3"/>
      <c r="F197" s="1">
        <v>45882</v>
      </c>
      <c r="G197" s="4">
        <f t="shared" ref="G197:G252" si="16">B197/B196-1</f>
        <v>-7.9221494414325466E-3</v>
      </c>
      <c r="H197" s="4">
        <f t="shared" ref="H197:H252" si="17">C197/C196-1</f>
        <v>3.1910324234334375E-3</v>
      </c>
      <c r="I197" s="4">
        <f t="shared" ref="I197:I252" si="18">D197/D196-1</f>
        <v>-5.4736491198722481E-3</v>
      </c>
      <c r="J197" s="4">
        <f t="shared" ref="J197:J252" si="19">SUMPRODUCT(G197:I197,$M$4:$O$4)</f>
        <v>-2.7423265990180632E-3</v>
      </c>
      <c r="K197" s="3"/>
      <c r="R197" s="4"/>
      <c r="V197">
        <v>194</v>
      </c>
      <c r="W197" s="4">
        <v>1.1129150916012255E-2</v>
      </c>
    </row>
    <row r="198" spans="1:23" x14ac:dyDescent="0.3">
      <c r="A198" s="1">
        <v>45883</v>
      </c>
      <c r="B198" s="3">
        <f>Data!B197</f>
        <v>292.73678588867102</v>
      </c>
      <c r="C198" s="3">
        <v>147.61135864257801</v>
      </c>
      <c r="D198" s="3">
        <v>47.446094512939403</v>
      </c>
      <c r="E198" s="3"/>
      <c r="F198" s="1">
        <v>45883</v>
      </c>
      <c r="G198" s="4">
        <f t="shared" si="16"/>
        <v>1.2494370134261246E-2</v>
      </c>
      <c r="H198" s="4">
        <f t="shared" si="17"/>
        <v>5.075842573767142E-3</v>
      </c>
      <c r="I198" s="4">
        <f t="shared" si="18"/>
        <v>9.9491002326883571E-3</v>
      </c>
      <c r="J198" s="4">
        <f t="shared" si="19"/>
        <v>8.763378139591738E-3</v>
      </c>
      <c r="K198" s="3"/>
      <c r="R198" s="4"/>
      <c r="V198">
        <v>195</v>
      </c>
      <c r="W198" s="4">
        <v>1.1164971518618505E-2</v>
      </c>
    </row>
    <row r="199" spans="1:23" x14ac:dyDescent="0.3">
      <c r="A199" s="1">
        <v>45884</v>
      </c>
      <c r="B199" s="3">
        <f>Data!B198</f>
        <v>289.08453369140602</v>
      </c>
      <c r="C199" s="3">
        <v>143.75483703613199</v>
      </c>
      <c r="D199" s="3">
        <v>46.680355072021399</v>
      </c>
      <c r="E199" s="3"/>
      <c r="F199" s="1">
        <v>45884</v>
      </c>
      <c r="G199" s="4">
        <f t="shared" si="16"/>
        <v>-1.2476232483655036E-2</v>
      </c>
      <c r="H199" s="4">
        <f t="shared" si="17"/>
        <v>-2.6126184610115954E-2</v>
      </c>
      <c r="I199" s="4">
        <f t="shared" si="18"/>
        <v>-1.6139145882896111E-2</v>
      </c>
      <c r="J199" s="4">
        <f t="shared" si="19"/>
        <v>-1.9035087354011729E-2</v>
      </c>
      <c r="K199" s="3"/>
      <c r="R199" s="4"/>
      <c r="V199">
        <v>196</v>
      </c>
      <c r="W199" s="4">
        <v>1.1227739788862757E-2</v>
      </c>
    </row>
    <row r="200" spans="1:23" x14ac:dyDescent="0.3">
      <c r="A200" s="1">
        <v>45887</v>
      </c>
      <c r="B200" s="3">
        <f>Data!B199</f>
        <v>290.11950683593699</v>
      </c>
      <c r="C200" s="3">
        <v>143.90393066406199</v>
      </c>
      <c r="D200" s="3">
        <v>47.654933929443303</v>
      </c>
      <c r="E200" s="3"/>
      <c r="F200" s="1">
        <v>45887</v>
      </c>
      <c r="G200" s="4">
        <f t="shared" si="16"/>
        <v>3.5801747375243664E-3</v>
      </c>
      <c r="H200" s="4">
        <f t="shared" si="17"/>
        <v>1.0371381652536371E-3</v>
      </c>
      <c r="I200" s="4">
        <f t="shared" si="18"/>
        <v>2.0877708747464752E-2</v>
      </c>
      <c r="J200" s="4">
        <f t="shared" si="19"/>
        <v>7.7522203115981897E-3</v>
      </c>
      <c r="K200" s="3"/>
      <c r="R200" s="4"/>
      <c r="V200">
        <v>197</v>
      </c>
      <c r="W200" s="4">
        <v>1.1340814473478476E-2</v>
      </c>
    </row>
    <row r="201" spans="1:23" x14ac:dyDescent="0.3">
      <c r="A201" s="1">
        <v>45888</v>
      </c>
      <c r="B201" s="3">
        <f>Data!B200</f>
        <v>289.25372314453102</v>
      </c>
      <c r="C201" s="3">
        <v>143.19822692871</v>
      </c>
      <c r="D201" s="3">
        <v>47.814048767089801</v>
      </c>
      <c r="E201" s="3"/>
      <c r="F201" s="1">
        <v>45888</v>
      </c>
      <c r="G201" s="4">
        <f t="shared" si="16"/>
        <v>-2.9842312254293457E-3</v>
      </c>
      <c r="H201" s="4">
        <f t="shared" si="17"/>
        <v>-4.9039920737080633E-3</v>
      </c>
      <c r="I201" s="4">
        <f t="shared" si="18"/>
        <v>3.3388953572379698E-3</v>
      </c>
      <c r="J201" s="4">
        <f t="shared" si="19"/>
        <v>-1.8551975899406385E-3</v>
      </c>
      <c r="K201" s="3"/>
      <c r="R201" s="4"/>
      <c r="V201">
        <v>198</v>
      </c>
      <c r="W201" s="4">
        <v>1.1342491121478138E-2</v>
      </c>
    </row>
    <row r="202" spans="1:23" x14ac:dyDescent="0.3">
      <c r="A202" s="1">
        <v>45889</v>
      </c>
      <c r="B202" s="3">
        <f>Data!B201</f>
        <v>290.826080322265</v>
      </c>
      <c r="C202" s="3">
        <v>143.24790954589801</v>
      </c>
      <c r="D202" s="3">
        <v>48.082553863525298</v>
      </c>
      <c r="E202" s="3"/>
      <c r="F202" s="1">
        <v>45889</v>
      </c>
      <c r="G202" s="4">
        <f t="shared" si="16"/>
        <v>5.4359099016620949E-3</v>
      </c>
      <c r="H202" s="4">
        <f t="shared" si="17"/>
        <v>3.4694994661310652E-4</v>
      </c>
      <c r="I202" s="4">
        <f t="shared" si="18"/>
        <v>5.6156109628664463E-3</v>
      </c>
      <c r="J202" s="4">
        <f t="shared" si="19"/>
        <v>3.4542362380038049E-3</v>
      </c>
      <c r="K202" s="3"/>
      <c r="R202" s="4"/>
      <c r="V202">
        <v>199</v>
      </c>
      <c r="W202" s="4">
        <v>1.1545391510820324E-2</v>
      </c>
    </row>
    <row r="203" spans="1:23" x14ac:dyDescent="0.3">
      <c r="A203" s="1">
        <v>45890</v>
      </c>
      <c r="B203" s="3">
        <f>Data!B202</f>
        <v>290.059814453125</v>
      </c>
      <c r="C203" s="3">
        <v>143.16839599609301</v>
      </c>
      <c r="D203" s="3">
        <v>47.993049621582003</v>
      </c>
      <c r="E203" s="3"/>
      <c r="F203" s="1">
        <v>45890</v>
      </c>
      <c r="G203" s="4">
        <f t="shared" si="16"/>
        <v>-2.6347907597932263E-3</v>
      </c>
      <c r="H203" s="4">
        <f t="shared" si="17"/>
        <v>-5.5507651076414088E-4</v>
      </c>
      <c r="I203" s="4">
        <f t="shared" si="18"/>
        <v>-1.8614702163561869E-3</v>
      </c>
      <c r="J203" s="4">
        <f t="shared" si="19"/>
        <v>-1.5709088971504804E-3</v>
      </c>
      <c r="K203" s="3"/>
      <c r="R203" s="4"/>
      <c r="V203">
        <v>200</v>
      </c>
      <c r="W203" s="4">
        <v>1.1674086419424599E-2</v>
      </c>
    </row>
    <row r="204" spans="1:23" x14ac:dyDescent="0.3">
      <c r="A204" s="1">
        <v>45891</v>
      </c>
      <c r="B204" s="3">
        <f>Data!B203</f>
        <v>294.80670166015602</v>
      </c>
      <c r="C204" s="3">
        <v>147.12432861328099</v>
      </c>
      <c r="D204" s="3">
        <v>49.206302642822202</v>
      </c>
      <c r="E204" s="3"/>
      <c r="F204" s="1">
        <v>45891</v>
      </c>
      <c r="G204" s="4">
        <f t="shared" si="16"/>
        <v>1.6365201143015096E-2</v>
      </c>
      <c r="H204" s="4">
        <f t="shared" si="17"/>
        <v>2.7631325961743336E-2</v>
      </c>
      <c r="I204" s="4">
        <f t="shared" si="18"/>
        <v>2.5279765107792063E-2</v>
      </c>
      <c r="J204" s="4">
        <f t="shared" si="19"/>
        <v>2.3546020259939481E-2</v>
      </c>
      <c r="K204" s="3"/>
      <c r="R204" s="4"/>
      <c r="V204">
        <v>201</v>
      </c>
      <c r="W204" s="4">
        <v>1.1978067776524836E-2</v>
      </c>
    </row>
    <row r="205" spans="1:23" x14ac:dyDescent="0.3">
      <c r="A205" s="1">
        <v>45894</v>
      </c>
      <c r="B205" s="3">
        <f>Data!B204</f>
        <v>293.47320556640602</v>
      </c>
      <c r="C205" s="3">
        <v>146.75656127929599</v>
      </c>
      <c r="D205" s="3">
        <v>49.206302642822202</v>
      </c>
      <c r="E205" s="3"/>
      <c r="F205" s="1">
        <v>45894</v>
      </c>
      <c r="G205" s="4">
        <f t="shared" si="16"/>
        <v>-4.523289620760429E-3</v>
      </c>
      <c r="H205" s="4">
        <f t="shared" si="17"/>
        <v>-2.4997044163354021E-3</v>
      </c>
      <c r="I205" s="4">
        <f t="shared" si="18"/>
        <v>0</v>
      </c>
      <c r="J205" s="4">
        <f t="shared" si="19"/>
        <v>-2.3568686527622893E-3</v>
      </c>
      <c r="K205" s="3"/>
      <c r="R205" s="4"/>
      <c r="V205">
        <v>202</v>
      </c>
      <c r="W205" s="4">
        <v>1.2078101042642864E-2</v>
      </c>
    </row>
    <row r="206" spans="1:23" x14ac:dyDescent="0.3">
      <c r="A206" s="1">
        <v>45895</v>
      </c>
      <c r="B206" s="3">
        <f>Data!B205</f>
        <v>297.12545776367102</v>
      </c>
      <c r="C206" s="3">
        <v>148.06857299804599</v>
      </c>
      <c r="D206" s="3">
        <v>49.9720458984375</v>
      </c>
      <c r="E206" s="3"/>
      <c r="F206" s="1">
        <v>45895</v>
      </c>
      <c r="G206" s="4">
        <f t="shared" si="16"/>
        <v>1.2444925560465059E-2</v>
      </c>
      <c r="H206" s="4">
        <f t="shared" si="17"/>
        <v>8.9400549271052565E-3</v>
      </c>
      <c r="I206" s="4">
        <f t="shared" si="18"/>
        <v>1.5561893791810721E-2</v>
      </c>
      <c r="J206" s="4">
        <f t="shared" si="19"/>
        <v>1.1978067776524836E-2</v>
      </c>
      <c r="K206" s="3"/>
      <c r="R206" s="4"/>
      <c r="V206">
        <v>203</v>
      </c>
      <c r="W206" s="4">
        <v>1.2658504183126328E-2</v>
      </c>
    </row>
    <row r="207" spans="1:23" x14ac:dyDescent="0.3">
      <c r="A207" s="1">
        <v>45896</v>
      </c>
      <c r="B207" s="3">
        <f>Data!B206</f>
        <v>297.83200073242102</v>
      </c>
      <c r="C207" s="3">
        <v>148.47608947753901</v>
      </c>
      <c r="D207" s="3">
        <v>50.101325988769503</v>
      </c>
      <c r="E207" s="3"/>
      <c r="F207" s="1">
        <v>45896</v>
      </c>
      <c r="G207" s="4">
        <f t="shared" si="16"/>
        <v>2.3779280781519585E-3</v>
      </c>
      <c r="H207" s="4">
        <f t="shared" si="17"/>
        <v>2.7522145398024556E-3</v>
      </c>
      <c r="I207" s="4">
        <f t="shared" si="18"/>
        <v>2.5870481787908517E-3</v>
      </c>
      <c r="J207" s="4">
        <f t="shared" si="19"/>
        <v>2.5903786930038253E-3</v>
      </c>
      <c r="K207" s="3"/>
      <c r="R207" s="4"/>
      <c r="V207">
        <v>204</v>
      </c>
      <c r="W207" s="4">
        <v>1.2730142194798243E-2</v>
      </c>
    </row>
    <row r="208" spans="1:23" x14ac:dyDescent="0.3">
      <c r="A208" s="1">
        <v>45897</v>
      </c>
      <c r="B208" s="3">
        <f>Data!B207</f>
        <v>299.61337280273398</v>
      </c>
      <c r="C208" s="3">
        <v>149.271240234375</v>
      </c>
      <c r="D208" s="3">
        <v>50.210720062255803</v>
      </c>
      <c r="E208" s="3"/>
      <c r="F208" s="1">
        <v>45897</v>
      </c>
      <c r="G208" s="4">
        <f t="shared" si="16"/>
        <v>5.981130523020628E-3</v>
      </c>
      <c r="H208" s="4">
        <f t="shared" si="17"/>
        <v>5.355412845489127E-3</v>
      </c>
      <c r="I208" s="4">
        <f t="shared" si="18"/>
        <v>2.1834566516427678E-3</v>
      </c>
      <c r="J208" s="4">
        <f t="shared" si="19"/>
        <v>4.5915412905946692E-3</v>
      </c>
      <c r="K208" s="3"/>
      <c r="R208" s="4"/>
      <c r="V208">
        <v>205</v>
      </c>
      <c r="W208" s="4">
        <v>1.2774757699189832E-2</v>
      </c>
    </row>
    <row r="209" spans="1:23" x14ac:dyDescent="0.3">
      <c r="A209" s="1">
        <v>45898</v>
      </c>
      <c r="B209" s="3">
        <f>Data!B208</f>
        <v>299.961669921875</v>
      </c>
      <c r="C209" s="3">
        <v>149.56942749023401</v>
      </c>
      <c r="D209" s="3">
        <v>50.459335327148402</v>
      </c>
      <c r="E209" s="3"/>
      <c r="F209" s="1">
        <v>45898</v>
      </c>
      <c r="G209" s="4">
        <f t="shared" si="16"/>
        <v>1.1624885627863346E-3</v>
      </c>
      <c r="H209" s="4">
        <f t="shared" si="17"/>
        <v>1.9976202742792992E-3</v>
      </c>
      <c r="I209" s="4">
        <f t="shared" si="18"/>
        <v>4.9514379515838147E-3</v>
      </c>
      <c r="J209" s="4">
        <f t="shared" si="19"/>
        <v>2.6332260640227643E-3</v>
      </c>
      <c r="K209" s="3"/>
      <c r="R209" s="4"/>
      <c r="V209">
        <v>206</v>
      </c>
      <c r="W209" s="4">
        <v>1.2846129900708146E-2</v>
      </c>
    </row>
    <row r="210" spans="1:23" x14ac:dyDescent="0.3">
      <c r="A210" s="1">
        <v>45902</v>
      </c>
      <c r="B210" s="3">
        <f>Data!B209</f>
        <v>298.25</v>
      </c>
      <c r="C210" s="3">
        <v>147.94931030273401</v>
      </c>
      <c r="D210" s="3">
        <v>50.141101837158203</v>
      </c>
      <c r="E210" s="3"/>
      <c r="F210" s="1">
        <v>45902</v>
      </c>
      <c r="G210" s="4">
        <f t="shared" si="16"/>
        <v>-5.7062954820887857E-3</v>
      </c>
      <c r="H210" s="4">
        <f t="shared" si="17"/>
        <v>-1.0831873964388783E-2</v>
      </c>
      <c r="I210" s="4">
        <f t="shared" si="18"/>
        <v>-6.3067317063723038E-3</v>
      </c>
      <c r="J210" s="4">
        <f t="shared" si="19"/>
        <v>-7.9366577422938407E-3</v>
      </c>
      <c r="K210" s="3"/>
      <c r="R210" s="4"/>
      <c r="V210">
        <v>207</v>
      </c>
      <c r="W210" s="4">
        <v>1.3059097343462089E-2</v>
      </c>
    </row>
    <row r="211" spans="1:23" x14ac:dyDescent="0.3">
      <c r="A211" s="1">
        <v>45903</v>
      </c>
      <c r="B211" s="3">
        <f>Data!B210</f>
        <v>298.06091308593699</v>
      </c>
      <c r="C211" s="3">
        <v>147.63124084472599</v>
      </c>
      <c r="D211" s="3">
        <v>49.783096313476499</v>
      </c>
      <c r="E211" s="3"/>
      <c r="F211" s="1">
        <v>45903</v>
      </c>
      <c r="G211" s="4">
        <f t="shared" si="16"/>
        <v>-6.3398797674107943E-4</v>
      </c>
      <c r="H211" s="4">
        <f t="shared" si="17"/>
        <v>-2.1498542802070864E-3</v>
      </c>
      <c r="I211" s="4">
        <f t="shared" si="18"/>
        <v>-7.1399612406681801E-3</v>
      </c>
      <c r="J211" s="4">
        <f t="shared" si="19"/>
        <v>-3.1921264773056126E-3</v>
      </c>
      <c r="K211" s="3"/>
      <c r="R211" s="4"/>
      <c r="V211">
        <v>208</v>
      </c>
      <c r="W211" s="4">
        <v>1.3642698417735178E-2</v>
      </c>
    </row>
    <row r="212" spans="1:23" x14ac:dyDescent="0.3">
      <c r="A212" s="1">
        <v>45904</v>
      </c>
      <c r="B212" s="3">
        <f>Data!B211</f>
        <v>302.35006713867102</v>
      </c>
      <c r="C212" s="3">
        <v>149.61912536621</v>
      </c>
      <c r="D212" s="3">
        <v>50.339996337890597</v>
      </c>
      <c r="E212" s="3"/>
      <c r="F212" s="1">
        <v>45904</v>
      </c>
      <c r="G212" s="4">
        <f t="shared" si="16"/>
        <v>1.4390192958636527E-2</v>
      </c>
      <c r="H212" s="4">
        <f t="shared" si="17"/>
        <v>1.3465202284486555E-2</v>
      </c>
      <c r="I212" s="4">
        <f t="shared" si="18"/>
        <v>1.1186528473588364E-2</v>
      </c>
      <c r="J212" s="4">
        <f t="shared" si="19"/>
        <v>1.3059097343462089E-2</v>
      </c>
      <c r="K212" s="3"/>
      <c r="R212" s="4"/>
      <c r="V212">
        <v>209</v>
      </c>
      <c r="W212" s="4">
        <v>1.3783539868950912E-2</v>
      </c>
    </row>
    <row r="213" spans="1:23" x14ac:dyDescent="0.3">
      <c r="A213" s="1">
        <v>45905</v>
      </c>
      <c r="B213" s="3">
        <f>Data!B212</f>
        <v>292.95571899414</v>
      </c>
      <c r="C213" s="3">
        <v>147.19389343261699</v>
      </c>
      <c r="D213" s="3">
        <v>49.770000457763601</v>
      </c>
      <c r="E213" s="3"/>
      <c r="F213" s="1">
        <v>45905</v>
      </c>
      <c r="G213" s="4">
        <f t="shared" si="16"/>
        <v>-3.1071096604792126E-2</v>
      </c>
      <c r="H213" s="4">
        <f t="shared" si="17"/>
        <v>-1.6209371145947893E-2</v>
      </c>
      <c r="I213" s="4">
        <f t="shared" si="18"/>
        <v>-1.1322922558458015E-2</v>
      </c>
      <c r="J213" s="4">
        <f t="shared" si="19"/>
        <v>-1.92019542073542E-2</v>
      </c>
      <c r="K213" s="3"/>
      <c r="R213" s="4"/>
      <c r="V213">
        <v>210</v>
      </c>
      <c r="W213" s="4">
        <v>1.3910918989818399E-2</v>
      </c>
    </row>
    <row r="214" spans="1:23" x14ac:dyDescent="0.3">
      <c r="A214" s="1">
        <v>45908</v>
      </c>
      <c r="B214" s="3">
        <f>Data!B213</f>
        <v>291.49282836914</v>
      </c>
      <c r="C214" s="3">
        <v>147.8896484375</v>
      </c>
      <c r="D214" s="3">
        <v>49.459999084472599</v>
      </c>
      <c r="E214" s="3"/>
      <c r="F214" s="1">
        <v>45908</v>
      </c>
      <c r="G214" s="4">
        <f t="shared" si="16"/>
        <v>-4.9935554425181161E-3</v>
      </c>
      <c r="H214" s="4">
        <f t="shared" si="17"/>
        <v>4.7267925907641395E-3</v>
      </c>
      <c r="I214" s="4">
        <f t="shared" si="18"/>
        <v>-6.2286793337299473E-3</v>
      </c>
      <c r="J214" s="4">
        <f t="shared" si="19"/>
        <v>-1.475953396568763E-3</v>
      </c>
      <c r="K214" s="3"/>
      <c r="R214" s="4"/>
      <c r="V214">
        <v>211</v>
      </c>
      <c r="W214" s="4">
        <v>1.4008630595600513E-2</v>
      </c>
    </row>
    <row r="215" spans="1:23" x14ac:dyDescent="0.3">
      <c r="A215" s="1">
        <v>45909</v>
      </c>
      <c r="B215" s="3">
        <f>Data!B214</f>
        <v>296.408935546875</v>
      </c>
      <c r="C215" s="3">
        <v>151.298904418945</v>
      </c>
      <c r="D215" s="3">
        <v>50.290000915527301</v>
      </c>
      <c r="E215" s="3"/>
      <c r="F215" s="1">
        <v>45909</v>
      </c>
      <c r="G215" s="4">
        <f t="shared" si="16"/>
        <v>1.686527660128001E-2</v>
      </c>
      <c r="H215" s="4">
        <f t="shared" si="17"/>
        <v>2.3052701912979368E-2</v>
      </c>
      <c r="I215" s="4">
        <f t="shared" si="18"/>
        <v>1.6781274695075288E-2</v>
      </c>
      <c r="J215" s="4">
        <f t="shared" si="19"/>
        <v>1.9315046154098337E-2</v>
      </c>
      <c r="K215" s="3"/>
      <c r="R215" s="4"/>
      <c r="V215">
        <v>212</v>
      </c>
      <c r="W215" s="4">
        <v>1.4745702887537203E-2</v>
      </c>
    </row>
    <row r="216" spans="1:23" x14ac:dyDescent="0.3">
      <c r="A216" s="1">
        <v>45910</v>
      </c>
      <c r="B216" s="3">
        <f>Data!B215</f>
        <v>299.0859375</v>
      </c>
      <c r="C216" s="3">
        <v>153.187408447265</v>
      </c>
      <c r="D216" s="3">
        <v>50.130001068115199</v>
      </c>
      <c r="E216" s="3"/>
      <c r="F216" s="1">
        <v>45910</v>
      </c>
      <c r="G216" s="4">
        <f t="shared" si="16"/>
        <v>9.0314482192850321E-3</v>
      </c>
      <c r="H216" s="4">
        <f t="shared" si="17"/>
        <v>1.2481941198270396E-2</v>
      </c>
      <c r="I216" s="4">
        <f t="shared" si="18"/>
        <v>-3.1815439351623453E-3</v>
      </c>
      <c r="J216" s="4">
        <f t="shared" si="19"/>
        <v>6.7477477645449657E-3</v>
      </c>
      <c r="K216" s="3"/>
      <c r="R216" s="4"/>
      <c r="V216">
        <v>213</v>
      </c>
      <c r="W216" s="4">
        <v>1.4755341995944526E-2</v>
      </c>
    </row>
    <row r="217" spans="1:23" x14ac:dyDescent="0.3">
      <c r="A217" s="1">
        <v>45911</v>
      </c>
      <c r="B217" s="3">
        <f>Data!B216</f>
        <v>304.08163452148398</v>
      </c>
      <c r="C217" s="3">
        <v>155.53312683105401</v>
      </c>
      <c r="D217" s="3">
        <v>50.75</v>
      </c>
      <c r="E217" s="3"/>
      <c r="F217" s="1">
        <v>45911</v>
      </c>
      <c r="G217" s="4">
        <f t="shared" si="16"/>
        <v>1.6703216016246136E-2</v>
      </c>
      <c r="H217" s="4">
        <f t="shared" si="17"/>
        <v>1.5312736259237125E-2</v>
      </c>
      <c r="I217" s="4">
        <f t="shared" si="18"/>
        <v>1.2367822036196685E-2</v>
      </c>
      <c r="J217" s="4">
        <f t="shared" si="19"/>
        <v>1.4846405919427697E-2</v>
      </c>
      <c r="K217" s="3"/>
      <c r="R217" s="4"/>
      <c r="V217">
        <v>214</v>
      </c>
      <c r="W217" s="4">
        <v>1.4846405919427697E-2</v>
      </c>
    </row>
    <row r="218" spans="1:23" x14ac:dyDescent="0.3">
      <c r="A218" s="1">
        <v>45912</v>
      </c>
      <c r="B218" s="3">
        <f>Data!B217</f>
        <v>305.42510986328102</v>
      </c>
      <c r="C218" s="3">
        <v>155.44367980957</v>
      </c>
      <c r="D218" s="3">
        <v>50.580001831054602</v>
      </c>
      <c r="E218" s="3"/>
      <c r="F218" s="1">
        <v>45912</v>
      </c>
      <c r="G218" s="4">
        <f t="shared" si="16"/>
        <v>4.4181403586283086E-3</v>
      </c>
      <c r="H218" s="4">
        <f t="shared" si="17"/>
        <v>-5.75099487205466E-4</v>
      </c>
      <c r="I218" s="4">
        <f t="shared" si="18"/>
        <v>-3.3497176146876084E-3</v>
      </c>
      <c r="J218" s="4">
        <f t="shared" si="19"/>
        <v>9.0487028300023772E-5</v>
      </c>
      <c r="K218" s="3"/>
      <c r="R218" s="4"/>
      <c r="V218">
        <v>215</v>
      </c>
      <c r="W218" s="4">
        <v>1.5044491302453222E-2</v>
      </c>
    </row>
    <row r="219" spans="1:23" x14ac:dyDescent="0.3">
      <c r="A219" s="1">
        <v>45915</v>
      </c>
      <c r="B219" s="3">
        <f>Data!B218</f>
        <v>307.40545654296801</v>
      </c>
      <c r="C219" s="3">
        <v>155.69215393066401</v>
      </c>
      <c r="D219" s="3">
        <v>50.590000152587798</v>
      </c>
      <c r="E219" s="3"/>
      <c r="F219" s="1">
        <v>45915</v>
      </c>
      <c r="G219" s="4">
        <f t="shared" si="16"/>
        <v>6.4839026515319809E-3</v>
      </c>
      <c r="H219" s="4">
        <f t="shared" si="17"/>
        <v>1.5984832667266247E-3</v>
      </c>
      <c r="I219" s="4">
        <f t="shared" si="18"/>
        <v>1.9767341184739884E-4</v>
      </c>
      <c r="J219" s="4">
        <f t="shared" si="19"/>
        <v>2.6438661257044637E-3</v>
      </c>
      <c r="K219" s="3"/>
      <c r="R219" s="4"/>
      <c r="V219">
        <v>216</v>
      </c>
      <c r="W219" s="4">
        <v>1.5212192021287319E-2</v>
      </c>
    </row>
    <row r="220" spans="1:23" x14ac:dyDescent="0.3">
      <c r="A220" s="1">
        <v>45916</v>
      </c>
      <c r="B220" s="3">
        <f>Data!B219</f>
        <v>307.69406127929602</v>
      </c>
      <c r="C220" s="3">
        <v>154.8671875</v>
      </c>
      <c r="D220" s="3">
        <v>50.659999847412102</v>
      </c>
      <c r="E220" s="3"/>
      <c r="F220" s="1">
        <v>45916</v>
      </c>
      <c r="G220" s="4">
        <f t="shared" si="16"/>
        <v>9.3884064249749599E-4</v>
      </c>
      <c r="H220" s="4">
        <f t="shared" si="17"/>
        <v>-5.2987026631502454E-3</v>
      </c>
      <c r="I220" s="4">
        <f t="shared" si="18"/>
        <v>1.3836666260758079E-3</v>
      </c>
      <c r="J220" s="4">
        <f t="shared" si="19"/>
        <v>-1.4227288846881073E-3</v>
      </c>
      <c r="K220" s="3"/>
      <c r="R220" s="4"/>
      <c r="V220">
        <v>217</v>
      </c>
      <c r="W220" s="4">
        <v>1.5469049617449706E-2</v>
      </c>
    </row>
    <row r="221" spans="1:23" x14ac:dyDescent="0.3">
      <c r="A221" s="1">
        <v>45917</v>
      </c>
      <c r="B221" s="3">
        <f>Data!B220</f>
        <v>310.24166870117102</v>
      </c>
      <c r="C221" s="3">
        <v>156.45750427246</v>
      </c>
      <c r="D221" s="3">
        <v>51.400001525878899</v>
      </c>
      <c r="E221" s="3"/>
      <c r="F221" s="1">
        <v>45917</v>
      </c>
      <c r="G221" s="4">
        <f t="shared" si="16"/>
        <v>8.2796769339090748E-3</v>
      </c>
      <c r="H221" s="4">
        <f t="shared" si="17"/>
        <v>1.0268907172218178E-2</v>
      </c>
      <c r="I221" s="4">
        <f t="shared" si="18"/>
        <v>1.4607218331932126E-2</v>
      </c>
      <c r="J221" s="4">
        <f t="shared" si="19"/>
        <v>1.097363144863963E-2</v>
      </c>
      <c r="K221" s="3"/>
      <c r="R221" s="4"/>
      <c r="V221">
        <v>218</v>
      </c>
      <c r="W221" s="4">
        <v>1.5597409071350432E-2</v>
      </c>
    </row>
    <row r="222" spans="1:23" x14ac:dyDescent="0.3">
      <c r="A222" s="1">
        <v>45918</v>
      </c>
      <c r="B222" s="3">
        <f>Data!B221</f>
        <v>311.71453857421801</v>
      </c>
      <c r="C222" s="3">
        <v>158.27642822265599</v>
      </c>
      <c r="D222" s="3">
        <v>52.130001068115199</v>
      </c>
      <c r="E222" s="3"/>
      <c r="F222" s="1">
        <v>45918</v>
      </c>
      <c r="G222" s="4">
        <f t="shared" si="16"/>
        <v>4.7474921057935049E-3</v>
      </c>
      <c r="H222" s="4">
        <f t="shared" si="17"/>
        <v>1.1625674068202363E-2</v>
      </c>
      <c r="I222" s="4">
        <f t="shared" si="18"/>
        <v>1.420232530282628E-2</v>
      </c>
      <c r="J222" s="4">
        <f t="shared" si="19"/>
        <v>1.0335214849866881E-2</v>
      </c>
      <c r="K222" s="3"/>
      <c r="R222" s="4"/>
      <c r="V222">
        <v>219</v>
      </c>
      <c r="W222" s="4">
        <v>1.6671302167107792E-2</v>
      </c>
    </row>
    <row r="223" spans="1:23" x14ac:dyDescent="0.3">
      <c r="A223" s="1">
        <v>45919</v>
      </c>
      <c r="B223" s="3">
        <f>Data!B222</f>
        <v>313.25701904296801</v>
      </c>
      <c r="C223" s="3">
        <v>158.9423828125</v>
      </c>
      <c r="D223" s="3">
        <v>52.25</v>
      </c>
      <c r="E223" s="3"/>
      <c r="F223" s="1">
        <v>45919</v>
      </c>
      <c r="G223" s="4">
        <f t="shared" si="16"/>
        <v>4.9483751248988739E-3</v>
      </c>
      <c r="H223" s="4">
        <f t="shared" si="17"/>
        <v>4.2075411817303898E-3</v>
      </c>
      <c r="I223" s="4">
        <f t="shared" si="18"/>
        <v>2.3019169274138829E-3</v>
      </c>
      <c r="J223" s="4">
        <f t="shared" si="19"/>
        <v>3.8581040883859828E-3</v>
      </c>
      <c r="K223" s="3"/>
      <c r="R223" s="4"/>
      <c r="V223">
        <v>220</v>
      </c>
      <c r="W223" s="4">
        <v>1.6967200677198591E-2</v>
      </c>
    </row>
    <row r="224" spans="1:23" x14ac:dyDescent="0.3">
      <c r="A224" s="1">
        <v>45922</v>
      </c>
      <c r="B224" s="3">
        <f>Data!B223</f>
        <v>310.92834472656199</v>
      </c>
      <c r="C224" s="3">
        <v>159.737533569335</v>
      </c>
      <c r="D224" s="3">
        <v>51.919998168945298</v>
      </c>
      <c r="E224" s="3"/>
      <c r="F224" s="1">
        <v>45922</v>
      </c>
      <c r="G224" s="4">
        <f t="shared" si="16"/>
        <v>-7.4337498438833416E-3</v>
      </c>
      <c r="H224" s="4">
        <f t="shared" si="17"/>
        <v>5.0027610179534943E-3</v>
      </c>
      <c r="I224" s="4">
        <f t="shared" si="18"/>
        <v>-6.3158245177933336E-3</v>
      </c>
      <c r="J224" s="4">
        <f t="shared" si="19"/>
        <v>-2.1237679013216045E-3</v>
      </c>
      <c r="K224" s="3"/>
      <c r="R224" s="4"/>
      <c r="V224">
        <v>221</v>
      </c>
      <c r="W224" s="4">
        <v>1.6989267513172802E-2</v>
      </c>
    </row>
    <row r="225" spans="1:23" x14ac:dyDescent="0.3">
      <c r="A225" s="1">
        <v>45923</v>
      </c>
      <c r="B225" s="3">
        <f>Data!B224</f>
        <v>311.22686767578102</v>
      </c>
      <c r="C225" s="3">
        <v>159.78723144531199</v>
      </c>
      <c r="D225" s="3">
        <v>51.700000762939403</v>
      </c>
      <c r="E225" s="3"/>
      <c r="F225" s="1">
        <v>45923</v>
      </c>
      <c r="G225" s="4">
        <f t="shared" si="16"/>
        <v>9.6010207587071683E-4</v>
      </c>
      <c r="H225" s="4">
        <f t="shared" si="17"/>
        <v>3.1112209426598092E-4</v>
      </c>
      <c r="I225" s="4">
        <f t="shared" si="18"/>
        <v>-4.2372383236616296E-3</v>
      </c>
      <c r="J225" s="4">
        <f t="shared" si="19"/>
        <v>-8.5869203663088147E-4</v>
      </c>
      <c r="K225" s="3"/>
      <c r="R225" s="4"/>
      <c r="V225">
        <v>222</v>
      </c>
      <c r="W225" s="4">
        <v>1.7096643694873358E-2</v>
      </c>
    </row>
    <row r="226" spans="1:23" x14ac:dyDescent="0.3">
      <c r="A226" s="1">
        <v>45924</v>
      </c>
      <c r="B226" s="3">
        <f>Data!B225</f>
        <v>311.90362548828102</v>
      </c>
      <c r="C226" s="3">
        <v>156.92466735839801</v>
      </c>
      <c r="D226" s="3">
        <v>51.700000762939403</v>
      </c>
      <c r="E226" s="3"/>
      <c r="F226" s="1">
        <v>45924</v>
      </c>
      <c r="G226" s="4">
        <f t="shared" si="16"/>
        <v>2.1744838983663861E-3</v>
      </c>
      <c r="H226" s="4">
        <f t="shared" si="17"/>
        <v>-1.7914848771215519E-2</v>
      </c>
      <c r="I226" s="4">
        <f t="shared" si="18"/>
        <v>0</v>
      </c>
      <c r="J226" s="4">
        <f t="shared" si="19"/>
        <v>-6.5135943389762916E-3</v>
      </c>
      <c r="K226" s="3"/>
      <c r="R226" s="4"/>
      <c r="V226">
        <v>223</v>
      </c>
      <c r="W226" s="4">
        <v>1.7379541046285231E-2</v>
      </c>
    </row>
    <row r="227" spans="1:23" x14ac:dyDescent="0.3">
      <c r="A227" s="1">
        <v>45925</v>
      </c>
      <c r="B227" s="3">
        <f>Data!B226</f>
        <v>311.93347167968699</v>
      </c>
      <c r="C227" s="3">
        <v>157.98817443847599</v>
      </c>
      <c r="D227" s="3">
        <v>51.849998474121001</v>
      </c>
      <c r="E227" s="3"/>
      <c r="F227" s="1">
        <v>45925</v>
      </c>
      <c r="G227" s="4">
        <f t="shared" si="16"/>
        <v>9.5690427962313862E-5</v>
      </c>
      <c r="H227" s="4">
        <f t="shared" si="17"/>
        <v>6.7771823128932596E-3</v>
      </c>
      <c r="I227" s="4">
        <f t="shared" si="18"/>
        <v>2.9013096512200409E-3</v>
      </c>
      <c r="J227" s="4">
        <f t="shared" si="19"/>
        <v>3.6099729489120101E-3</v>
      </c>
      <c r="K227" s="3"/>
      <c r="R227" s="4"/>
      <c r="V227">
        <v>224</v>
      </c>
      <c r="W227" s="4">
        <v>1.7462228709679662E-2</v>
      </c>
    </row>
    <row r="228" spans="1:23" x14ac:dyDescent="0.3">
      <c r="A228" s="1">
        <v>45926</v>
      </c>
      <c r="B228" s="3">
        <f>Data!B227</f>
        <v>314.53082275390602</v>
      </c>
      <c r="C228" s="3">
        <v>159.14115905761699</v>
      </c>
      <c r="D228" s="3">
        <v>52.209999084472599</v>
      </c>
      <c r="E228" s="3"/>
      <c r="F228" s="1">
        <v>45926</v>
      </c>
      <c r="G228" s="4">
        <f t="shared" si="16"/>
        <v>8.3266186864554559E-3</v>
      </c>
      <c r="H228" s="4">
        <f t="shared" si="17"/>
        <v>7.2979172222158439E-3</v>
      </c>
      <c r="I228" s="4">
        <f t="shared" si="18"/>
        <v>6.9431170867106928E-3</v>
      </c>
      <c r="J228" s="4">
        <f t="shared" si="19"/>
        <v>7.5000876208361818E-3</v>
      </c>
      <c r="K228" s="3"/>
      <c r="R228" s="4"/>
      <c r="V228">
        <v>225</v>
      </c>
      <c r="W228" s="4">
        <v>1.7587645555670852E-2</v>
      </c>
    </row>
    <row r="229" spans="1:23" x14ac:dyDescent="0.3">
      <c r="A229" s="1">
        <v>45929</v>
      </c>
      <c r="B229" s="3">
        <f>Data!B228</f>
        <v>314.16262817382801</v>
      </c>
      <c r="C229" s="3">
        <v>160.184814453125</v>
      </c>
      <c r="D229" s="3">
        <v>52.419998168945298</v>
      </c>
      <c r="E229" s="3"/>
      <c r="F229" s="1">
        <v>45929</v>
      </c>
      <c r="G229" s="4">
        <f t="shared" si="16"/>
        <v>-1.1706152575262641E-3</v>
      </c>
      <c r="H229" s="4">
        <f t="shared" si="17"/>
        <v>6.5580482239051552E-3</v>
      </c>
      <c r="I229" s="4">
        <f t="shared" si="18"/>
        <v>4.0222005009602491E-3</v>
      </c>
      <c r="J229" s="4">
        <f t="shared" si="19"/>
        <v>3.4786948625922581E-3</v>
      </c>
      <c r="K229" s="3"/>
      <c r="R229" s="4"/>
      <c r="V229">
        <v>226</v>
      </c>
      <c r="W229" s="4">
        <v>1.7604724849839104E-2</v>
      </c>
    </row>
    <row r="230" spans="1:23" x14ac:dyDescent="0.3">
      <c r="A230" s="1">
        <v>45930</v>
      </c>
      <c r="B230" s="3">
        <f>Data!B229</f>
        <v>313.90386962890602</v>
      </c>
      <c r="C230" s="3">
        <v>157.998123168945</v>
      </c>
      <c r="D230" s="3">
        <v>51.590000152587798</v>
      </c>
      <c r="E230" s="3"/>
      <c r="F230" s="1">
        <v>45930</v>
      </c>
      <c r="G230" s="4">
        <f t="shared" si="16"/>
        <v>-8.2364521339184371E-4</v>
      </c>
      <c r="H230" s="4">
        <f t="shared" si="17"/>
        <v>-1.3651052327559365E-2</v>
      </c>
      <c r="I230" s="4">
        <f t="shared" si="18"/>
        <v>-1.5833613989883921E-2</v>
      </c>
      <c r="J230" s="4">
        <f t="shared" si="19"/>
        <v>-1.0457598692006475E-2</v>
      </c>
      <c r="K230" s="3"/>
      <c r="R230" s="4"/>
      <c r="V230">
        <v>227</v>
      </c>
      <c r="W230" s="4">
        <v>1.8043626178202543E-2</v>
      </c>
    </row>
    <row r="231" spans="1:23" x14ac:dyDescent="0.3">
      <c r="A231" s="1">
        <v>45931</v>
      </c>
      <c r="B231" s="3">
        <f>Data!B230</f>
        <v>309.20669555664</v>
      </c>
      <c r="C231" s="3">
        <v>155.94064331054599</v>
      </c>
      <c r="D231" s="3">
        <v>50.680000305175703</v>
      </c>
      <c r="E231" s="3"/>
      <c r="F231" s="1">
        <v>45931</v>
      </c>
      <c r="G231" s="4">
        <f t="shared" si="16"/>
        <v>-1.496373420888053E-2</v>
      </c>
      <c r="H231" s="4">
        <f t="shared" si="17"/>
        <v>-1.3022179106513598E-2</v>
      </c>
      <c r="I231" s="4">
        <f t="shared" si="18"/>
        <v>-1.763907433069567E-2</v>
      </c>
      <c r="J231" s="4">
        <f t="shared" si="19"/>
        <v>-1.49897142044783E-2</v>
      </c>
      <c r="K231" s="3"/>
      <c r="R231" s="4"/>
      <c r="V231">
        <v>228</v>
      </c>
      <c r="W231" s="4">
        <v>1.8623955807489968E-2</v>
      </c>
    </row>
    <row r="232" spans="1:23" x14ac:dyDescent="0.3">
      <c r="A232" s="1">
        <v>45932</v>
      </c>
      <c r="B232" s="3">
        <f>Data!B231</f>
        <v>306.06198120117102</v>
      </c>
      <c r="C232" s="3">
        <v>154.36027526855401</v>
      </c>
      <c r="D232" s="3">
        <v>50.4799995422363</v>
      </c>
      <c r="E232" s="3"/>
      <c r="F232" s="1">
        <v>45932</v>
      </c>
      <c r="G232" s="4">
        <f t="shared" si="16"/>
        <v>-1.0170266040998244E-2</v>
      </c>
      <c r="H232" s="4">
        <f t="shared" si="17"/>
        <v>-1.0134420433579927E-2</v>
      </c>
      <c r="I232" s="4">
        <f t="shared" si="18"/>
        <v>-3.9463449434703479E-3</v>
      </c>
      <c r="J232" s="4">
        <f t="shared" si="19"/>
        <v>-8.2887514687725473E-3</v>
      </c>
      <c r="K232" s="3"/>
      <c r="R232" s="4"/>
      <c r="V232">
        <v>229</v>
      </c>
      <c r="W232" s="4">
        <v>1.915547973908913E-2</v>
      </c>
    </row>
    <row r="233" spans="1:23" x14ac:dyDescent="0.3">
      <c r="A233" s="1">
        <v>45933</v>
      </c>
      <c r="B233" s="3">
        <f>Data!B232</f>
        <v>308.52999877929602</v>
      </c>
      <c r="C233" s="3">
        <v>156.63641357421801</v>
      </c>
      <c r="D233" s="3">
        <v>50.639999389648402</v>
      </c>
      <c r="E233" s="3"/>
      <c r="F233" s="1">
        <v>45933</v>
      </c>
      <c r="G233" s="4">
        <f t="shared" si="16"/>
        <v>8.0637835788652801E-3</v>
      </c>
      <c r="H233" s="4">
        <f t="shared" si="17"/>
        <v>1.4745622225044608E-2</v>
      </c>
      <c r="I233" s="4">
        <f t="shared" si="18"/>
        <v>3.1695691137680893E-3</v>
      </c>
      <c r="J233" s="4">
        <f t="shared" si="19"/>
        <v>9.2682546978078532E-3</v>
      </c>
      <c r="K233" s="3"/>
      <c r="R233" s="4"/>
      <c r="V233">
        <v>230</v>
      </c>
      <c r="W233" s="4">
        <v>1.9315046154098337E-2</v>
      </c>
    </row>
    <row r="234" spans="1:23" x14ac:dyDescent="0.3">
      <c r="A234" s="1">
        <v>45936</v>
      </c>
      <c r="B234" s="3">
        <f>Data!B233</f>
        <v>309.17999267578102</v>
      </c>
      <c r="C234" s="3">
        <v>157.133377075195</v>
      </c>
      <c r="D234" s="3">
        <v>50.389999389648402</v>
      </c>
      <c r="E234" s="3"/>
      <c r="F234" s="1">
        <v>45936</v>
      </c>
      <c r="G234" s="4">
        <f t="shared" si="16"/>
        <v>2.106744559870144E-3</v>
      </c>
      <c r="H234" s="4">
        <f t="shared" si="17"/>
        <v>3.1727201206730449E-3</v>
      </c>
      <c r="I234" s="4">
        <f t="shared" si="18"/>
        <v>-4.9368089062635789E-3</v>
      </c>
      <c r="J234" s="4">
        <f t="shared" si="19"/>
        <v>4.2006874435118768E-4</v>
      </c>
      <c r="K234" s="3"/>
      <c r="R234" s="4"/>
      <c r="V234">
        <v>231</v>
      </c>
      <c r="W234" s="4">
        <v>2.0683359715167503E-2</v>
      </c>
    </row>
    <row r="235" spans="1:23" x14ac:dyDescent="0.3">
      <c r="A235" s="1">
        <v>45937</v>
      </c>
      <c r="B235" s="3">
        <f>Data!B234</f>
        <v>307.69000244140602</v>
      </c>
      <c r="C235" s="3">
        <v>155.02621459960901</v>
      </c>
      <c r="D235" s="3">
        <v>50.290000915527301</v>
      </c>
      <c r="E235" s="3"/>
      <c r="F235" s="1">
        <v>45937</v>
      </c>
      <c r="G235" s="4">
        <f t="shared" si="16"/>
        <v>-4.8191677006004241E-3</v>
      </c>
      <c r="H235" s="4">
        <f t="shared" si="17"/>
        <v>-1.3410024749723415E-2</v>
      </c>
      <c r="I235" s="4">
        <f t="shared" si="18"/>
        <v>-1.9844904808957731E-3</v>
      </c>
      <c r="J235" s="4">
        <f t="shared" si="19"/>
        <v>-7.4051073543382256E-3</v>
      </c>
      <c r="K235" s="3"/>
      <c r="R235" s="4"/>
      <c r="V235">
        <v>232</v>
      </c>
      <c r="W235" s="4">
        <v>2.1198024346795141E-2</v>
      </c>
    </row>
    <row r="236" spans="1:23" x14ac:dyDescent="0.3">
      <c r="A236" s="1">
        <v>45938</v>
      </c>
      <c r="B236" s="3">
        <f>Data!B235</f>
        <v>304.02999877929602</v>
      </c>
      <c r="C236" s="3">
        <v>154.70814514160099</v>
      </c>
      <c r="D236" s="3">
        <v>49.840000152587798</v>
      </c>
      <c r="E236" s="3"/>
      <c r="F236" s="1">
        <v>45938</v>
      </c>
      <c r="G236" s="4">
        <f t="shared" si="16"/>
        <v>-1.1895101020732657E-2</v>
      </c>
      <c r="H236" s="4">
        <f t="shared" si="17"/>
        <v>-2.0517140202996886E-3</v>
      </c>
      <c r="I236" s="4">
        <f t="shared" si="18"/>
        <v>-8.9481160220175049E-3</v>
      </c>
      <c r="J236" s="4">
        <f t="shared" si="19"/>
        <v>-7.0736507209449226E-3</v>
      </c>
      <c r="K236" s="3"/>
      <c r="R236" s="4"/>
      <c r="V236">
        <v>233</v>
      </c>
      <c r="W236" s="4">
        <v>2.1560937965457438E-2</v>
      </c>
    </row>
    <row r="237" spans="1:23" x14ac:dyDescent="0.3">
      <c r="A237" s="1">
        <v>45939</v>
      </c>
      <c r="B237" s="3">
        <f>Data!B236</f>
        <v>305.52999877929602</v>
      </c>
      <c r="C237" s="3">
        <v>155.32440185546801</v>
      </c>
      <c r="D237" s="3">
        <v>49.790000915527301</v>
      </c>
      <c r="E237" s="3"/>
      <c r="F237" s="1">
        <v>45939</v>
      </c>
      <c r="G237" s="4">
        <f t="shared" si="16"/>
        <v>4.9337236655020433E-3</v>
      </c>
      <c r="H237" s="4">
        <f t="shared" si="17"/>
        <v>3.9833501545958327E-3</v>
      </c>
      <c r="I237" s="4">
        <f t="shared" si="18"/>
        <v>-1.0031949620269431E-3</v>
      </c>
      <c r="J237" s="4">
        <f t="shared" si="19"/>
        <v>2.7724986728808634E-3</v>
      </c>
      <c r="K237" s="3"/>
      <c r="R237" s="4"/>
      <c r="V237">
        <v>234</v>
      </c>
      <c r="W237" s="4">
        <v>2.1597546821342205E-2</v>
      </c>
    </row>
    <row r="238" spans="1:23" x14ac:dyDescent="0.3">
      <c r="A238" s="1">
        <v>45940</v>
      </c>
      <c r="B238" s="3">
        <f>Data!B237</f>
        <v>300.89001464843699</v>
      </c>
      <c r="C238" s="3">
        <v>150.94108581542901</v>
      </c>
      <c r="D238" s="3">
        <v>48.650001525878899</v>
      </c>
      <c r="E238" s="3"/>
      <c r="F238" s="1">
        <v>45940</v>
      </c>
      <c r="G238" s="4">
        <f t="shared" si="16"/>
        <v>-1.5186672828846448E-2</v>
      </c>
      <c r="H238" s="4">
        <f t="shared" si="17"/>
        <v>-2.8220395428387057E-2</v>
      </c>
      <c r="I238" s="4">
        <f t="shared" si="18"/>
        <v>-2.289615120880395E-2</v>
      </c>
      <c r="J238" s="4">
        <f t="shared" si="19"/>
        <v>-2.2713005382649941E-2</v>
      </c>
      <c r="K238" s="3"/>
      <c r="R238" s="4"/>
      <c r="V238">
        <v>235</v>
      </c>
      <c r="W238" s="4">
        <v>2.2128367176290631E-2</v>
      </c>
    </row>
    <row r="239" spans="1:23" x14ac:dyDescent="0.3">
      <c r="A239" s="1">
        <v>45943</v>
      </c>
      <c r="B239" s="3">
        <f>Data!B238</f>
        <v>307.97000122070301</v>
      </c>
      <c r="C239" s="3">
        <v>154.19129943847599</v>
      </c>
      <c r="D239" s="3">
        <v>48.860000610351499</v>
      </c>
      <c r="E239" s="3"/>
      <c r="F239" s="1">
        <v>45943</v>
      </c>
      <c r="G239" s="4">
        <f t="shared" si="16"/>
        <v>2.3530147986261296E-2</v>
      </c>
      <c r="H239" s="4">
        <f t="shared" si="17"/>
        <v>2.1532994846885867E-2</v>
      </c>
      <c r="I239" s="4">
        <f t="shared" si="18"/>
        <v>4.3165278085528502E-3</v>
      </c>
      <c r="J239" s="4">
        <f t="shared" si="19"/>
        <v>1.6967200677198591E-2</v>
      </c>
      <c r="K239" s="3"/>
      <c r="R239" s="4"/>
      <c r="V239">
        <v>236</v>
      </c>
      <c r="W239" s="4">
        <v>2.2316318736352224E-2</v>
      </c>
    </row>
    <row r="240" spans="1:23" x14ac:dyDescent="0.3">
      <c r="A240" s="1">
        <v>45944</v>
      </c>
      <c r="B240" s="3">
        <f>Data!B239</f>
        <v>302.079986572265</v>
      </c>
      <c r="C240" s="3">
        <v>154.40002441406199</v>
      </c>
      <c r="D240" s="3">
        <v>50.090000152587798</v>
      </c>
      <c r="E240" s="3"/>
      <c r="F240" s="1">
        <v>45944</v>
      </c>
      <c r="G240" s="4">
        <f t="shared" si="16"/>
        <v>-1.9125286960066656E-2</v>
      </c>
      <c r="H240" s="4">
        <f t="shared" si="17"/>
        <v>1.3536754430769626E-3</v>
      </c>
      <c r="I240" s="4">
        <f t="shared" si="18"/>
        <v>2.5173956751357807E-2</v>
      </c>
      <c r="J240" s="4">
        <f t="shared" si="19"/>
        <v>2.3560711146181296E-3</v>
      </c>
      <c r="K240" s="3"/>
      <c r="R240" s="4"/>
      <c r="V240">
        <v>237</v>
      </c>
      <c r="W240" s="4">
        <v>2.2826269084125328E-2</v>
      </c>
    </row>
    <row r="241" spans="1:23" x14ac:dyDescent="0.3">
      <c r="A241" s="1">
        <v>45945</v>
      </c>
      <c r="B241" s="3">
        <f>Data!B240</f>
        <v>305.69000244140602</v>
      </c>
      <c r="C241" s="3">
        <v>161.66578674316401</v>
      </c>
      <c r="D241" s="3">
        <v>52.279998779296797</v>
      </c>
      <c r="E241" s="3"/>
      <c r="F241" s="1">
        <v>45945</v>
      </c>
      <c r="G241" s="4">
        <f t="shared" si="16"/>
        <v>1.1950529759035877E-2</v>
      </c>
      <c r="H241" s="4">
        <f t="shared" si="17"/>
        <v>4.7058038732021634E-2</v>
      </c>
      <c r="I241" s="4">
        <f t="shared" si="18"/>
        <v>4.3721274107360042E-2</v>
      </c>
      <c r="J241" s="4">
        <f t="shared" si="19"/>
        <v>3.5524756652727432E-2</v>
      </c>
      <c r="K241" s="3"/>
      <c r="R241" s="4"/>
      <c r="V241">
        <v>238</v>
      </c>
      <c r="W241" s="4">
        <v>2.3546020259939481E-2</v>
      </c>
    </row>
    <row r="242" spans="1:23" x14ac:dyDescent="0.3">
      <c r="A242" s="1">
        <v>45946</v>
      </c>
      <c r="B242" s="3">
        <f>Data!B241</f>
        <v>298.54000854492102</v>
      </c>
      <c r="C242" s="3">
        <v>159.05171203613199</v>
      </c>
      <c r="D242" s="3">
        <v>50.439998626708899</v>
      </c>
      <c r="E242" s="3"/>
      <c r="F242" s="1">
        <v>45946</v>
      </c>
      <c r="G242" s="4">
        <f t="shared" si="16"/>
        <v>-2.3389688375090034E-2</v>
      </c>
      <c r="H242" s="4">
        <f t="shared" si="17"/>
        <v>-1.6169622278738305E-2</v>
      </c>
      <c r="I242" s="4">
        <f t="shared" si="18"/>
        <v>-3.5195107030426165E-2</v>
      </c>
      <c r="J242" s="4">
        <f t="shared" si="19"/>
        <v>-2.404328753315018E-2</v>
      </c>
      <c r="K242" s="3"/>
      <c r="R242" s="4"/>
      <c r="V242">
        <v>239</v>
      </c>
      <c r="W242" s="4">
        <v>2.5403743749521614E-2</v>
      </c>
    </row>
    <row r="243" spans="1:23" x14ac:dyDescent="0.3">
      <c r="A243" s="1">
        <v>45947</v>
      </c>
      <c r="B243" s="3">
        <f>Data!B242</f>
        <v>297.55999755859301</v>
      </c>
      <c r="C243" s="3">
        <v>157.709869384765</v>
      </c>
      <c r="D243" s="3">
        <v>51.279998779296797</v>
      </c>
      <c r="E243" s="3"/>
      <c r="F243" s="1">
        <v>45947</v>
      </c>
      <c r="G243" s="4">
        <f t="shared" si="16"/>
        <v>-3.2826788982306399E-3</v>
      </c>
      <c r="H243" s="4">
        <f t="shared" si="17"/>
        <v>-8.4365181247603171E-3</v>
      </c>
      <c r="I243" s="4">
        <f t="shared" si="18"/>
        <v>1.6653453121687978E-2</v>
      </c>
      <c r="J243" s="4">
        <f t="shared" si="19"/>
        <v>6.3662501713307451E-4</v>
      </c>
      <c r="K243" s="3"/>
      <c r="R243" s="4"/>
      <c r="V243">
        <v>240</v>
      </c>
      <c r="W243" s="4">
        <v>2.5972125500007291E-2</v>
      </c>
    </row>
    <row r="244" spans="1:23" x14ac:dyDescent="0.3">
      <c r="A244" s="1">
        <v>45950</v>
      </c>
      <c r="B244" s="3">
        <f>Data!B243</f>
        <v>302.35998535156199</v>
      </c>
      <c r="C244" s="3">
        <v>160.98991394042901</v>
      </c>
      <c r="D244" s="3">
        <v>52.040000915527301</v>
      </c>
      <c r="E244" s="3"/>
      <c r="F244" s="1">
        <v>45950</v>
      </c>
      <c r="G244" s="4">
        <f t="shared" si="16"/>
        <v>1.6131159538754103E-2</v>
      </c>
      <c r="H244" s="4">
        <f t="shared" si="17"/>
        <v>2.0797966344526353E-2</v>
      </c>
      <c r="I244" s="4">
        <f t="shared" si="18"/>
        <v>1.482063483467444E-2</v>
      </c>
      <c r="J244" s="4">
        <f t="shared" si="19"/>
        <v>1.7604724849839104E-2</v>
      </c>
      <c r="K244" s="3"/>
      <c r="R244" s="4"/>
      <c r="V244">
        <v>241</v>
      </c>
      <c r="W244" s="4">
        <v>3.1926291287528732E-2</v>
      </c>
    </row>
    <row r="245" spans="1:23" x14ac:dyDescent="0.3">
      <c r="A245" s="1">
        <v>45951</v>
      </c>
      <c r="B245" s="3">
        <f>Data!B244</f>
        <v>297.08999633789</v>
      </c>
      <c r="C245" s="3">
        <v>158.26647949218699</v>
      </c>
      <c r="D245" s="3">
        <v>51.520000457763601</v>
      </c>
      <c r="E245" s="3"/>
      <c r="F245" s="1">
        <v>45951</v>
      </c>
      <c r="G245" s="4">
        <f t="shared" si="16"/>
        <v>-1.7429518682984591E-2</v>
      </c>
      <c r="H245" s="4">
        <f t="shared" si="17"/>
        <v>-1.6916801690134209E-2</v>
      </c>
      <c r="I245" s="4">
        <f t="shared" si="18"/>
        <v>-9.9923222255083877E-3</v>
      </c>
      <c r="J245" s="4">
        <f t="shared" si="19"/>
        <v>-1.4993272948601576E-2</v>
      </c>
      <c r="K245" s="3"/>
      <c r="R245" s="4"/>
      <c r="V245">
        <v>242</v>
      </c>
      <c r="W245" s="4">
        <v>3.1993470724062424E-2</v>
      </c>
    </row>
    <row r="246" spans="1:23" x14ac:dyDescent="0.3">
      <c r="A246" s="1">
        <v>45952</v>
      </c>
      <c r="B246" s="3">
        <f>Data!B245</f>
        <v>294.10998535156199</v>
      </c>
      <c r="C246" s="3">
        <v>157.16320800781199</v>
      </c>
      <c r="D246" s="3">
        <v>51.099998474121001</v>
      </c>
      <c r="E246" s="3"/>
      <c r="F246" s="1">
        <v>45952</v>
      </c>
      <c r="G246" s="4">
        <f t="shared" si="16"/>
        <v>-1.0030667552127004E-2</v>
      </c>
      <c r="H246" s="4">
        <f t="shared" si="17"/>
        <v>-6.9709738152700096E-3</v>
      </c>
      <c r="I246" s="4">
        <f t="shared" si="18"/>
        <v>-8.1522123429893512E-3</v>
      </c>
      <c r="J246" s="4">
        <f t="shared" si="19"/>
        <v>-8.2432534946429107E-3</v>
      </c>
      <c r="K246" s="3"/>
      <c r="R246" s="4"/>
      <c r="V246">
        <v>243</v>
      </c>
      <c r="W246" s="4">
        <v>3.3599823292556952E-2</v>
      </c>
    </row>
    <row r="247" spans="1:23" x14ac:dyDescent="0.3">
      <c r="A247" s="1">
        <v>45953</v>
      </c>
      <c r="B247" s="3">
        <f>Data!B246</f>
        <v>294.54000854492102</v>
      </c>
      <c r="C247" s="3">
        <v>158.34600830078099</v>
      </c>
      <c r="D247" s="3">
        <v>51.759998321533203</v>
      </c>
      <c r="E247" s="3"/>
      <c r="F247" s="1">
        <v>45953</v>
      </c>
      <c r="G247" s="4">
        <f t="shared" si="16"/>
        <v>1.462116945281533E-3</v>
      </c>
      <c r="H247" s="4">
        <f t="shared" si="17"/>
        <v>7.5259363050810268E-3</v>
      </c>
      <c r="I247" s="4">
        <f t="shared" si="18"/>
        <v>1.291584867162876E-2</v>
      </c>
      <c r="J247" s="4">
        <f t="shared" si="19"/>
        <v>7.3237642071054985E-3</v>
      </c>
      <c r="K247" s="3"/>
      <c r="R247" s="4"/>
      <c r="V247">
        <v>244</v>
      </c>
      <c r="W247" s="4">
        <v>3.5375382278828416E-2</v>
      </c>
    </row>
    <row r="248" spans="1:23" x14ac:dyDescent="0.3">
      <c r="A248" s="1">
        <v>45954</v>
      </c>
      <c r="B248" s="3">
        <f>Data!B247</f>
        <v>300.44000244140602</v>
      </c>
      <c r="C248" s="3">
        <v>162.86846923828099</v>
      </c>
      <c r="D248" s="3">
        <v>52.569999694824197</v>
      </c>
      <c r="E248" s="3"/>
      <c r="F248" s="1">
        <v>45954</v>
      </c>
      <c r="G248" s="4">
        <f t="shared" si="16"/>
        <v>2.0031213843008988E-2</v>
      </c>
      <c r="H248" s="4">
        <f t="shared" si="17"/>
        <v>2.856062483690458E-2</v>
      </c>
      <c r="I248" s="4">
        <f t="shared" si="18"/>
        <v>1.5649176962087008E-2</v>
      </c>
      <c r="J248" s="4">
        <f t="shared" si="19"/>
        <v>2.2128367176290631E-2</v>
      </c>
      <c r="K248" s="3"/>
      <c r="R248" s="4"/>
      <c r="V248">
        <v>245</v>
      </c>
      <c r="W248" s="4">
        <v>3.5524756652727432E-2</v>
      </c>
    </row>
    <row r="249" spans="1:23" x14ac:dyDescent="0.3">
      <c r="A249" s="1">
        <v>45957</v>
      </c>
      <c r="B249" s="3">
        <f>Data!B248</f>
        <v>304.14999389648398</v>
      </c>
      <c r="C249" s="3">
        <v>165.01541137695301</v>
      </c>
      <c r="D249" s="3">
        <v>53.020000457763601</v>
      </c>
      <c r="E249" s="3"/>
      <c r="F249" s="1">
        <v>45957</v>
      </c>
      <c r="G249" s="4">
        <f t="shared" si="16"/>
        <v>1.2348526910298752E-2</v>
      </c>
      <c r="H249" s="4">
        <f t="shared" si="17"/>
        <v>1.31820612590825E-2</v>
      </c>
      <c r="I249" s="4">
        <f t="shared" si="18"/>
        <v>8.560029780325662E-3</v>
      </c>
      <c r="J249" s="4">
        <f t="shared" si="19"/>
        <v>1.1545391510820324E-2</v>
      </c>
      <c r="K249" s="3"/>
      <c r="R249" s="4"/>
      <c r="V249">
        <v>246</v>
      </c>
      <c r="W249" s="4">
        <v>3.7149969929869874E-2</v>
      </c>
    </row>
    <row r="250" spans="1:23" x14ac:dyDescent="0.3">
      <c r="A250" s="1">
        <v>45958</v>
      </c>
      <c r="B250" s="3">
        <f>Data!B249</f>
        <v>305.35998535156199</v>
      </c>
      <c r="C250" s="3">
        <v>164.21031188964801</v>
      </c>
      <c r="D250" s="3">
        <v>52.869998931884702</v>
      </c>
      <c r="E250" s="3"/>
      <c r="F250" s="1">
        <v>45958</v>
      </c>
      <c r="G250" s="4">
        <f t="shared" si="16"/>
        <v>3.9782721662320331E-3</v>
      </c>
      <c r="H250" s="4">
        <f t="shared" si="17"/>
        <v>-4.8789351284642679E-3</v>
      </c>
      <c r="I250" s="4">
        <f t="shared" si="18"/>
        <v>-2.8291498412640337E-3</v>
      </c>
      <c r="J250" s="4">
        <f t="shared" si="19"/>
        <v>-1.6068373538953074E-3</v>
      </c>
      <c r="K250" s="3"/>
      <c r="R250" s="4"/>
      <c r="V250">
        <v>247</v>
      </c>
      <c r="W250" s="4">
        <v>8.7741653184530352E-2</v>
      </c>
    </row>
    <row r="251" spans="1:23" x14ac:dyDescent="0.3">
      <c r="A251" s="1">
        <v>45959</v>
      </c>
      <c r="B251" s="3">
        <f>Data!B250</f>
        <v>305.510009765625</v>
      </c>
      <c r="C251" s="3">
        <v>163.03744506835901</v>
      </c>
      <c r="D251" s="3">
        <v>52.580001831054602</v>
      </c>
      <c r="E251" s="3"/>
      <c r="F251" s="1">
        <v>45959</v>
      </c>
      <c r="G251" s="4">
        <f t="shared" si="16"/>
        <v>4.91303449239755E-4</v>
      </c>
      <c r="H251" s="4">
        <f t="shared" si="17"/>
        <v>-7.142467533203356E-3</v>
      </c>
      <c r="I251" s="4">
        <f t="shared" si="18"/>
        <v>-5.4850975352528364E-3</v>
      </c>
      <c r="J251" s="4">
        <f t="shared" si="19"/>
        <v>-4.3551252390852668E-3</v>
      </c>
      <c r="K251" s="3"/>
      <c r="R251" s="4"/>
      <c r="V251">
        <v>248</v>
      </c>
      <c r="W251" s="4">
        <v>0.10636782221699409</v>
      </c>
    </row>
    <row r="252" spans="1:23" x14ac:dyDescent="0.3">
      <c r="A252" s="1">
        <v>45960</v>
      </c>
      <c r="B252" s="3">
        <f>Data!B251</f>
        <v>309.44000244140602</v>
      </c>
      <c r="C252" s="3">
        <v>164.259994506835</v>
      </c>
      <c r="D252" s="3">
        <v>53.029998779296797</v>
      </c>
      <c r="E252" s="3"/>
      <c r="F252" s="1">
        <v>45960</v>
      </c>
      <c r="G252" s="4">
        <f t="shared" si="16"/>
        <v>1.2863711662985944E-2</v>
      </c>
      <c r="H252" s="4">
        <f t="shared" si="17"/>
        <v>7.4985806969889435E-3</v>
      </c>
      <c r="I252" s="4">
        <f t="shared" si="18"/>
        <v>8.5583288811605929E-3</v>
      </c>
      <c r="J252" s="4">
        <f t="shared" si="19"/>
        <v>9.4260444420395384E-3</v>
      </c>
      <c r="K252" s="3"/>
      <c r="R252" s="4"/>
      <c r="W252" s="6"/>
    </row>
    <row r="253" spans="1:23" x14ac:dyDescent="0.3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M253" s="1"/>
      <c r="N253" s="4"/>
      <c r="O253" s="4"/>
      <c r="P253" s="4"/>
      <c r="Q253" s="4"/>
      <c r="R253" s="4"/>
      <c r="W253" s="6"/>
    </row>
    <row r="254" spans="1:23" x14ac:dyDescent="0.3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M254" s="1"/>
      <c r="N254" s="4"/>
      <c r="O254" s="4"/>
      <c r="P254" s="4"/>
      <c r="Q254" s="4"/>
      <c r="R254" s="4"/>
      <c r="W254" s="6"/>
    </row>
    <row r="255" spans="1:23" x14ac:dyDescent="0.3">
      <c r="A255" s="1"/>
      <c r="D255" s="3"/>
      <c r="E255" s="3"/>
      <c r="F255" s="3"/>
      <c r="G255" s="3"/>
      <c r="H255" s="3"/>
      <c r="I255" s="3"/>
      <c r="J255" s="3"/>
      <c r="K255" s="3"/>
      <c r="M255" s="1"/>
      <c r="N255" s="4"/>
      <c r="O255" s="4"/>
      <c r="P255" s="4"/>
      <c r="Q255" s="4"/>
      <c r="R255" s="4"/>
    </row>
  </sheetData>
  <sortState xmlns:xlrd2="http://schemas.microsoft.com/office/spreadsheetml/2017/richdata2" ref="W4:W251">
    <sortCondition ref="W4:W251"/>
  </sortState>
  <mergeCells count="1">
    <mergeCell ref="L8:O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50D00-BC93-4329-80C3-DA0AD8600830}">
  <dimension ref="A1:CK1006"/>
  <sheetViews>
    <sheetView showGridLines="0" topLeftCell="A4" zoomScale="104" workbookViewId="0">
      <selection activeCell="L14" sqref="L14"/>
    </sheetView>
  </sheetViews>
  <sheetFormatPr defaultColWidth="8.77734375" defaultRowHeight="14.4" x14ac:dyDescent="0.3"/>
  <cols>
    <col min="1" max="1" width="11" customWidth="1"/>
    <col min="6" max="6" width="10.77734375" bestFit="1" customWidth="1"/>
    <col min="10" max="10" width="13.88671875" bestFit="1" customWidth="1"/>
    <col min="11" max="11" width="24.33203125" bestFit="1" customWidth="1"/>
    <col min="12" max="14" width="11.88671875" bestFit="1" customWidth="1"/>
    <col min="15" max="15" width="10.77734375" bestFit="1" customWidth="1"/>
    <col min="16" max="18" width="11.88671875" bestFit="1" customWidth="1"/>
    <col min="19" max="20" width="11.88671875" customWidth="1"/>
    <col min="21" max="21" width="8.77734375" customWidth="1"/>
    <col min="22" max="22" width="12.5546875" customWidth="1"/>
    <col min="23" max="26" width="8.77734375" customWidth="1"/>
    <col min="28" max="28" width="9.77734375" bestFit="1" customWidth="1"/>
    <col min="29" max="30" width="8.77734375" bestFit="1" customWidth="1"/>
    <col min="31" max="37" width="8.6640625" customWidth="1"/>
    <col min="38" max="38" width="7.33203125" customWidth="1"/>
    <col min="39" max="39" width="14.88671875" bestFit="1" customWidth="1"/>
    <col min="40" max="48" width="8.6640625" customWidth="1"/>
    <col min="49" max="49" width="8.77734375" bestFit="1" customWidth="1"/>
    <col min="56" max="56" width="21.44140625" bestFit="1" customWidth="1"/>
    <col min="59" max="59" width="24.33203125" bestFit="1" customWidth="1"/>
    <col min="60" max="60" width="11.88671875" bestFit="1" customWidth="1"/>
    <col min="61" max="61" width="17" bestFit="1" customWidth="1"/>
    <col min="62" max="62" width="11.88671875" bestFit="1" customWidth="1"/>
    <col min="64" max="66" width="11.88671875" bestFit="1" customWidth="1"/>
    <col min="77" max="77" width="9.6640625" bestFit="1" customWidth="1"/>
    <col min="78" max="78" width="13.44140625" bestFit="1" customWidth="1"/>
    <col min="81" max="81" width="31.33203125" bestFit="1" customWidth="1"/>
    <col min="82" max="82" width="13.44140625" bestFit="1" customWidth="1"/>
    <col min="83" max="84" width="11.6640625" bestFit="1" customWidth="1"/>
    <col min="86" max="88" width="11.109375" bestFit="1" customWidth="1"/>
  </cols>
  <sheetData>
    <row r="1" spans="1:89" x14ac:dyDescent="0.3">
      <c r="AG1" t="s">
        <v>102</v>
      </c>
    </row>
    <row r="2" spans="1:89" x14ac:dyDescent="0.3">
      <c r="AC2" t="s">
        <v>82</v>
      </c>
      <c r="AD2" t="s">
        <v>83</v>
      </c>
      <c r="AE2" t="s">
        <v>84</v>
      </c>
      <c r="AG2" s="23" t="s">
        <v>101</v>
      </c>
      <c r="AH2" s="42">
        <f>B254</f>
        <v>309.44000244140602</v>
      </c>
      <c r="AI2" s="42">
        <f>C254</f>
        <v>164.259994506835</v>
      </c>
      <c r="AJ2" s="42">
        <f>D254</f>
        <v>53.029998779296797</v>
      </c>
    </row>
    <row r="3" spans="1:89" x14ac:dyDescent="0.3">
      <c r="AC3" t="s">
        <v>48</v>
      </c>
    </row>
    <row r="4" spans="1:89" x14ac:dyDescent="0.3">
      <c r="A4" s="23" t="s">
        <v>41</v>
      </c>
      <c r="F4" s="23" t="s">
        <v>57</v>
      </c>
      <c r="P4" s="23" t="s">
        <v>52</v>
      </c>
      <c r="W4" s="23" t="s">
        <v>39</v>
      </c>
      <c r="AC4" s="23" t="s">
        <v>40</v>
      </c>
      <c r="AG4" s="23" t="s">
        <v>51</v>
      </c>
      <c r="AM4" s="23" t="s">
        <v>14</v>
      </c>
    </row>
    <row r="5" spans="1:89" ht="14.55" customHeight="1" x14ac:dyDescent="0.3">
      <c r="A5" s="2" t="s">
        <v>0</v>
      </c>
      <c r="B5" s="2" t="s">
        <v>5</v>
      </c>
      <c r="C5" s="2" t="s">
        <v>6</v>
      </c>
      <c r="D5" s="2" t="s">
        <v>7</v>
      </c>
      <c r="F5" s="2" t="s">
        <v>0</v>
      </c>
      <c r="G5" s="2" t="s">
        <v>5</v>
      </c>
      <c r="H5" s="2" t="s">
        <v>6</v>
      </c>
      <c r="I5" s="2" t="s">
        <v>7</v>
      </c>
      <c r="K5" s="75" t="s">
        <v>63</v>
      </c>
      <c r="L5" s="75"/>
      <c r="M5" s="75"/>
      <c r="N5" s="75"/>
      <c r="P5" s="2" t="s">
        <v>5</v>
      </c>
      <c r="Q5" s="2" t="s">
        <v>6</v>
      </c>
      <c r="R5" s="2" t="s">
        <v>7</v>
      </c>
      <c r="T5" s="23" t="s">
        <v>50</v>
      </c>
      <c r="W5" s="31" t="s">
        <v>81</v>
      </c>
      <c r="X5" s="2" t="s">
        <v>34</v>
      </c>
      <c r="Y5" s="2" t="s">
        <v>35</v>
      </c>
      <c r="Z5" s="2" t="s">
        <v>36</v>
      </c>
      <c r="AB5" s="31" t="s">
        <v>81</v>
      </c>
      <c r="AC5" s="2" t="s">
        <v>34</v>
      </c>
      <c r="AD5" s="2" t="s">
        <v>35</v>
      </c>
      <c r="AE5" s="2" t="s">
        <v>36</v>
      </c>
      <c r="AG5" s="2" t="s">
        <v>49</v>
      </c>
      <c r="AH5" s="2" t="s">
        <v>5</v>
      </c>
      <c r="AI5" s="2" t="s">
        <v>6</v>
      </c>
      <c r="AJ5" s="2" t="s">
        <v>7</v>
      </c>
      <c r="AM5" s="2" t="s">
        <v>5</v>
      </c>
      <c r="AN5" s="2" t="s">
        <v>6</v>
      </c>
      <c r="AO5" s="2" t="s">
        <v>7</v>
      </c>
      <c r="AP5" s="2" t="s">
        <v>79</v>
      </c>
    </row>
    <row r="6" spans="1:89" x14ac:dyDescent="0.3">
      <c r="A6" s="1">
        <v>45597</v>
      </c>
      <c r="B6" s="3">
        <f>Data!B3</f>
        <v>218.318435668945</v>
      </c>
      <c r="C6" s="3">
        <f>Data!H3</f>
        <v>113.667182922363</v>
      </c>
      <c r="D6" s="3">
        <f>Data!N3</f>
        <v>40.799842834472599</v>
      </c>
      <c r="F6" s="1">
        <v>45597</v>
      </c>
      <c r="K6" s="2" t="s">
        <v>29</v>
      </c>
      <c r="L6">
        <v>1000</v>
      </c>
      <c r="M6">
        <f>L6</f>
        <v>1000</v>
      </c>
      <c r="N6">
        <f>L6</f>
        <v>1000</v>
      </c>
      <c r="P6" s="19">
        <v>0.3</v>
      </c>
      <c r="Q6" s="19">
        <v>0.4</v>
      </c>
      <c r="R6" s="19">
        <v>0.3</v>
      </c>
      <c r="T6" s="2" t="s">
        <v>32</v>
      </c>
      <c r="U6" s="2" t="s">
        <v>42</v>
      </c>
      <c r="W6">
        <v>1</v>
      </c>
      <c r="X6">
        <f ca="1">_xlfn.NORM.S.INV(RAND())</f>
        <v>0.24002695208025293</v>
      </c>
      <c r="Y6">
        <f ca="1">_xlfn.NORM.S.INV(RAND())</f>
        <v>0.48420223421424607</v>
      </c>
      <c r="Z6">
        <f ca="1">_xlfn.NORM.S.INV(RAND())</f>
        <v>-0.91605532499381859</v>
      </c>
      <c r="AA6" s="4"/>
      <c r="AB6">
        <v>1</v>
      </c>
      <c r="AC6" s="24">
        <f t="shared" ref="AC6:AC69" ca="1" si="0">SUMPRODUCT($Q$24:$S$24,X6:Z6)</f>
        <v>0.24002695208025293</v>
      </c>
      <c r="AD6" s="24">
        <f t="shared" ref="AD6:AD69" ca="1" si="1">SUMPRODUCT($Q$25:$S$25,X6:Z6)</f>
        <v>0.44745153113619385</v>
      </c>
      <c r="AE6" s="24">
        <f t="shared" ref="AE6:AE69" ca="1" si="2">SUMPRODUCT($Q$26:$S$26,X6:Z6)</f>
        <v>-0.13533344125700475</v>
      </c>
      <c r="AF6" s="24"/>
      <c r="AG6">
        <v>1</v>
      </c>
      <c r="AH6">
        <f ca="1">$L$21*EXP(($L$19-(($L$20^2)/2))*(1/252)+$L$20*AC6)</f>
        <v>310.70731228951416</v>
      </c>
      <c r="AI6">
        <f ca="1">$M$21*EXP(($M$19-(($M$20^2)/2))*(1/252)+$M$20*AD6)</f>
        <v>165.79624334964834</v>
      </c>
      <c r="AJ6">
        <f ca="1">$N$21*EXP(($N$19-(($N$20^2)/2))*(1/252)+$N$20*AE6)</f>
        <v>52.90300868781614</v>
      </c>
      <c r="AL6">
        <v>1</v>
      </c>
      <c r="AM6" s="4">
        <f t="shared" ref="AM6:AM69" ca="1" si="3">AH6/$AH$2-1</f>
        <v>4.0954945647277974E-3</v>
      </c>
      <c r="AN6" s="4">
        <f t="shared" ref="AN6:AN69" ca="1" si="4">AI6/$AI$2-1</f>
        <v>9.3525441019628452E-3</v>
      </c>
      <c r="AO6" s="4">
        <f t="shared" ref="AO6:AO69" ca="1" si="5">AJ6/$AJ$2-1</f>
        <v>-2.3946840355243415E-3</v>
      </c>
      <c r="AP6" s="4">
        <f t="shared" ref="AP6:AP69" ca="1" si="6">SUMPRODUCT($P$6:$R$6,AM6:AO6)</f>
        <v>4.2512607995461747E-3</v>
      </c>
    </row>
    <row r="7" spans="1:89" x14ac:dyDescent="0.3">
      <c r="A7" s="1">
        <v>45600</v>
      </c>
      <c r="B7" s="3">
        <f>Data!B4</f>
        <v>215.22393798828099</v>
      </c>
      <c r="C7" s="3">
        <f>Data!H4</f>
        <v>112.976524353027</v>
      </c>
      <c r="D7" s="3">
        <f>Data!N4</f>
        <v>40.379734039306598</v>
      </c>
      <c r="F7" s="1">
        <v>45600</v>
      </c>
      <c r="G7" s="4">
        <f t="shared" ref="G7:G70" si="7">B7/B6-1</f>
        <v>-1.4174238978866938E-2</v>
      </c>
      <c r="H7" s="4">
        <f t="shared" ref="H7:H70" si="8">C7/C6-1</f>
        <v>-6.0761474999141418E-3</v>
      </c>
      <c r="I7" s="4">
        <f t="shared" ref="I7:I70" si="9">D7/D6-1</f>
        <v>-1.0296823859601845E-2</v>
      </c>
      <c r="K7" s="17" t="s">
        <v>23</v>
      </c>
      <c r="L7" s="16">
        <v>0.99</v>
      </c>
      <c r="M7" s="16">
        <v>0.95</v>
      </c>
      <c r="N7" s="16">
        <v>0.9</v>
      </c>
      <c r="T7">
        <v>1</v>
      </c>
      <c r="U7" s="4">
        <v>-5.2240690504484419E-2</v>
      </c>
      <c r="V7" s="4"/>
      <c r="W7">
        <v>2</v>
      </c>
      <c r="X7">
        <f t="shared" ref="X7:Z70" ca="1" si="10">_xlfn.NORM.S.INV(RAND())</f>
        <v>1.1358007861419659</v>
      </c>
      <c r="Y7">
        <f t="shared" ca="1" si="10"/>
        <v>0.90008216571877975</v>
      </c>
      <c r="Z7">
        <f t="shared" ca="1" si="10"/>
        <v>-0.81544718507733105</v>
      </c>
      <c r="AA7" s="4"/>
      <c r="AB7">
        <v>2</v>
      </c>
      <c r="AC7" s="24">
        <f t="shared" ca="1" si="0"/>
        <v>1.1358007861419659</v>
      </c>
      <c r="AD7" s="24">
        <f t="shared" ca="1" si="1"/>
        <v>1.4318536554421628</v>
      </c>
      <c r="AE7" s="24">
        <f t="shared" ca="1" si="2"/>
        <v>0.76168365963664186</v>
      </c>
      <c r="AF7" s="24"/>
      <c r="AG7">
        <v>2</v>
      </c>
      <c r="AH7">
        <f t="shared" ref="AH7:AH70" ca="1" si="11">$L$21*EXP(($L$19-(($L$20^2)/2))*(1/252)+$L$20*AC7)</f>
        <v>315.47630895169971</v>
      </c>
      <c r="AI7">
        <f t="shared" ref="AI7:AI70" ca="1" si="12">$M$21*EXP(($M$19-(($M$20^2)/2))*(1/252)+$M$20*AD7)</f>
        <v>169.2245937809993</v>
      </c>
      <c r="AJ7">
        <f t="shared" ref="AJ7:AJ70" ca="1" si="13">$N$21*EXP(($N$19-(($N$20^2)/2))*(1/252)+$N$20*AE7)</f>
        <v>53.751928367933822</v>
      </c>
      <c r="AL7">
        <v>2</v>
      </c>
      <c r="AM7" s="4">
        <f t="shared" ca="1" si="3"/>
        <v>1.9507195135304745E-2</v>
      </c>
      <c r="AN7" s="4">
        <f t="shared" ca="1" si="4"/>
        <v>3.0224031658284911E-2</v>
      </c>
      <c r="AO7" s="4">
        <f t="shared" ca="1" si="5"/>
        <v>1.3613607491140822E-2</v>
      </c>
      <c r="AP7" s="4">
        <f t="shared" ca="1" si="6"/>
        <v>2.2025853451247634E-2</v>
      </c>
    </row>
    <row r="8" spans="1:89" x14ac:dyDescent="0.3">
      <c r="A8" s="1">
        <v>45601</v>
      </c>
      <c r="B8" s="3">
        <f>Data!B5</f>
        <v>216.89848327636699</v>
      </c>
      <c r="C8" s="3">
        <f>Data!H5</f>
        <v>114.60104370117099</v>
      </c>
      <c r="D8" s="3">
        <f>Data!N5</f>
        <v>40.917087554931598</v>
      </c>
      <c r="F8" s="1">
        <v>45601</v>
      </c>
      <c r="G8" s="4">
        <f t="shared" si="7"/>
        <v>7.7804788061128782E-3</v>
      </c>
      <c r="H8" s="4">
        <f t="shared" si="8"/>
        <v>1.4379264696333882E-2</v>
      </c>
      <c r="I8" s="4">
        <f t="shared" si="9"/>
        <v>1.3307505074251491E-2</v>
      </c>
      <c r="K8" s="2" t="s">
        <v>24</v>
      </c>
      <c r="L8" s="5">
        <f>100%-L7</f>
        <v>1.0000000000000009E-2</v>
      </c>
      <c r="M8" s="5">
        <f>100%-M7</f>
        <v>5.0000000000000044E-2</v>
      </c>
      <c r="N8" s="5">
        <f>100%-N7</f>
        <v>9.9999999999999978E-2</v>
      </c>
      <c r="T8">
        <v>2</v>
      </c>
      <c r="U8" s="4">
        <v>-5.1621956427176076E-2</v>
      </c>
      <c r="V8" s="4"/>
      <c r="W8">
        <v>3</v>
      </c>
      <c r="X8">
        <f t="shared" ca="1" si="10"/>
        <v>0.54522074023213363</v>
      </c>
      <c r="Y8">
        <f t="shared" ca="1" si="10"/>
        <v>1.7647349144716376</v>
      </c>
      <c r="Z8">
        <f t="shared" ca="1" si="10"/>
        <v>1.3807243056194227</v>
      </c>
      <c r="AA8" s="4"/>
      <c r="AB8">
        <v>3</v>
      </c>
      <c r="AC8" s="24">
        <f t="shared" ca="1" si="0"/>
        <v>0.54522074023213363</v>
      </c>
      <c r="AD8" s="24">
        <f t="shared" ca="1" si="1"/>
        <v>1.343993337738532</v>
      </c>
      <c r="AE8" s="24">
        <f t="shared" ca="1" si="2"/>
        <v>1.6329118916929057</v>
      </c>
      <c r="AF8" s="24"/>
      <c r="AG8">
        <v>3</v>
      </c>
      <c r="AH8">
        <f t="shared" ca="1" si="11"/>
        <v>312.32397682816713</v>
      </c>
      <c r="AI8">
        <f t="shared" ca="1" si="12"/>
        <v>168.91574518020909</v>
      </c>
      <c r="AJ8">
        <f t="shared" ca="1" si="13"/>
        <v>54.589480511219655</v>
      </c>
      <c r="AL8">
        <v>3</v>
      </c>
      <c r="AM8" s="4">
        <f t="shared" ca="1" si="3"/>
        <v>9.3199792011608995E-3</v>
      </c>
      <c r="AN8" s="4">
        <f t="shared" ca="1" si="4"/>
        <v>2.8343789291800814E-2</v>
      </c>
      <c r="AO8" s="4">
        <f t="shared" ca="1" si="5"/>
        <v>2.9407538521982524E-2</v>
      </c>
      <c r="AP8" s="4">
        <f t="shared" ca="1" si="6"/>
        <v>2.295577103366335E-2</v>
      </c>
    </row>
    <row r="9" spans="1:89" x14ac:dyDescent="0.3">
      <c r="A9" s="1">
        <v>45602</v>
      </c>
      <c r="B9" s="3">
        <f>Data!B6</f>
        <v>241.93843078613199</v>
      </c>
      <c r="C9" s="3">
        <f>Data!H6</f>
        <v>127.90841674804599</v>
      </c>
      <c r="D9" s="3">
        <f>Data!N6</f>
        <v>44.365924835205</v>
      </c>
      <c r="F9" s="1">
        <v>45602</v>
      </c>
      <c r="G9" s="4">
        <f t="shared" si="7"/>
        <v>0.11544547076366451</v>
      </c>
      <c r="H9" s="4">
        <f t="shared" si="8"/>
        <v>0.11611912611873554</v>
      </c>
      <c r="I9" s="4">
        <f t="shared" si="9"/>
        <v>8.4288435134668438E-2</v>
      </c>
      <c r="K9" s="2" t="s">
        <v>61</v>
      </c>
      <c r="L9">
        <f>L6*L8</f>
        <v>10.000000000000009</v>
      </c>
      <c r="M9">
        <f>M6*M8</f>
        <v>50.000000000000043</v>
      </c>
      <c r="N9">
        <f>N6*N8</f>
        <v>99.999999999999972</v>
      </c>
      <c r="S9" s="16"/>
      <c r="T9">
        <v>3</v>
      </c>
      <c r="U9" s="4">
        <v>-5.1251504811605529E-2</v>
      </c>
      <c r="V9" s="4"/>
      <c r="W9">
        <v>4</v>
      </c>
      <c r="X9">
        <f t="shared" ca="1" si="10"/>
        <v>0.99645648761796479</v>
      </c>
      <c r="Y9">
        <f t="shared" ca="1" si="10"/>
        <v>-0.13904650679936198</v>
      </c>
      <c r="Z9">
        <f t="shared" ca="1" si="10"/>
        <v>-0.44127684419768637</v>
      </c>
      <c r="AA9" s="4"/>
      <c r="AB9">
        <v>4</v>
      </c>
      <c r="AC9" s="24">
        <f t="shared" ca="1" si="0"/>
        <v>0.99645648761796479</v>
      </c>
      <c r="AD9" s="24">
        <f t="shared" ca="1" si="1"/>
        <v>0.79857955514504575</v>
      </c>
      <c r="AE9" s="24">
        <f t="shared" ca="1" si="2"/>
        <v>0.55099639613190654</v>
      </c>
      <c r="AF9" s="24"/>
      <c r="AG9">
        <v>4</v>
      </c>
      <c r="AH9">
        <f t="shared" ca="1" si="11"/>
        <v>314.72967649806515</v>
      </c>
      <c r="AI9">
        <f t="shared" ca="1" si="12"/>
        <v>167.01106472198194</v>
      </c>
      <c r="AJ9">
        <f t="shared" ca="1" si="13"/>
        <v>53.551321987962503</v>
      </c>
      <c r="AL9">
        <v>4</v>
      </c>
      <c r="AM9" s="4">
        <f t="shared" ca="1" si="3"/>
        <v>1.7094344670775863E-2</v>
      </c>
      <c r="AN9" s="4">
        <f t="shared" ca="1" si="4"/>
        <v>1.6748266815706403E-2</v>
      </c>
      <c r="AO9" s="4">
        <f t="shared" ca="1" si="5"/>
        <v>9.8307226224043642E-3</v>
      </c>
      <c r="AP9" s="4">
        <f t="shared" ca="1" si="6"/>
        <v>1.4776826914236629E-2</v>
      </c>
    </row>
    <row r="10" spans="1:89" x14ac:dyDescent="0.3">
      <c r="A10" s="1">
        <v>45603</v>
      </c>
      <c r="B10" s="3">
        <f>Data!B7</f>
        <v>231.47981262207</v>
      </c>
      <c r="C10" s="3">
        <f>Data!H7</f>
        <v>124.941505432128</v>
      </c>
      <c r="D10" s="3">
        <f>Data!N7</f>
        <v>43.740642547607401</v>
      </c>
      <c r="F10" s="1">
        <v>45603</v>
      </c>
      <c r="G10" s="4">
        <f t="shared" si="7"/>
        <v>-4.32284285306751E-2</v>
      </c>
      <c r="H10" s="4">
        <f t="shared" si="8"/>
        <v>-2.319559096538748E-2</v>
      </c>
      <c r="I10" s="4">
        <f t="shared" si="9"/>
        <v>-1.4093750776529079E-2</v>
      </c>
      <c r="K10" s="2" t="s">
        <v>62</v>
      </c>
      <c r="L10">
        <f>ROUNDUP(L9,0)</f>
        <v>10</v>
      </c>
      <c r="M10">
        <f>ROUNDUP(M9,0)</f>
        <v>50</v>
      </c>
      <c r="N10">
        <f>ROUNDUP(N9,0)</f>
        <v>100</v>
      </c>
      <c r="S10" s="4"/>
      <c r="T10">
        <v>4</v>
      </c>
      <c r="U10" s="4">
        <v>-4.6288245770091663E-2</v>
      </c>
      <c r="V10" s="4"/>
      <c r="W10">
        <v>5</v>
      </c>
      <c r="X10">
        <f t="shared" ca="1" si="10"/>
        <v>-0.15405730004825835</v>
      </c>
      <c r="Y10">
        <f t="shared" ca="1" si="10"/>
        <v>3.5855150853269874E-2</v>
      </c>
      <c r="Z10">
        <f t="shared" ca="1" si="10"/>
        <v>0.87057785468487692</v>
      </c>
      <c r="AA10" s="4"/>
      <c r="AB10">
        <v>5</v>
      </c>
      <c r="AC10" s="24">
        <f t="shared" ca="1" si="0"/>
        <v>-0.15405730004825835</v>
      </c>
      <c r="AD10" s="24">
        <f t="shared" ca="1" si="1"/>
        <v>-0.11638982798126689</v>
      </c>
      <c r="AE10" s="24">
        <f t="shared" ca="1" si="2"/>
        <v>0.32598373930386892</v>
      </c>
      <c r="AF10" s="24"/>
      <c r="AG10">
        <v>5</v>
      </c>
      <c r="AH10">
        <f t="shared" ca="1" si="11"/>
        <v>308.63215247334892</v>
      </c>
      <c r="AI10">
        <f t="shared" ca="1" si="12"/>
        <v>163.86394375767605</v>
      </c>
      <c r="AJ10">
        <f t="shared" ca="1" si="13"/>
        <v>53.337902347927461</v>
      </c>
      <c r="AL10">
        <v>5</v>
      </c>
      <c r="AM10" s="4">
        <f t="shared" ca="1" si="3"/>
        <v>-2.6106836920998244E-3</v>
      </c>
      <c r="AN10" s="4">
        <f t="shared" ca="1" si="4"/>
        <v>-2.4111211640304164E-3</v>
      </c>
      <c r="AO10" s="4">
        <f t="shared" ca="1" si="5"/>
        <v>5.8062148919164613E-3</v>
      </c>
      <c r="AP10" s="4">
        <f t="shared" ca="1" si="6"/>
        <v>-5.789105667175715E-6</v>
      </c>
    </row>
    <row r="11" spans="1:89" x14ac:dyDescent="0.3">
      <c r="A11" s="1">
        <v>45604</v>
      </c>
      <c r="B11" s="3">
        <f>Data!B8</f>
        <v>232.06736755371</v>
      </c>
      <c r="C11" s="3">
        <f>Data!H8</f>
        <v>126.00179290771401</v>
      </c>
      <c r="D11" s="3">
        <f>Data!N8</f>
        <v>44.092361450195298</v>
      </c>
      <c r="F11" s="1">
        <v>45604</v>
      </c>
      <c r="G11" s="4">
        <f t="shared" si="7"/>
        <v>2.5382556041690929E-3</v>
      </c>
      <c r="H11" s="4">
        <f t="shared" si="8"/>
        <v>8.4862710107329598E-3</v>
      </c>
      <c r="I11" s="4">
        <f t="shared" si="9"/>
        <v>8.0410090502234244E-3</v>
      </c>
      <c r="K11" s="2" t="s">
        <v>33</v>
      </c>
      <c r="L11" s="6">
        <f>VLOOKUP(L10,T6:U1005,2,FALSE)</f>
        <v>-3.8068767024374374E-2</v>
      </c>
      <c r="M11" s="6">
        <f>VLOOKUP(M10,T6:U1005,2,FALSE)</f>
        <v>-2.9734167223071838E-2</v>
      </c>
      <c r="N11" s="6">
        <f>VLOOKUP(N10,T6:U1005,2,FALSE)</f>
        <v>-2.3804262243076614E-2</v>
      </c>
      <c r="P11" s="75" t="s">
        <v>80</v>
      </c>
      <c r="Q11" s="75"/>
      <c r="R11" s="75"/>
      <c r="S11" s="20"/>
      <c r="T11">
        <v>5</v>
      </c>
      <c r="U11" s="4">
        <v>-4.3973660776354138E-2</v>
      </c>
      <c r="V11" s="4"/>
      <c r="W11">
        <v>6</v>
      </c>
      <c r="X11">
        <f t="shared" ca="1" si="10"/>
        <v>-0.60714797559178346</v>
      </c>
      <c r="Y11">
        <f t="shared" ca="1" si="10"/>
        <v>3.8844409427198537E-2</v>
      </c>
      <c r="Z11">
        <f t="shared" ca="1" si="10"/>
        <v>0.50639308883258882</v>
      </c>
      <c r="AA11" s="4"/>
      <c r="AB11">
        <v>6</v>
      </c>
      <c r="AC11" s="24">
        <f t="shared" ca="1" si="0"/>
        <v>-0.60714797559178346</v>
      </c>
      <c r="AD11" s="24">
        <f t="shared" ca="1" si="1"/>
        <v>-0.50918588154023647</v>
      </c>
      <c r="AE11" s="24">
        <f t="shared" ca="1" si="2"/>
        <v>-0.22784527801174759</v>
      </c>
      <c r="AF11" s="24"/>
      <c r="AG11">
        <v>6</v>
      </c>
      <c r="AH11">
        <f t="shared" ca="1" si="11"/>
        <v>306.26340007266577</v>
      </c>
      <c r="AI11">
        <f t="shared" ca="1" si="12"/>
        <v>162.53114578271033</v>
      </c>
      <c r="AJ11">
        <f t="shared" ca="1" si="13"/>
        <v>52.816223562744781</v>
      </c>
      <c r="AL11">
        <v>6</v>
      </c>
      <c r="AM11" s="4">
        <f t="shared" ca="1" si="3"/>
        <v>-1.0265648732153632E-2</v>
      </c>
      <c r="AN11" s="4">
        <f t="shared" ca="1" si="4"/>
        <v>-1.0525074771342013E-2</v>
      </c>
      <c r="AO11" s="4">
        <f t="shared" ca="1" si="5"/>
        <v>-4.0312129261348417E-3</v>
      </c>
      <c r="AP11" s="4">
        <f t="shared" ca="1" si="6"/>
        <v>-8.499088406023347E-3</v>
      </c>
      <c r="BK11" s="6"/>
    </row>
    <row r="12" spans="1:89" x14ac:dyDescent="0.3">
      <c r="A12" s="1">
        <v>45607</v>
      </c>
      <c r="B12" s="3">
        <f>Data!B9</f>
        <v>234.32946777343699</v>
      </c>
      <c r="C12" s="3">
        <f>Data!H9</f>
        <v>129.88313293457</v>
      </c>
      <c r="D12" s="3">
        <f>Data!N9</f>
        <v>45.020523071288999</v>
      </c>
      <c r="F12" s="1">
        <v>45607</v>
      </c>
      <c r="G12" s="4">
        <f t="shared" si="7"/>
        <v>9.7476014985322657E-3</v>
      </c>
      <c r="H12" s="4">
        <f t="shared" si="8"/>
        <v>3.0803847606349244E-2</v>
      </c>
      <c r="I12" s="4">
        <f t="shared" si="9"/>
        <v>2.1050394911193537E-2</v>
      </c>
      <c r="K12" s="2" t="s">
        <v>25</v>
      </c>
      <c r="L12" s="20">
        <f>1*10^6</f>
        <v>1000000</v>
      </c>
      <c r="M12" s="20">
        <f t="shared" ref="M12:N12" si="14">1*10^6</f>
        <v>1000000</v>
      </c>
      <c r="N12" s="20">
        <f t="shared" si="14"/>
        <v>1000000</v>
      </c>
      <c r="P12" s="16">
        <v>0.99</v>
      </c>
      <c r="Q12" s="16">
        <v>0.95</v>
      </c>
      <c r="R12" s="16">
        <v>0.9</v>
      </c>
      <c r="S12" s="69"/>
      <c r="T12">
        <v>6</v>
      </c>
      <c r="U12" s="4">
        <v>-4.2143272421947986E-2</v>
      </c>
      <c r="V12" s="4"/>
      <c r="W12">
        <v>7</v>
      </c>
      <c r="X12">
        <f t="shared" ca="1" si="10"/>
        <v>-1.2405465183630797</v>
      </c>
      <c r="Y12">
        <f t="shared" ca="1" si="10"/>
        <v>0.57718025322810695</v>
      </c>
      <c r="Z12">
        <f t="shared" ca="1" si="10"/>
        <v>-0.29727310511720545</v>
      </c>
      <c r="AA12" s="4"/>
      <c r="AB12">
        <v>7</v>
      </c>
      <c r="AC12" s="24">
        <f t="shared" ca="1" si="0"/>
        <v>-1.2405465183630797</v>
      </c>
      <c r="AD12" s="24">
        <f t="shared" ca="1" si="1"/>
        <v>-0.79509514758690303</v>
      </c>
      <c r="AE12" s="24">
        <f t="shared" ca="1" si="2"/>
        <v>-1.0041094433733755</v>
      </c>
      <c r="AF12" s="24"/>
      <c r="AG12">
        <v>7</v>
      </c>
      <c r="AH12">
        <f t="shared" ca="1" si="11"/>
        <v>302.98244129274309</v>
      </c>
      <c r="AI12">
        <f t="shared" ca="1" si="12"/>
        <v>161.56784782367248</v>
      </c>
      <c r="AJ12">
        <f t="shared" ca="1" si="13"/>
        <v>52.093598686510987</v>
      </c>
      <c r="AL12">
        <v>7</v>
      </c>
      <c r="AM12" s="4">
        <f t="shared" ca="1" si="3"/>
        <v>-2.0868540258901058E-2</v>
      </c>
      <c r="AN12" s="4">
        <f t="shared" ca="1" si="4"/>
        <v>-1.6389545678759276E-2</v>
      </c>
      <c r="AO12" s="4">
        <f t="shared" ca="1" si="5"/>
        <v>-1.7657931630037815E-2</v>
      </c>
      <c r="AP12" s="4">
        <f t="shared" ca="1" si="6"/>
        <v>-1.8113759838185372E-2</v>
      </c>
      <c r="CK12" s="6"/>
    </row>
    <row r="13" spans="1:89" x14ac:dyDescent="0.3">
      <c r="A13" s="1">
        <v>45608</v>
      </c>
      <c r="B13" s="3">
        <f>Data!B10</f>
        <v>234.59388732910099</v>
      </c>
      <c r="C13" s="3">
        <f>Data!H10</f>
        <v>128.70608520507801</v>
      </c>
      <c r="D13" s="3">
        <f>Data!N10</f>
        <v>44.805580139160099</v>
      </c>
      <c r="F13" s="1">
        <v>45608</v>
      </c>
      <c r="G13" s="4">
        <f t="shared" si="7"/>
        <v>1.1284093211856305E-3</v>
      </c>
      <c r="H13" s="4">
        <f t="shared" si="8"/>
        <v>-9.062360160999039E-3</v>
      </c>
      <c r="I13" s="4">
        <f t="shared" si="9"/>
        <v>-4.774332181537333E-3</v>
      </c>
      <c r="K13" s="17" t="s">
        <v>26</v>
      </c>
      <c r="L13" s="22">
        <f>L12*L11</f>
        <v>-38068.767024374371</v>
      </c>
      <c r="M13" s="22">
        <f>M12*M11</f>
        <v>-29734.167223071836</v>
      </c>
      <c r="N13" s="22">
        <f>N12*N11</f>
        <v>-23804.262243076613</v>
      </c>
      <c r="P13" s="4">
        <f>_xlfn.PERCENTILE.EXC(U7:U1006,0.01)</f>
        <v>-3.8053320914067358E-2</v>
      </c>
      <c r="Q13" s="4">
        <f>_xlfn.PERCENTILE.EXC(U7:U1006,0.05)</f>
        <v>-2.9724765472583532E-2</v>
      </c>
      <c r="R13" s="4">
        <f>_xlfn.PERCENTILE.EXC(U7:U1006,0.1)</f>
        <v>-2.3802703685621669E-2</v>
      </c>
      <c r="T13">
        <v>7</v>
      </c>
      <c r="U13" s="4">
        <v>-4.0496602979433916E-2</v>
      </c>
      <c r="V13" s="4"/>
      <c r="W13">
        <v>8</v>
      </c>
      <c r="X13">
        <f t="shared" ca="1" si="10"/>
        <v>-0.2742531514488199</v>
      </c>
      <c r="Y13">
        <f t="shared" ca="1" si="10"/>
        <v>-1.2751514571776208</v>
      </c>
      <c r="Z13">
        <f t="shared" ca="1" si="10"/>
        <v>0.14744756917827415</v>
      </c>
      <c r="AA13" s="4"/>
      <c r="AB13">
        <v>8</v>
      </c>
      <c r="AC13" s="24">
        <f t="shared" ca="1" si="0"/>
        <v>-0.2742531514488199</v>
      </c>
      <c r="AD13" s="24">
        <f t="shared" ca="1" si="1"/>
        <v>-0.86696644120669064</v>
      </c>
      <c r="AE13" s="24">
        <f t="shared" ca="1" si="2"/>
        <v>-0.50102210349169185</v>
      </c>
      <c r="AF13" s="24"/>
      <c r="AG13">
        <v>8</v>
      </c>
      <c r="AH13">
        <f t="shared" ca="1" si="11"/>
        <v>308.00199043960208</v>
      </c>
      <c r="AI13">
        <f t="shared" ca="1" si="12"/>
        <v>161.32659524841969</v>
      </c>
      <c r="AJ13">
        <f t="shared" ca="1" si="13"/>
        <v>52.560787057086806</v>
      </c>
      <c r="AL13">
        <v>8</v>
      </c>
      <c r="AM13" s="4">
        <f t="shared" ca="1" si="3"/>
        <v>-4.6471431956385256E-3</v>
      </c>
      <c r="AN13" s="4">
        <f t="shared" ca="1" si="4"/>
        <v>-1.7858269551404682E-2</v>
      </c>
      <c r="AO13" s="4">
        <f t="shared" ca="1" si="5"/>
        <v>-8.8480432398797548E-3</v>
      </c>
      <c r="AP13" s="4">
        <f t="shared" ca="1" si="6"/>
        <v>-1.1191863751217357E-2</v>
      </c>
    </row>
    <row r="14" spans="1:89" x14ac:dyDescent="0.3">
      <c r="A14" s="1">
        <v>45609</v>
      </c>
      <c r="B14" s="3">
        <f>Data!B11</f>
        <v>236.160720825195</v>
      </c>
      <c r="C14" s="3">
        <f>Data!H11</f>
        <v>129.14382934570301</v>
      </c>
      <c r="D14" s="3">
        <f>Data!N11</f>
        <v>44.815349578857401</v>
      </c>
      <c r="F14" s="1">
        <v>45609</v>
      </c>
      <c r="G14" s="4">
        <f t="shared" si="7"/>
        <v>6.6789186791382793E-3</v>
      </c>
      <c r="H14" s="4">
        <f t="shared" si="8"/>
        <v>3.4011145621242189E-3</v>
      </c>
      <c r="I14" s="4">
        <f t="shared" si="9"/>
        <v>2.1804069196207365E-4</v>
      </c>
      <c r="K14" s="17" t="s">
        <v>91</v>
      </c>
      <c r="L14" s="22">
        <f>AVERAGE(U7:U15)*L12</f>
        <v>-45314.427744012348</v>
      </c>
      <c r="M14" s="22">
        <f>AVERAGE(U7:U55)*M12</f>
        <v>-35152.795021890226</v>
      </c>
      <c r="N14" s="22">
        <f>AVERAGE(U7:U105)*N12</f>
        <v>-30929.007585017542</v>
      </c>
      <c r="P14" s="20">
        <f>1*10^6</f>
        <v>1000000</v>
      </c>
      <c r="Q14" s="20">
        <f t="shared" ref="Q14:R14" si="15">1*10^6</f>
        <v>1000000</v>
      </c>
      <c r="R14" s="20">
        <f t="shared" si="15"/>
        <v>1000000</v>
      </c>
      <c r="T14">
        <v>8</v>
      </c>
      <c r="U14" s="4">
        <v>-4.0074734620500652E-2</v>
      </c>
      <c r="V14" s="4"/>
      <c r="W14">
        <v>9</v>
      </c>
      <c r="X14">
        <f t="shared" ca="1" si="10"/>
        <v>-0.15979840100507392</v>
      </c>
      <c r="Y14">
        <f t="shared" ca="1" si="10"/>
        <v>-0.38133693736729135</v>
      </c>
      <c r="Z14">
        <f t="shared" ca="1" si="10"/>
        <v>-0.68941921020407415</v>
      </c>
      <c r="AA14" s="4"/>
      <c r="AB14">
        <v>9</v>
      </c>
      <c r="AC14" s="24">
        <f t="shared" ca="1" si="0"/>
        <v>-0.15979840100507392</v>
      </c>
      <c r="AD14" s="24">
        <f t="shared" ca="1" si="1"/>
        <v>-0.32695269643740688</v>
      </c>
      <c r="AE14" s="24">
        <f t="shared" ca="1" si="2"/>
        <v>-0.58558945036921828</v>
      </c>
      <c r="AF14" s="24"/>
      <c r="AG14">
        <v>9</v>
      </c>
      <c r="AH14">
        <f t="shared" ca="1" si="11"/>
        <v>308.60202376677125</v>
      </c>
      <c r="AI14">
        <f t="shared" ca="1" si="12"/>
        <v>163.14812860674201</v>
      </c>
      <c r="AJ14">
        <f t="shared" ca="1" si="13"/>
        <v>52.481962272701445</v>
      </c>
      <c r="AL14">
        <v>9</v>
      </c>
      <c r="AM14" s="4">
        <f t="shared" ca="1" si="3"/>
        <v>-2.7080489530226792E-3</v>
      </c>
      <c r="AN14" s="4">
        <f t="shared" ca="1" si="4"/>
        <v>-6.7689391043217473E-3</v>
      </c>
      <c r="AO14" s="4">
        <f t="shared" ca="1" si="5"/>
        <v>-1.0334461987755339E-2</v>
      </c>
      <c r="AP14" s="4">
        <f t="shared" ca="1" si="6"/>
        <v>-6.6203289239621047E-3</v>
      </c>
    </row>
    <row r="15" spans="1:89" x14ac:dyDescent="0.3">
      <c r="A15" s="1">
        <v>45610</v>
      </c>
      <c r="B15" s="3">
        <f>Data!B12</f>
        <v>236.85600280761699</v>
      </c>
      <c r="C15" s="3">
        <f>Data!H12</f>
        <v>128.82279968261699</v>
      </c>
      <c r="D15" s="3">
        <f>Data!N12</f>
        <v>44.844657897949197</v>
      </c>
      <c r="F15" s="1">
        <v>45610</v>
      </c>
      <c r="G15" s="4">
        <f t="shared" si="7"/>
        <v>2.9441050992413675E-3</v>
      </c>
      <c r="H15" s="4">
        <f t="shared" si="8"/>
        <v>-2.4858304474359993E-3</v>
      </c>
      <c r="I15" s="4">
        <f t="shared" si="9"/>
        <v>6.5397948174483744E-4</v>
      </c>
      <c r="K15" s="17" t="s">
        <v>94</v>
      </c>
      <c r="L15" s="22">
        <f>L13*SQRT(10)</f>
        <v>-120384.01151133375</v>
      </c>
      <c r="M15" s="22">
        <f t="shared" ref="M15:N15" si="16">M13*SQRT(10)</f>
        <v>-94027.692753230935</v>
      </c>
      <c r="N15" s="22">
        <f t="shared" si="16"/>
        <v>-75275.686708070818</v>
      </c>
      <c r="P15" s="22">
        <f>P14*P13</f>
        <v>-38053.320914067357</v>
      </c>
      <c r="Q15" s="22">
        <f>Q14*Q13</f>
        <v>-29724.765472583531</v>
      </c>
      <c r="R15" s="22">
        <f>R14*R13</f>
        <v>-23802.703685621669</v>
      </c>
      <c r="T15">
        <v>9</v>
      </c>
      <c r="U15" s="4">
        <v>-3.9739181384516792E-2</v>
      </c>
      <c r="V15" s="4"/>
      <c r="W15">
        <v>10</v>
      </c>
      <c r="X15">
        <f t="shared" ca="1" si="10"/>
        <v>0.10271273582643872</v>
      </c>
      <c r="Y15">
        <f t="shared" ca="1" si="10"/>
        <v>-1.4080126487248712</v>
      </c>
      <c r="Z15">
        <f t="shared" ca="1" si="10"/>
        <v>-4.5007121020911221E-2</v>
      </c>
      <c r="AA15" s="4"/>
      <c r="AB15">
        <v>10</v>
      </c>
      <c r="AC15" s="24">
        <f t="shared" ca="1" si="0"/>
        <v>0.10271273582643872</v>
      </c>
      <c r="AD15" s="24">
        <f t="shared" ca="1" si="1"/>
        <v>-0.60440546451389121</v>
      </c>
      <c r="AE15" s="24">
        <f t="shared" ca="1" si="2"/>
        <v>-0.32768204058642159</v>
      </c>
      <c r="AF15" s="24"/>
      <c r="AG15">
        <v>10</v>
      </c>
      <c r="AH15">
        <f t="shared" ca="1" si="11"/>
        <v>309.98266715843175</v>
      </c>
      <c r="AI15">
        <f t="shared" ca="1" si="12"/>
        <v>162.20969162642103</v>
      </c>
      <c r="AJ15">
        <f t="shared" ca="1" si="13"/>
        <v>52.72272665811834</v>
      </c>
      <c r="AL15">
        <v>10</v>
      </c>
      <c r="AM15" s="4">
        <f t="shared" ca="1" si="3"/>
        <v>1.7536993043698601E-3</v>
      </c>
      <c r="AN15" s="4">
        <f t="shared" ca="1" si="4"/>
        <v>-1.2482058620357783E-2</v>
      </c>
      <c r="AO15" s="4">
        <f t="shared" ca="1" si="5"/>
        <v>-5.7943075287871793E-3</v>
      </c>
      <c r="AP15" s="4">
        <f t="shared" ca="1" si="6"/>
        <v>-6.2050059154683092E-3</v>
      </c>
      <c r="BL15" s="6"/>
    </row>
    <row r="16" spans="1:89" x14ac:dyDescent="0.3">
      <c r="A16" s="1">
        <v>45611</v>
      </c>
      <c r="B16" s="3">
        <f>Data!B13</f>
        <v>240.224685668945</v>
      </c>
      <c r="C16" s="3">
        <f>Data!H13</f>
        <v>130.40841674804599</v>
      </c>
      <c r="D16" s="3">
        <f>Data!N13</f>
        <v>45.675113677978501</v>
      </c>
      <c r="F16" s="1">
        <v>45611</v>
      </c>
      <c r="G16" s="4">
        <f t="shared" si="7"/>
        <v>1.4222493081858634E-2</v>
      </c>
      <c r="H16" s="4">
        <f t="shared" si="8"/>
        <v>1.2308512696009632E-2</v>
      </c>
      <c r="I16" s="4">
        <f t="shared" si="9"/>
        <v>1.8518499615252537E-2</v>
      </c>
      <c r="T16">
        <v>10</v>
      </c>
      <c r="U16" s="4">
        <v>-3.8068767024374374E-2</v>
      </c>
      <c r="V16" s="4"/>
      <c r="W16">
        <v>11</v>
      </c>
      <c r="X16">
        <f t="shared" ca="1" si="10"/>
        <v>-0.89857156168502283</v>
      </c>
      <c r="Y16">
        <f t="shared" ca="1" si="10"/>
        <v>-3.1299476639849153E-2</v>
      </c>
      <c r="Z16">
        <f t="shared" ca="1" si="10"/>
        <v>-0.45850692374834784</v>
      </c>
      <c r="AA16" s="4"/>
      <c r="AB16">
        <v>11</v>
      </c>
      <c r="AC16" s="24">
        <f t="shared" ca="1" si="0"/>
        <v>-0.89857156168502283</v>
      </c>
      <c r="AD16" s="24">
        <f t="shared" ca="1" si="1"/>
        <v>-0.79733859187316103</v>
      </c>
      <c r="AE16" s="24">
        <f t="shared" ca="1" si="2"/>
        <v>-0.97477772843053123</v>
      </c>
      <c r="AF16" s="24"/>
      <c r="AG16">
        <v>11</v>
      </c>
      <c r="AH16">
        <f t="shared" ca="1" si="11"/>
        <v>304.74945716565759</v>
      </c>
      <c r="AI16">
        <f t="shared" ca="1" si="12"/>
        <v>161.56031173323589</v>
      </c>
      <c r="AJ16">
        <f t="shared" ca="1" si="13"/>
        <v>52.120723011493233</v>
      </c>
      <c r="AL16">
        <v>11</v>
      </c>
      <c r="AM16" s="4">
        <f t="shared" ca="1" si="3"/>
        <v>-1.5158173599861602E-2</v>
      </c>
      <c r="AN16" s="4">
        <f t="shared" ca="1" si="4"/>
        <v>-1.6435424716191416E-2</v>
      </c>
      <c r="AO16" s="4">
        <f t="shared" ca="1" si="5"/>
        <v>-1.714644142436883E-2</v>
      </c>
      <c r="AP16" s="4">
        <f t="shared" ca="1" si="6"/>
        <v>-1.6265554393745697E-2</v>
      </c>
    </row>
    <row r="17" spans="1:59" x14ac:dyDescent="0.3">
      <c r="A17" s="1">
        <v>45614</v>
      </c>
      <c r="B17" s="3">
        <f>Data!B14</f>
        <v>239.95048522949199</v>
      </c>
      <c r="C17" s="3">
        <f>Data!H14</f>
        <v>130.13604736328099</v>
      </c>
      <c r="D17" s="3">
        <f>Data!N14</f>
        <v>45.645809173583899</v>
      </c>
      <c r="F17" s="1">
        <v>45614</v>
      </c>
      <c r="G17" s="4">
        <f t="shared" si="7"/>
        <v>-1.1414332323484988E-3</v>
      </c>
      <c r="H17" s="4">
        <f t="shared" si="8"/>
        <v>-2.0885874666450865E-3</v>
      </c>
      <c r="I17" s="4">
        <f t="shared" si="9"/>
        <v>-6.4158580099449303E-4</v>
      </c>
      <c r="T17">
        <v>11</v>
      </c>
      <c r="U17" s="4">
        <v>-3.6524155993673021E-2</v>
      </c>
      <c r="V17" s="4"/>
      <c r="W17">
        <v>12</v>
      </c>
      <c r="X17">
        <f t="shared" ca="1" si="10"/>
        <v>2.1355042588675484</v>
      </c>
      <c r="Y17">
        <f t="shared" ca="1" si="10"/>
        <v>0.39312396854331094</v>
      </c>
      <c r="Z17">
        <f t="shared" ca="1" si="10"/>
        <v>-1.6643828632128468</v>
      </c>
      <c r="AA17" s="4"/>
      <c r="AB17">
        <v>12</v>
      </c>
      <c r="AC17" s="24">
        <f t="shared" ca="1" si="0"/>
        <v>2.1355042588675484</v>
      </c>
      <c r="AD17" s="24">
        <f t="shared" ca="1" si="1"/>
        <v>2.051973973249607</v>
      </c>
      <c r="AE17" s="24">
        <f t="shared" ca="1" si="2"/>
        <v>1.0068763803830441</v>
      </c>
      <c r="AF17" s="24"/>
      <c r="AG17">
        <v>12</v>
      </c>
      <c r="AH17">
        <f t="shared" ca="1" si="11"/>
        <v>320.88509638402974</v>
      </c>
      <c r="AI17">
        <f t="shared" ca="1" si="12"/>
        <v>171.42057277613966</v>
      </c>
      <c r="AJ17">
        <f t="shared" ca="1" si="13"/>
        <v>53.986335568174333</v>
      </c>
      <c r="AL17">
        <v>12</v>
      </c>
      <c r="AM17" s="4">
        <f t="shared" ca="1" si="3"/>
        <v>3.6986471859891124E-2</v>
      </c>
      <c r="AN17" s="4">
        <f t="shared" ca="1" si="4"/>
        <v>4.3592953298234205E-2</v>
      </c>
      <c r="AO17" s="4">
        <f t="shared" ca="1" si="5"/>
        <v>1.8033882913286003E-2</v>
      </c>
      <c r="AP17" s="4">
        <f t="shared" ca="1" si="6"/>
        <v>3.3943287751246817E-2</v>
      </c>
    </row>
    <row r="18" spans="1:59" x14ac:dyDescent="0.3">
      <c r="A18" s="1">
        <v>45615</v>
      </c>
      <c r="B18" s="3">
        <f>Data!B15</f>
        <v>238.05070495605401</v>
      </c>
      <c r="C18" s="3">
        <f>Data!H15</f>
        <v>128.63801574707</v>
      </c>
      <c r="D18" s="3">
        <f>Data!N15</f>
        <v>45.342933654785099</v>
      </c>
      <c r="F18" s="1">
        <v>45615</v>
      </c>
      <c r="G18" s="4">
        <f t="shared" si="7"/>
        <v>-7.9173845871618465E-3</v>
      </c>
      <c r="H18" s="4">
        <f t="shared" si="8"/>
        <v>-1.1511273367856067E-2</v>
      </c>
      <c r="I18" s="4">
        <f t="shared" si="9"/>
        <v>-6.6353412127498901E-3</v>
      </c>
      <c r="K18" s="30"/>
      <c r="L18" s="2" t="s">
        <v>5</v>
      </c>
      <c r="M18" s="2" t="s">
        <v>6</v>
      </c>
      <c r="N18" s="2" t="s">
        <v>7</v>
      </c>
      <c r="T18">
        <v>12</v>
      </c>
      <c r="U18" s="4">
        <v>-3.6407532978647385E-2</v>
      </c>
      <c r="V18" s="4"/>
      <c r="W18">
        <v>13</v>
      </c>
      <c r="X18">
        <f t="shared" ca="1" si="10"/>
        <v>-1.1109815151400602</v>
      </c>
      <c r="Y18">
        <f t="shared" ca="1" si="10"/>
        <v>-0.82502413914270756</v>
      </c>
      <c r="Z18">
        <f t="shared" ca="1" si="10"/>
        <v>0.54539800128598748</v>
      </c>
      <c r="AA18" s="4"/>
      <c r="AB18">
        <v>13</v>
      </c>
      <c r="AC18" s="24">
        <f t="shared" ca="1" si="0"/>
        <v>-1.1109815151400602</v>
      </c>
      <c r="AD18" s="24">
        <f t="shared" ca="1" si="1"/>
        <v>-1.3732724344579434</v>
      </c>
      <c r="AE18" s="24">
        <f t="shared" ca="1" si="2"/>
        <v>-0.85776013570876897</v>
      </c>
      <c r="AF18" s="24"/>
      <c r="AG18">
        <v>13</v>
      </c>
      <c r="AH18">
        <f t="shared" ca="1" si="11"/>
        <v>303.65070674764775</v>
      </c>
      <c r="AI18">
        <f t="shared" ca="1" si="12"/>
        <v>159.63723930701534</v>
      </c>
      <c r="AJ18">
        <f t="shared" ca="1" si="13"/>
        <v>52.229074954363767</v>
      </c>
      <c r="AL18">
        <v>13</v>
      </c>
      <c r="AM18" s="4">
        <f t="shared" ca="1" si="3"/>
        <v>-1.870894405404E-2</v>
      </c>
      <c r="AN18" s="4">
        <f t="shared" ca="1" si="4"/>
        <v>-2.8142915831080861E-2</v>
      </c>
      <c r="AO18" s="4">
        <f t="shared" ca="1" si="5"/>
        <v>-1.5103221636235675E-2</v>
      </c>
      <c r="AP18" s="4">
        <f t="shared" ca="1" si="6"/>
        <v>-2.1400816039515047E-2</v>
      </c>
    </row>
    <row r="19" spans="1:59" x14ac:dyDescent="0.3">
      <c r="A19" s="1">
        <v>45616</v>
      </c>
      <c r="B19" s="3">
        <f>Data!B16</f>
        <v>235.78858947753901</v>
      </c>
      <c r="C19" s="3">
        <f>Data!H16</f>
        <v>128.10299682617099</v>
      </c>
      <c r="D19" s="3">
        <f>Data!N16</f>
        <v>45.000984191894503</v>
      </c>
      <c r="F19" s="1">
        <v>45616</v>
      </c>
      <c r="G19" s="4">
        <f t="shared" si="7"/>
        <v>-9.5026623799858712E-3</v>
      </c>
      <c r="H19" s="4">
        <f t="shared" si="8"/>
        <v>-4.1591042724956617E-3</v>
      </c>
      <c r="I19" s="4">
        <f t="shared" si="9"/>
        <v>-7.5414058008245188E-3</v>
      </c>
      <c r="K19" s="30" t="s">
        <v>60</v>
      </c>
      <c r="L19" s="15">
        <f>AVERAGE(G7:G254)</f>
        <v>1.5504217470040391E-3</v>
      </c>
      <c r="M19" s="15">
        <f t="shared" ref="M19:N19" si="17">AVERAGE(H7:H254)</f>
        <v>1.6997955098659956E-3</v>
      </c>
      <c r="N19" s="15">
        <f t="shared" si="17"/>
        <v>1.2163593216991662E-3</v>
      </c>
      <c r="T19">
        <v>13</v>
      </c>
      <c r="U19" s="4">
        <v>-3.6019371749869369E-2</v>
      </c>
      <c r="V19" s="4"/>
      <c r="W19">
        <v>14</v>
      </c>
      <c r="X19">
        <f t="shared" ca="1" si="10"/>
        <v>-2.1687866403010245</v>
      </c>
      <c r="Y19">
        <f t="shared" ca="1" si="10"/>
        <v>-0.23404161547100349</v>
      </c>
      <c r="Z19">
        <f t="shared" ca="1" si="10"/>
        <v>1.1460780231929835</v>
      </c>
      <c r="AA19" s="4"/>
      <c r="AB19">
        <v>14</v>
      </c>
      <c r="AC19" s="24">
        <f t="shared" ca="1" si="0"/>
        <v>-2.1687866403010245</v>
      </c>
      <c r="AD19" s="24">
        <f t="shared" ca="1" si="1"/>
        <v>-2.0025493407290749</v>
      </c>
      <c r="AE19" s="24">
        <f t="shared" ca="1" si="2"/>
        <v>-1.2531759478203341</v>
      </c>
      <c r="AF19" s="24"/>
      <c r="AG19">
        <v>14</v>
      </c>
      <c r="AH19">
        <f t="shared" ca="1" si="11"/>
        <v>298.23761715503372</v>
      </c>
      <c r="AI19">
        <f t="shared" ca="1" si="12"/>
        <v>157.5622109759652</v>
      </c>
      <c r="AJ19">
        <f t="shared" ca="1" si="13"/>
        <v>51.863844045275378</v>
      </c>
      <c r="AL19">
        <v>14</v>
      </c>
      <c r="AM19" s="4">
        <f t="shared" ca="1" si="3"/>
        <v>-3.6202123830106681E-2</v>
      </c>
      <c r="AN19" s="4">
        <f t="shared" ca="1" si="4"/>
        <v>-4.0775500760114158E-2</v>
      </c>
      <c r="AO19" s="4">
        <f t="shared" ca="1" si="5"/>
        <v>-2.1990472579016762E-2</v>
      </c>
      <c r="AP19" s="4">
        <f t="shared" ca="1" si="6"/>
        <v>-3.37679792267827E-2</v>
      </c>
      <c r="BF19" s="3"/>
      <c r="BG19" s="3"/>
    </row>
    <row r="20" spans="1:59" x14ac:dyDescent="0.3">
      <c r="A20" s="1">
        <v>45617</v>
      </c>
      <c r="B20" s="3">
        <f>Data!B17</f>
        <v>239.68609619140599</v>
      </c>
      <c r="C20" s="3">
        <f>Data!H17</f>
        <v>131.31309509277301</v>
      </c>
      <c r="D20" s="3">
        <f>Data!N17</f>
        <v>45.391780853271399</v>
      </c>
      <c r="F20" s="1">
        <v>45617</v>
      </c>
      <c r="G20" s="4">
        <f t="shared" si="7"/>
        <v>1.6529666352825156E-2</v>
      </c>
      <c r="H20" s="4">
        <f t="shared" si="8"/>
        <v>2.505872888327465E-2</v>
      </c>
      <c r="I20" s="4">
        <f t="shared" si="9"/>
        <v>8.6841803217114766E-3</v>
      </c>
      <c r="K20" s="30" t="s">
        <v>20</v>
      </c>
      <c r="L20" s="6">
        <f>_xlfn.STDEV.S(G7:G254)</f>
        <v>1.7004557497973461E-2</v>
      </c>
      <c r="M20" s="6">
        <f t="shared" ref="M20:N20" si="18">_xlfn.STDEV.S(H7:H254)</f>
        <v>2.0791508568861427E-2</v>
      </c>
      <c r="N20" s="6">
        <f t="shared" si="18"/>
        <v>1.7746964587605395E-2</v>
      </c>
      <c r="T20">
        <v>14</v>
      </c>
      <c r="U20" s="4">
        <v>-3.5640631196312569E-2</v>
      </c>
      <c r="V20" s="4"/>
      <c r="W20">
        <v>15</v>
      </c>
      <c r="X20">
        <f t="shared" ca="1" si="10"/>
        <v>0.29331797715471203</v>
      </c>
      <c r="Y20">
        <f t="shared" ca="1" si="10"/>
        <v>1.9901075108045743</v>
      </c>
      <c r="Z20">
        <f t="shared" ca="1" si="10"/>
        <v>-0.50580888133465696</v>
      </c>
      <c r="AA20" s="4"/>
      <c r="AB20">
        <v>15</v>
      </c>
      <c r="AC20" s="24">
        <f t="shared" ca="1" si="0"/>
        <v>0.29331797715471203</v>
      </c>
      <c r="AD20" s="24">
        <f t="shared" ca="1" si="1"/>
        <v>1.2358434262459914</v>
      </c>
      <c r="AE20" s="24">
        <f t="shared" ca="1" si="2"/>
        <v>0.5320706040582095</v>
      </c>
      <c r="AF20" s="24"/>
      <c r="AG20">
        <v>14</v>
      </c>
      <c r="AH20">
        <f t="shared" ca="1" si="11"/>
        <v>310.98899985404432</v>
      </c>
      <c r="AI20">
        <f t="shared" ca="1" si="12"/>
        <v>168.53634798352584</v>
      </c>
      <c r="AJ20">
        <f t="shared" ca="1" si="13"/>
        <v>53.533338438603629</v>
      </c>
      <c r="AL20">
        <v>15</v>
      </c>
      <c r="AM20" s="4">
        <f t="shared" ca="1" si="3"/>
        <v>5.0058085587418866E-3</v>
      </c>
      <c r="AN20" s="4">
        <f t="shared" ca="1" si="4"/>
        <v>2.6034053450019412E-2</v>
      </c>
      <c r="AO20" s="4">
        <f t="shared" ca="1" si="5"/>
        <v>9.4916023174289599E-3</v>
      </c>
      <c r="AP20" s="4">
        <f t="shared" ca="1" si="6"/>
        <v>1.476284464285902E-2</v>
      </c>
      <c r="BF20" s="3"/>
      <c r="BG20" s="3"/>
    </row>
    <row r="21" spans="1:59" x14ac:dyDescent="0.3">
      <c r="A21" s="1">
        <v>45618</v>
      </c>
      <c r="B21" s="3">
        <f>Data!B18</f>
        <v>243.397537231445</v>
      </c>
      <c r="C21" s="3">
        <f>Data!H18</f>
        <v>131.02125549316401</v>
      </c>
      <c r="D21" s="3">
        <f>Data!N18</f>
        <v>45.919368743896399</v>
      </c>
      <c r="F21" s="1">
        <v>45618</v>
      </c>
      <c r="G21" s="4">
        <f t="shared" si="7"/>
        <v>1.5484590466503967E-2</v>
      </c>
      <c r="H21" s="4">
        <f t="shared" si="8"/>
        <v>-2.2224714100510523E-3</v>
      </c>
      <c r="I21" s="4">
        <f t="shared" si="9"/>
        <v>1.1622982855209463E-2</v>
      </c>
      <c r="K21" s="30" t="s">
        <v>100</v>
      </c>
      <c r="L21" s="3">
        <f>B254</f>
        <v>309.44000244140602</v>
      </c>
      <c r="M21" s="3">
        <f>C254</f>
        <v>164.259994506835</v>
      </c>
      <c r="N21" s="3">
        <f>D254</f>
        <v>53.029998779296797</v>
      </c>
      <c r="T21">
        <v>15</v>
      </c>
      <c r="U21" s="4">
        <v>-3.5590467988862534E-2</v>
      </c>
      <c r="V21" s="4"/>
      <c r="W21">
        <v>16</v>
      </c>
      <c r="X21">
        <f t="shared" ca="1" si="10"/>
        <v>1.8148958239108328</v>
      </c>
      <c r="Y21">
        <f t="shared" ca="1" si="10"/>
        <v>0.3129483617454174</v>
      </c>
      <c r="Z21">
        <f t="shared" ca="1" si="10"/>
        <v>2.6567453185175465</v>
      </c>
      <c r="AA21" s="4"/>
      <c r="AB21">
        <v>16</v>
      </c>
      <c r="AC21" s="24">
        <f t="shared" ca="1" si="0"/>
        <v>1.8148958239108328</v>
      </c>
      <c r="AD21" s="24">
        <f t="shared" ca="1" si="1"/>
        <v>1.7334822585879917</v>
      </c>
      <c r="AE21" s="24">
        <f t="shared" ca="1" si="2"/>
        <v>2.9160944765331234</v>
      </c>
      <c r="AF21" s="24"/>
      <c r="AG21">
        <v>16</v>
      </c>
      <c r="AH21">
        <f t="shared" ca="1" si="11"/>
        <v>319.14045359719182</v>
      </c>
      <c r="AI21">
        <f t="shared" ca="1" si="12"/>
        <v>170.28918900829842</v>
      </c>
      <c r="AJ21">
        <f t="shared" ca="1" si="13"/>
        <v>55.846887562674134</v>
      </c>
      <c r="AL21">
        <v>16</v>
      </c>
      <c r="AM21" s="4">
        <f t="shared" ca="1" si="3"/>
        <v>3.1348407055492578E-2</v>
      </c>
      <c r="AN21" s="4">
        <f t="shared" ca="1" si="4"/>
        <v>3.6705191179173813E-2</v>
      </c>
      <c r="AO21" s="4">
        <f t="shared" ca="1" si="5"/>
        <v>5.3118778959449386E-2</v>
      </c>
      <c r="AP21" s="4">
        <f t="shared" ca="1" si="6"/>
        <v>4.0022232276152113E-2</v>
      </c>
      <c r="BF21" s="3"/>
      <c r="BG21" s="3"/>
    </row>
    <row r="22" spans="1:59" ht="15" thickBot="1" x14ac:dyDescent="0.35">
      <c r="A22" s="1">
        <v>45621</v>
      </c>
      <c r="B22" s="3">
        <f>Data!B19</f>
        <v>245.101470947265</v>
      </c>
      <c r="C22" s="3">
        <f>Data!H19</f>
        <v>130.01930236816401</v>
      </c>
      <c r="D22" s="3">
        <f>Data!N19</f>
        <v>46.407871246337798</v>
      </c>
      <c r="F22" s="1">
        <v>45621</v>
      </c>
      <c r="G22" s="4">
        <f t="shared" si="7"/>
        <v>7.0006202001942075E-3</v>
      </c>
      <c r="H22" s="4">
        <f t="shared" si="8"/>
        <v>-7.6472563266826166E-3</v>
      </c>
      <c r="I22" s="4">
        <f t="shared" si="9"/>
        <v>1.0638266940599772E-2</v>
      </c>
      <c r="P22" s="23" t="s">
        <v>38</v>
      </c>
      <c r="T22">
        <v>16</v>
      </c>
      <c r="U22" s="4">
        <v>-3.5569650225824936E-2</v>
      </c>
      <c r="V22" s="4"/>
      <c r="W22">
        <v>17</v>
      </c>
      <c r="X22">
        <f t="shared" ca="1" si="10"/>
        <v>1.2626242774950851</v>
      </c>
      <c r="Y22">
        <f t="shared" ca="1" si="10"/>
        <v>-0.60955334180322074</v>
      </c>
      <c r="Z22">
        <f t="shared" ca="1" si="10"/>
        <v>0.20261762007220985</v>
      </c>
      <c r="AA22" s="4"/>
      <c r="AB22">
        <v>17</v>
      </c>
      <c r="AC22" s="24">
        <f t="shared" ca="1" si="0"/>
        <v>1.2626242774950851</v>
      </c>
      <c r="AD22" s="24">
        <f t="shared" ca="1" si="1"/>
        <v>0.79835519539939936</v>
      </c>
      <c r="AE22" s="24">
        <f t="shared" ca="1" si="2"/>
        <v>0.9651542963872094</v>
      </c>
      <c r="AF22" s="24"/>
      <c r="AG22">
        <v>17</v>
      </c>
      <c r="AH22">
        <f t="shared" ca="1" si="11"/>
        <v>316.15739215463958</v>
      </c>
      <c r="AI22">
        <f t="shared" ca="1" si="12"/>
        <v>167.01028565432969</v>
      </c>
      <c r="AJ22">
        <f t="shared" ca="1" si="13"/>
        <v>53.946376702526237</v>
      </c>
      <c r="AL22">
        <v>17</v>
      </c>
      <c r="AM22" s="4">
        <f t="shared" ca="1" si="3"/>
        <v>2.1708213741710836E-2</v>
      </c>
      <c r="AN22" s="4">
        <f t="shared" ca="1" si="4"/>
        <v>1.6743523922255088E-2</v>
      </c>
      <c r="AO22" s="4">
        <f t="shared" ca="1" si="5"/>
        <v>1.7280368552208936E-2</v>
      </c>
      <c r="AP22" s="4">
        <f t="shared" ca="1" si="6"/>
        <v>1.8393984257077965E-2</v>
      </c>
    </row>
    <row r="23" spans="1:59" x14ac:dyDescent="0.3">
      <c r="A23" s="1">
        <v>45622</v>
      </c>
      <c r="B23" s="3">
        <f>Data!B20</f>
        <v>244.7880859375</v>
      </c>
      <c r="C23" s="3">
        <f>Data!H20</f>
        <v>127.704132080078</v>
      </c>
      <c r="D23" s="3">
        <f>Data!N20</f>
        <v>46.652122497558501</v>
      </c>
      <c r="F23" s="1">
        <v>45622</v>
      </c>
      <c r="G23" s="4">
        <f t="shared" si="7"/>
        <v>-1.278592937667189E-3</v>
      </c>
      <c r="H23" s="4">
        <f t="shared" si="8"/>
        <v>-1.7806358332321692E-2</v>
      </c>
      <c r="I23" s="4">
        <f t="shared" si="9"/>
        <v>5.2631427527496388E-3</v>
      </c>
      <c r="K23" s="70" t="s">
        <v>37</v>
      </c>
      <c r="L23" s="2" t="s">
        <v>5</v>
      </c>
      <c r="M23" s="2" t="s">
        <v>6</v>
      </c>
      <c r="N23" s="2" t="s">
        <v>7</v>
      </c>
      <c r="Q23" s="2" t="s">
        <v>5</v>
      </c>
      <c r="R23" s="2" t="s">
        <v>6</v>
      </c>
      <c r="S23" s="2" t="s">
        <v>7</v>
      </c>
      <c r="T23">
        <v>17</v>
      </c>
      <c r="U23" s="4">
        <v>-3.5280041842939244E-2</v>
      </c>
      <c r="V23" s="4"/>
      <c r="W23">
        <v>18</v>
      </c>
      <c r="X23">
        <f t="shared" ca="1" si="10"/>
        <v>-0.10026166830350279</v>
      </c>
      <c r="Y23">
        <f t="shared" ca="1" si="10"/>
        <v>0.44189107126732713</v>
      </c>
      <c r="Z23">
        <f t="shared" ca="1" si="10"/>
        <v>-0.14420590350682255</v>
      </c>
      <c r="AA23" s="4"/>
      <c r="AB23">
        <v>18</v>
      </c>
      <c r="AC23" s="24">
        <f t="shared" ca="1" si="0"/>
        <v>-0.10026166830350279</v>
      </c>
      <c r="AD23" s="24">
        <f t="shared" ca="1" si="1"/>
        <v>0.13049189023868374</v>
      </c>
      <c r="AE23" s="24">
        <f t="shared" ca="1" si="2"/>
        <v>-3.3040463891862298E-2</v>
      </c>
      <c r="AF23" s="24"/>
      <c r="AG23">
        <v>18</v>
      </c>
      <c r="AH23">
        <f t="shared" ca="1" si="11"/>
        <v>308.91460936126833</v>
      </c>
      <c r="AI23">
        <f t="shared" ca="1" si="12"/>
        <v>164.70722693909278</v>
      </c>
      <c r="AJ23">
        <f t="shared" ca="1" si="13"/>
        <v>52.999135500075887</v>
      </c>
      <c r="AL23">
        <v>18</v>
      </c>
      <c r="AM23" s="4">
        <f t="shared" ca="1" si="3"/>
        <v>-1.6978835185899044E-3</v>
      </c>
      <c r="AN23" s="4">
        <f t="shared" ca="1" si="4"/>
        <v>2.7227106247051935E-3</v>
      </c>
      <c r="AO23" s="4">
        <f t="shared" ca="1" si="5"/>
        <v>-5.8199660440039214E-4</v>
      </c>
      <c r="AP23" s="4">
        <f t="shared" ca="1" si="6"/>
        <v>4.051202129849885E-4</v>
      </c>
    </row>
    <row r="24" spans="1:59" x14ac:dyDescent="0.3">
      <c r="A24" s="1">
        <v>45623</v>
      </c>
      <c r="B24" s="3">
        <f>Data!B21</f>
        <v>244.61180114746</v>
      </c>
      <c r="C24" s="3">
        <f>Data!H21</f>
        <v>127.63606262207</v>
      </c>
      <c r="D24" s="3">
        <f>Data!N21</f>
        <v>46.671661376953097</v>
      </c>
      <c r="F24" s="1">
        <v>45623</v>
      </c>
      <c r="G24" s="4">
        <f t="shared" si="7"/>
        <v>-7.2015265516234273E-4</v>
      </c>
      <c r="H24" s="4">
        <f t="shared" si="8"/>
        <v>-5.3302471031491105E-4</v>
      </c>
      <c r="I24" s="4">
        <f t="shared" si="9"/>
        <v>4.188208027537943E-4</v>
      </c>
      <c r="K24" s="2" t="s">
        <v>5</v>
      </c>
      <c r="L24" s="3">
        <v>1</v>
      </c>
      <c r="M24" s="3">
        <f>L25</f>
        <v>0.87017676847404768</v>
      </c>
      <c r="N24" s="3">
        <f>L26</f>
        <v>0.8162268603384274</v>
      </c>
      <c r="P24" s="2" t="s">
        <v>5</v>
      </c>
      <c r="Q24">
        <f>SQRT(L24)</f>
        <v>1</v>
      </c>
      <c r="R24">
        <v>0</v>
      </c>
      <c r="S24">
        <v>0</v>
      </c>
      <c r="T24">
        <v>18</v>
      </c>
      <c r="U24" s="4">
        <v>-3.5094203753132866E-2</v>
      </c>
      <c r="V24" s="4"/>
      <c r="W24">
        <v>19</v>
      </c>
      <c r="X24">
        <f t="shared" ca="1" si="10"/>
        <v>1.170065120080052</v>
      </c>
      <c r="Y24">
        <f t="shared" ca="1" si="10"/>
        <v>0.81121808732629042</v>
      </c>
      <c r="Z24">
        <f t="shared" ca="1" si="10"/>
        <v>-0.76990448733249073</v>
      </c>
      <c r="AA24" s="4"/>
      <c r="AB24">
        <v>19</v>
      </c>
      <c r="AC24" s="24">
        <f t="shared" ca="1" si="0"/>
        <v>1.170065120080052</v>
      </c>
      <c r="AD24" s="24">
        <f t="shared" ca="1" si="1"/>
        <v>1.4178828253292823</v>
      </c>
      <c r="AE24" s="24">
        <f t="shared" ca="1" si="2"/>
        <v>0.78823412635493328</v>
      </c>
      <c r="AF24" s="24"/>
      <c r="AG24">
        <v>19</v>
      </c>
      <c r="AH24">
        <f t="shared" ca="1" si="11"/>
        <v>315.66017473103688</v>
      </c>
      <c r="AI24">
        <f t="shared" ca="1" si="12"/>
        <v>169.17544546757068</v>
      </c>
      <c r="AJ24">
        <f t="shared" ca="1" si="13"/>
        <v>53.77726171736014</v>
      </c>
      <c r="AL24">
        <v>19</v>
      </c>
      <c r="AM24" s="4">
        <f t="shared" ca="1" si="3"/>
        <v>2.0101383921132365E-2</v>
      </c>
      <c r="AN24" s="4">
        <f t="shared" ca="1" si="4"/>
        <v>2.9924821168377358E-2</v>
      </c>
      <c r="AO24" s="4">
        <f t="shared" ca="1" si="5"/>
        <v>1.4091324821132734E-2</v>
      </c>
      <c r="AP24" s="4">
        <f t="shared" ca="1" si="6"/>
        <v>2.2227741090030471E-2</v>
      </c>
    </row>
    <row r="25" spans="1:59" x14ac:dyDescent="0.3">
      <c r="A25" s="1">
        <v>45625</v>
      </c>
      <c r="B25" s="3">
        <f>Data!B22</f>
        <v>244.54327392578099</v>
      </c>
      <c r="C25" s="3">
        <f>Data!H22</f>
        <v>128.025146484375</v>
      </c>
      <c r="D25" s="3">
        <f>Data!N22</f>
        <v>46.417640686035099</v>
      </c>
      <c r="F25" s="1">
        <v>45625</v>
      </c>
      <c r="G25" s="4">
        <f t="shared" si="7"/>
        <v>-2.8014683411659025E-4</v>
      </c>
      <c r="H25" s="4">
        <f t="shared" si="8"/>
        <v>3.0483850278042457E-3</v>
      </c>
      <c r="I25" s="4">
        <f t="shared" si="9"/>
        <v>-5.4427179882530208E-3</v>
      </c>
      <c r="K25" s="2" t="s">
        <v>6</v>
      </c>
      <c r="L25" s="3">
        <v>0.87017676847404768</v>
      </c>
      <c r="M25" s="3">
        <v>1</v>
      </c>
      <c r="N25" s="3">
        <f>M26</f>
        <v>0.84628077136156032</v>
      </c>
      <c r="P25" s="2" t="s">
        <v>6</v>
      </c>
      <c r="Q25" s="3">
        <f>L25/Q24</f>
        <v>0.87017676847404768</v>
      </c>
      <c r="R25" s="3">
        <f>SQRT(M25-Q25^2)</f>
        <v>0.49273967935215413</v>
      </c>
      <c r="S25">
        <v>0</v>
      </c>
      <c r="T25">
        <v>19</v>
      </c>
      <c r="U25" s="4">
        <v>-3.4932628481595784E-2</v>
      </c>
      <c r="V25" s="4"/>
      <c r="W25">
        <v>20</v>
      </c>
      <c r="X25">
        <f t="shared" ca="1" si="10"/>
        <v>0.13358539854375642</v>
      </c>
      <c r="Y25">
        <f t="shared" ca="1" si="10"/>
        <v>-0.99720978564213636</v>
      </c>
      <c r="Z25">
        <f t="shared" ca="1" si="10"/>
        <v>-0.66860520333482587</v>
      </c>
      <c r="AA25" s="4"/>
      <c r="AB25">
        <v>20</v>
      </c>
      <c r="AC25" s="24">
        <f t="shared" ca="1" si="0"/>
        <v>0.13358539854375642</v>
      </c>
      <c r="AD25" s="24">
        <f t="shared" ca="1" si="1"/>
        <v>-0.37512191960401287</v>
      </c>
      <c r="AE25" s="24">
        <f t="shared" ca="1" si="2"/>
        <v>-0.50556789569494542</v>
      </c>
      <c r="AF25" s="24"/>
      <c r="AG25">
        <v>20</v>
      </c>
      <c r="AH25">
        <f t="shared" ca="1" si="11"/>
        <v>310.1454433323284</v>
      </c>
      <c r="AI25">
        <f t="shared" ca="1" si="12"/>
        <v>162.98481578472507</v>
      </c>
      <c r="AJ25">
        <f t="shared" ca="1" si="13"/>
        <v>52.556546938491131</v>
      </c>
      <c r="AL25">
        <v>20</v>
      </c>
      <c r="AM25" s="4">
        <f t="shared" ca="1" si="3"/>
        <v>2.279733988355126E-3</v>
      </c>
      <c r="AN25" s="4">
        <f t="shared" ca="1" si="4"/>
        <v>-7.763172803813001E-3</v>
      </c>
      <c r="AO25" s="4">
        <f t="shared" ca="1" si="5"/>
        <v>-8.9280002207072773E-3</v>
      </c>
      <c r="AP25" s="4">
        <f t="shared" ca="1" si="6"/>
        <v>-5.0997489912308451E-3</v>
      </c>
    </row>
    <row r="26" spans="1:59" ht="15" thickBot="1" x14ac:dyDescent="0.35">
      <c r="A26" s="1">
        <v>45628</v>
      </c>
      <c r="B26" s="3">
        <f>Data!B23</f>
        <v>241.14521789550699</v>
      </c>
      <c r="C26" s="3">
        <f>Data!H23</f>
        <v>127.4609375</v>
      </c>
      <c r="D26" s="3">
        <f>Data!N23</f>
        <v>45.958446502685497</v>
      </c>
      <c r="F26" s="1">
        <v>45628</v>
      </c>
      <c r="G26" s="4">
        <f t="shared" si="7"/>
        <v>-1.3895520313125909E-2</v>
      </c>
      <c r="H26" s="4">
        <f t="shared" si="8"/>
        <v>-4.4070169015104632E-3</v>
      </c>
      <c r="I26" s="4">
        <f t="shared" si="9"/>
        <v>-9.8926653005815268E-3</v>
      </c>
      <c r="K26" s="2" t="s">
        <v>7</v>
      </c>
      <c r="L26" s="71">
        <v>0.8162268603384274</v>
      </c>
      <c r="M26" s="71">
        <v>0.84628077136156032</v>
      </c>
      <c r="N26" s="71">
        <v>1</v>
      </c>
      <c r="P26" s="2" t="s">
        <v>7</v>
      </c>
      <c r="Q26" s="3">
        <f>L26/Q24</f>
        <v>0.8162268603384274</v>
      </c>
      <c r="R26" s="3">
        <f>(M26-Q26*Q25)/R25</f>
        <v>0.2760466132327426</v>
      </c>
      <c r="S26" s="3">
        <f>SQRT(N26-Q26^2-R26^2)</f>
        <v>0.50751549708832133</v>
      </c>
      <c r="T26">
        <v>20</v>
      </c>
      <c r="U26" s="4">
        <v>-3.4628335859545695E-2</v>
      </c>
      <c r="V26" s="4"/>
      <c r="W26">
        <v>21</v>
      </c>
      <c r="X26">
        <f t="shared" ca="1" si="10"/>
        <v>-0.28241805744381387</v>
      </c>
      <c r="Y26">
        <f t="shared" ca="1" si="10"/>
        <v>-1.6897630898041991</v>
      </c>
      <c r="Z26">
        <f t="shared" ca="1" si="10"/>
        <v>-1.5764302554317806</v>
      </c>
      <c r="AA26" s="4"/>
      <c r="AB26">
        <v>21</v>
      </c>
      <c r="AC26" s="24">
        <f t="shared" ca="1" si="0"/>
        <v>-0.28241805744381387</v>
      </c>
      <c r="AD26" s="24">
        <f t="shared" ca="1" si="1"/>
        <v>-1.0783669556364022</v>
      </c>
      <c r="AE26" s="24">
        <f t="shared" ca="1" si="2"/>
        <v>-1.4970333671469152</v>
      </c>
      <c r="AF26" s="24"/>
      <c r="AG26">
        <v>21</v>
      </c>
      <c r="AH26">
        <f t="shared" ca="1" si="11"/>
        <v>307.95923022279942</v>
      </c>
      <c r="AI26">
        <f t="shared" ca="1" si="12"/>
        <v>160.61906677154542</v>
      </c>
      <c r="AJ26">
        <f t="shared" ca="1" si="13"/>
        <v>51.639876369379287</v>
      </c>
      <c r="AL26">
        <v>21</v>
      </c>
      <c r="AM26" s="4">
        <f t="shared" ca="1" si="3"/>
        <v>-4.7853290037606078E-3</v>
      </c>
      <c r="AN26" s="4">
        <f t="shared" ca="1" si="4"/>
        <v>-2.2165638969007029E-2</v>
      </c>
      <c r="AO26" s="4">
        <f t="shared" ca="1" si="5"/>
        <v>-2.6213887269788572E-2</v>
      </c>
      <c r="AP26" s="4">
        <f t="shared" ca="1" si="6"/>
        <v>-1.8166020469667567E-2</v>
      </c>
    </row>
    <row r="27" spans="1:59" x14ac:dyDescent="0.3">
      <c r="A27" s="1">
        <v>45629</v>
      </c>
      <c r="B27" s="3">
        <f>Data!B24</f>
        <v>239.744857788085</v>
      </c>
      <c r="C27" s="3">
        <f>Data!H24</f>
        <v>126.88701629638599</v>
      </c>
      <c r="D27" s="3">
        <f>Data!N24</f>
        <v>45.743503570556598</v>
      </c>
      <c r="F27" s="1">
        <v>45629</v>
      </c>
      <c r="G27" s="4">
        <f t="shared" si="7"/>
        <v>-5.8071236893811884E-3</v>
      </c>
      <c r="H27" s="4">
        <f t="shared" si="8"/>
        <v>-4.5027222839468806E-3</v>
      </c>
      <c r="I27" s="4">
        <f t="shared" si="9"/>
        <v>-4.6768972514408258E-3</v>
      </c>
      <c r="T27">
        <v>21</v>
      </c>
      <c r="U27" s="4">
        <v>-3.4504667563989899E-2</v>
      </c>
      <c r="V27" s="4"/>
      <c r="W27">
        <v>22</v>
      </c>
      <c r="X27">
        <f t="shared" ca="1" si="10"/>
        <v>-0.42853886065949637</v>
      </c>
      <c r="Y27">
        <f t="shared" ca="1" si="10"/>
        <v>-0.51860410013405533</v>
      </c>
      <c r="Z27">
        <f t="shared" ca="1" si="10"/>
        <v>-1.345121924883145</v>
      </c>
      <c r="AA27" s="4"/>
      <c r="AB27">
        <v>22</v>
      </c>
      <c r="AC27" s="24">
        <f t="shared" ca="1" si="0"/>
        <v>-0.42853886065949637</v>
      </c>
      <c r="AD27" s="24">
        <f t="shared" ca="1" si="1"/>
        <v>-0.62844137894499763</v>
      </c>
      <c r="AE27" s="24">
        <f t="shared" ca="1" si="2"/>
        <v>-1.1756140565711966</v>
      </c>
      <c r="AF27" s="24"/>
      <c r="AG27">
        <v>22</v>
      </c>
      <c r="AH27">
        <f t="shared" ca="1" si="11"/>
        <v>307.19498774480917</v>
      </c>
      <c r="AI27">
        <f t="shared" ca="1" si="12"/>
        <v>162.12864873332941</v>
      </c>
      <c r="AJ27">
        <f t="shared" ca="1" si="13"/>
        <v>51.935283167633351</v>
      </c>
      <c r="AL27">
        <v>22</v>
      </c>
      <c r="AM27" s="4">
        <f t="shared" ca="1" si="3"/>
        <v>-7.2550888019785598E-3</v>
      </c>
      <c r="AN27" s="4">
        <f t="shared" ca="1" si="4"/>
        <v>-1.2975440428478202E-2</v>
      </c>
      <c r="AO27" s="4">
        <f t="shared" ca="1" si="5"/>
        <v>-2.064332711413952E-2</v>
      </c>
      <c r="AP27" s="4">
        <f t="shared" ca="1" si="6"/>
        <v>-1.3559700946226706E-2</v>
      </c>
    </row>
    <row r="28" spans="1:59" x14ac:dyDescent="0.3">
      <c r="A28" s="1">
        <v>45630</v>
      </c>
      <c r="B28" s="3">
        <f>Data!B25</f>
        <v>238.35426330566401</v>
      </c>
      <c r="C28" s="3">
        <f>Data!H25</f>
        <v>126.44927978515599</v>
      </c>
      <c r="D28" s="3">
        <f>Data!N25</f>
        <v>45.3038520812988</v>
      </c>
      <c r="F28" s="1">
        <v>45630</v>
      </c>
      <c r="G28" s="4">
        <f t="shared" si="7"/>
        <v>-5.8003099430402605E-3</v>
      </c>
      <c r="H28" s="4">
        <f t="shared" si="8"/>
        <v>-3.4498132591243014E-3</v>
      </c>
      <c r="I28" s="4">
        <f t="shared" si="9"/>
        <v>-9.6112333979766484E-3</v>
      </c>
      <c r="T28">
        <v>22</v>
      </c>
      <c r="U28" s="4">
        <v>-3.4346039610764857E-2</v>
      </c>
      <c r="V28" s="4"/>
      <c r="W28">
        <v>23</v>
      </c>
      <c r="X28">
        <f t="shared" ca="1" si="10"/>
        <v>-0.76954026286696475</v>
      </c>
      <c r="Y28">
        <f t="shared" ca="1" si="10"/>
        <v>-0.38087636306581252</v>
      </c>
      <c r="Z28">
        <f t="shared" ca="1" si="10"/>
        <v>-1.7017972520900178</v>
      </c>
      <c r="AA28" s="4"/>
      <c r="AB28">
        <v>23</v>
      </c>
      <c r="AC28" s="24">
        <f t="shared" ca="1" si="0"/>
        <v>-0.76954026286696475</v>
      </c>
      <c r="AD28" s="24">
        <f t="shared" ca="1" si="1"/>
        <v>-0.85730895616210767</v>
      </c>
      <c r="AE28" s="24">
        <f t="shared" ca="1" si="2"/>
        <v>-1.5969475410866374</v>
      </c>
      <c r="AF28" s="24"/>
      <c r="AG28">
        <v>23</v>
      </c>
      <c r="AH28">
        <f t="shared" ca="1" si="11"/>
        <v>305.41884818082224</v>
      </c>
      <c r="AI28">
        <f t="shared" ca="1" si="12"/>
        <v>161.35899186206368</v>
      </c>
      <c r="AJ28">
        <f t="shared" ca="1" si="13"/>
        <v>51.548391052670411</v>
      </c>
      <c r="AL28">
        <v>23</v>
      </c>
      <c r="AM28" s="4">
        <f t="shared" ca="1" si="3"/>
        <v>-1.2994939984675047E-2</v>
      </c>
      <c r="AN28" s="4">
        <f t="shared" ca="1" si="4"/>
        <v>-1.7661041895691842E-2</v>
      </c>
      <c r="AO28" s="4">
        <f t="shared" ca="1" si="5"/>
        <v>-2.7939048854076387E-2</v>
      </c>
      <c r="AP28" s="4">
        <f t="shared" ca="1" si="6"/>
        <v>-1.9344613409902168E-2</v>
      </c>
    </row>
    <row r="29" spans="1:59" x14ac:dyDescent="0.3">
      <c r="A29" s="1">
        <v>45631</v>
      </c>
      <c r="B29" s="3">
        <f>Data!B26</f>
        <v>240.39117431640599</v>
      </c>
      <c r="C29" s="3">
        <f>Data!H26</f>
        <v>126.770294189453</v>
      </c>
      <c r="D29" s="3">
        <f>Data!N26</f>
        <v>45.919368743896399</v>
      </c>
      <c r="F29" s="1">
        <v>45631</v>
      </c>
      <c r="G29" s="4">
        <f t="shared" si="7"/>
        <v>8.5457292959341125E-3</v>
      </c>
      <c r="H29" s="4">
        <f t="shared" si="8"/>
        <v>2.5386811600858206E-3</v>
      </c>
      <c r="I29" s="4">
        <f t="shared" si="9"/>
        <v>1.3586408976725473E-2</v>
      </c>
      <c r="T29">
        <v>23</v>
      </c>
      <c r="U29" s="4">
        <v>-3.3368566364786946E-2</v>
      </c>
      <c r="V29" s="4"/>
      <c r="W29">
        <v>24</v>
      </c>
      <c r="X29">
        <f t="shared" ca="1" si="10"/>
        <v>4.3734375203679461E-2</v>
      </c>
      <c r="Y29">
        <f t="shared" ca="1" si="10"/>
        <v>5.4389208488408357E-2</v>
      </c>
      <c r="Z29">
        <f t="shared" ca="1" si="10"/>
        <v>0.82405295779286902</v>
      </c>
      <c r="AA29" s="4"/>
      <c r="AB29">
        <v>24</v>
      </c>
      <c r="AC29" s="24">
        <f t="shared" ca="1" si="0"/>
        <v>4.3734375203679461E-2</v>
      </c>
      <c r="AD29" s="24">
        <f t="shared" ca="1" si="1"/>
        <v>6.4856358436765113E-2</v>
      </c>
      <c r="AE29" s="24">
        <f t="shared" ca="1" si="2"/>
        <v>0.46893077506234615</v>
      </c>
      <c r="AF29" s="24"/>
      <c r="AG29">
        <v>24</v>
      </c>
      <c r="AH29">
        <f t="shared" ca="1" si="11"/>
        <v>309.67194109477981</v>
      </c>
      <c r="AI29">
        <f t="shared" ca="1" si="12"/>
        <v>164.48261058869815</v>
      </c>
      <c r="AJ29">
        <f t="shared" ca="1" si="13"/>
        <v>53.473385770957542</v>
      </c>
      <c r="AL29">
        <v>24</v>
      </c>
      <c r="AM29" s="4">
        <f t="shared" ca="1" si="3"/>
        <v>7.4954321207298946E-4</v>
      </c>
      <c r="AN29" s="4">
        <f t="shared" ca="1" si="4"/>
        <v>1.3552665853393542E-3</v>
      </c>
      <c r="AO29" s="4">
        <f t="shared" ca="1" si="5"/>
        <v>8.3610598126930835E-3</v>
      </c>
      <c r="AP29" s="4">
        <f t="shared" ca="1" si="6"/>
        <v>3.2752875415655637E-3</v>
      </c>
    </row>
    <row r="30" spans="1:59" x14ac:dyDescent="0.3">
      <c r="A30" s="1">
        <v>45632</v>
      </c>
      <c r="B30" s="3">
        <f>Data!B27</f>
        <v>242.23220825195301</v>
      </c>
      <c r="C30" s="3">
        <f>Data!H27</f>
        <v>126.420104980468</v>
      </c>
      <c r="D30" s="3">
        <f>Data!N27</f>
        <v>45.929191589355398</v>
      </c>
      <c r="F30" s="1">
        <v>45632</v>
      </c>
      <c r="G30" s="4">
        <f t="shared" si="7"/>
        <v>7.6584922087190588E-3</v>
      </c>
      <c r="H30" s="4">
        <f t="shared" si="8"/>
        <v>-2.7623917040190404E-3</v>
      </c>
      <c r="I30" s="4">
        <f t="shared" si="9"/>
        <v>2.1391508044854568E-4</v>
      </c>
      <c r="T30">
        <v>24</v>
      </c>
      <c r="U30" s="4">
        <v>-3.3211525076020619E-2</v>
      </c>
      <c r="V30" s="4"/>
      <c r="W30">
        <v>25</v>
      </c>
      <c r="X30">
        <f t="shared" ca="1" si="10"/>
        <v>1.495067972640419</v>
      </c>
      <c r="Y30">
        <f t="shared" ca="1" si="10"/>
        <v>-1.2411241274427165</v>
      </c>
      <c r="Z30">
        <f t="shared" ca="1" si="10"/>
        <v>1.2537340478372461</v>
      </c>
      <c r="AA30" s="4"/>
      <c r="AB30">
        <v>25</v>
      </c>
      <c r="AC30" s="24">
        <f t="shared" ca="1" si="0"/>
        <v>1.495067972640419</v>
      </c>
      <c r="AD30" s="24">
        <f t="shared" ca="1" si="1"/>
        <v>0.68942231248893948</v>
      </c>
      <c r="AE30" s="24">
        <f t="shared" ca="1" si="2"/>
        <v>1.5139959838234955</v>
      </c>
      <c r="AF30" s="24"/>
      <c r="AG30">
        <v>25</v>
      </c>
      <c r="AH30">
        <f t="shared" ca="1" si="11"/>
        <v>317.40950948250196</v>
      </c>
      <c r="AI30">
        <f t="shared" ca="1" si="12"/>
        <v>166.63245560201582</v>
      </c>
      <c r="AJ30">
        <f t="shared" ca="1" si="13"/>
        <v>54.474396546856468</v>
      </c>
      <c r="AL30">
        <v>25</v>
      </c>
      <c r="AM30" s="4">
        <f t="shared" ca="1" si="3"/>
        <v>2.5754611485969692E-2</v>
      </c>
      <c r="AN30" s="4">
        <f t="shared" ca="1" si="4"/>
        <v>1.4443328713749093E-2</v>
      </c>
      <c r="AO30" s="4">
        <f t="shared" ca="1" si="5"/>
        <v>2.7237371314509096E-2</v>
      </c>
      <c r="AP30" s="4">
        <f t="shared" ca="1" si="6"/>
        <v>2.1674926325643273E-2</v>
      </c>
    </row>
    <row r="31" spans="1:59" x14ac:dyDescent="0.3">
      <c r="A31" s="1">
        <v>45635</v>
      </c>
      <c r="B31" s="3">
        <f>Data!B28</f>
        <v>238.75578308105401</v>
      </c>
      <c r="C31" s="3">
        <f>Data!H28</f>
        <v>125.07769012451099</v>
      </c>
      <c r="D31" s="3">
        <f>Data!N28</f>
        <v>45.1039428710937</v>
      </c>
      <c r="F31" s="1">
        <v>45635</v>
      </c>
      <c r="G31" s="4">
        <f t="shared" si="7"/>
        <v>-1.4351622337864578E-2</v>
      </c>
      <c r="H31" s="4">
        <f t="shared" si="8"/>
        <v>-1.0618681705448774E-2</v>
      </c>
      <c r="I31" s="4">
        <f t="shared" si="9"/>
        <v>-1.7967847673873716E-2</v>
      </c>
      <c r="T31">
        <v>25</v>
      </c>
      <c r="U31" s="4">
        <v>-3.3130456961693422E-2</v>
      </c>
      <c r="V31" s="4"/>
      <c r="W31">
        <v>26</v>
      </c>
      <c r="X31">
        <f t="shared" ca="1" si="10"/>
        <v>0.2118946894499725</v>
      </c>
      <c r="Y31">
        <f t="shared" ca="1" si="10"/>
        <v>-1.4050476438261239</v>
      </c>
      <c r="Z31">
        <f t="shared" ca="1" si="10"/>
        <v>-0.93720050260513432</v>
      </c>
      <c r="AA31" s="4"/>
      <c r="AB31">
        <v>26</v>
      </c>
      <c r="AC31" s="24">
        <f t="shared" ca="1" si="0"/>
        <v>0.2118946894499725</v>
      </c>
      <c r="AD31" s="24">
        <f t="shared" ca="1" si="1"/>
        <v>-0.50793688937099502</v>
      </c>
      <c r="AE31" s="24">
        <f t="shared" ca="1" si="2"/>
        <v>-0.69054828536777846</v>
      </c>
      <c r="AF31" s="24"/>
      <c r="AG31">
        <v>26</v>
      </c>
      <c r="AH31">
        <f t="shared" ca="1" si="11"/>
        <v>310.55871270392521</v>
      </c>
      <c r="AI31">
        <f t="shared" ca="1" si="12"/>
        <v>162.53536651642088</v>
      </c>
      <c r="AJ31">
        <f t="shared" ca="1" si="13"/>
        <v>52.384295073996078</v>
      </c>
      <c r="AL31">
        <v>26</v>
      </c>
      <c r="AM31" s="4">
        <f t="shared" ca="1" si="3"/>
        <v>3.6152735706205252E-3</v>
      </c>
      <c r="AN31" s="4">
        <f t="shared" ca="1" si="4"/>
        <v>-1.049937932600109E-2</v>
      </c>
      <c r="AO31" s="4">
        <f t="shared" ca="1" si="5"/>
        <v>-1.2176196872793477E-2</v>
      </c>
      <c r="AP31" s="4">
        <f t="shared" ca="1" si="6"/>
        <v>-6.7680287210523217E-3</v>
      </c>
    </row>
    <row r="32" spans="1:59" x14ac:dyDescent="0.3">
      <c r="A32" s="1">
        <v>45636</v>
      </c>
      <c r="B32" s="3">
        <f>Data!B29</f>
        <v>237.82546997070301</v>
      </c>
      <c r="C32" s="3">
        <f>Data!H29</f>
        <v>123.33644104003901</v>
      </c>
      <c r="D32" s="3">
        <f>Data!N29</f>
        <v>44.946750640869098</v>
      </c>
      <c r="F32" s="1">
        <v>45636</v>
      </c>
      <c r="G32" s="4">
        <f t="shared" si="7"/>
        <v>-3.896505032655706E-3</v>
      </c>
      <c r="H32" s="4">
        <f t="shared" si="8"/>
        <v>-1.3921340270504068E-2</v>
      </c>
      <c r="I32" s="4">
        <f t="shared" si="9"/>
        <v>-3.485110618241416E-3</v>
      </c>
      <c r="T32">
        <v>26</v>
      </c>
      <c r="U32" s="4">
        <v>-3.3056841817831251E-2</v>
      </c>
      <c r="V32" s="4"/>
      <c r="W32">
        <v>27</v>
      </c>
      <c r="X32">
        <f t="shared" ca="1" si="10"/>
        <v>-5.3445157146753103E-2</v>
      </c>
      <c r="Y32">
        <f t="shared" ca="1" si="10"/>
        <v>0.23483932508398656</v>
      </c>
      <c r="Z32">
        <f t="shared" ca="1" si="10"/>
        <v>-4.528656145257573E-2</v>
      </c>
      <c r="AA32" s="4"/>
      <c r="AB32">
        <v>27</v>
      </c>
      <c r="AC32" s="24">
        <f t="shared" ca="1" si="0"/>
        <v>-5.3445157146753103E-2</v>
      </c>
      <c r="AD32" s="24">
        <f t="shared" ca="1" si="1"/>
        <v>6.9207919604610535E-2</v>
      </c>
      <c r="AE32" s="24">
        <f t="shared" ca="1" si="2"/>
        <v>-1.7804042219153916E-3</v>
      </c>
      <c r="AF32" s="24"/>
      <c r="AG32">
        <v>27</v>
      </c>
      <c r="AH32">
        <f t="shared" ca="1" si="11"/>
        <v>309.16063236126712</v>
      </c>
      <c r="AI32">
        <f t="shared" ca="1" si="12"/>
        <v>164.49749291187024</v>
      </c>
      <c r="AJ32">
        <f t="shared" ca="1" si="13"/>
        <v>53.028546049898893</v>
      </c>
      <c r="AL32">
        <v>27</v>
      </c>
      <c r="AM32" s="4">
        <f t="shared" ca="1" si="3"/>
        <v>-9.0282470894109679E-4</v>
      </c>
      <c r="AN32" s="4">
        <f t="shared" ca="1" si="4"/>
        <v>1.4458688236798078E-3</v>
      </c>
      <c r="AO32" s="4">
        <f t="shared" ca="1" si="5"/>
        <v>-2.7394482959519628E-5</v>
      </c>
      <c r="AP32" s="4">
        <f t="shared" ca="1" si="6"/>
        <v>2.992817719017382E-4</v>
      </c>
    </row>
    <row r="33" spans="1:42" x14ac:dyDescent="0.3">
      <c r="A33" s="1">
        <v>45637</v>
      </c>
      <c r="B33" s="3">
        <f>Data!B30</f>
        <v>238.48158264160099</v>
      </c>
      <c r="C33" s="3">
        <f>Data!H30</f>
        <v>124.11464691162099</v>
      </c>
      <c r="D33" s="3">
        <f>Data!N30</f>
        <v>45.270957946777301</v>
      </c>
      <c r="F33" s="1">
        <v>45637</v>
      </c>
      <c r="G33" s="4">
        <f t="shared" si="7"/>
        <v>2.7587990091171299E-3</v>
      </c>
      <c r="H33" s="4">
        <f t="shared" si="8"/>
        <v>6.3096183497735048E-3</v>
      </c>
      <c r="I33" s="4">
        <f t="shared" si="9"/>
        <v>7.2131422468926232E-3</v>
      </c>
      <c r="T33">
        <v>27</v>
      </c>
      <c r="U33" s="4">
        <v>-3.2852034820895257E-2</v>
      </c>
      <c r="V33" s="4"/>
      <c r="W33">
        <v>28</v>
      </c>
      <c r="X33">
        <f t="shared" ca="1" si="10"/>
        <v>-0.84180415006895581</v>
      </c>
      <c r="Y33">
        <f t="shared" ca="1" si="10"/>
        <v>0.59836495538772982</v>
      </c>
      <c r="Z33">
        <f t="shared" ca="1" si="10"/>
        <v>0.91509528391939943</v>
      </c>
      <c r="AA33" s="4"/>
      <c r="AB33">
        <v>28</v>
      </c>
      <c r="AC33" s="24">
        <f t="shared" ca="1" si="0"/>
        <v>-0.84180415006895581</v>
      </c>
      <c r="AD33" s="24">
        <f t="shared" ca="1" si="1"/>
        <v>-0.43768025874173022</v>
      </c>
      <c r="AE33" s="24">
        <f t="shared" ca="1" si="2"/>
        <v>-5.7501501117165676E-2</v>
      </c>
      <c r="AF33" s="24"/>
      <c r="AG33">
        <v>28</v>
      </c>
      <c r="AH33">
        <f t="shared" ca="1" si="11"/>
        <v>305.043775283983</v>
      </c>
      <c r="AI33">
        <f t="shared" ca="1" si="12"/>
        <v>162.77296213576105</v>
      </c>
      <c r="AJ33">
        <f t="shared" ca="1" si="13"/>
        <v>52.976133082949545</v>
      </c>
      <c r="AL33">
        <v>28</v>
      </c>
      <c r="AM33" s="4">
        <f t="shared" ca="1" si="3"/>
        <v>-1.420704214948898E-2</v>
      </c>
      <c r="AN33" s="4">
        <f t="shared" ca="1" si="4"/>
        <v>-9.0529186704195741E-3</v>
      </c>
      <c r="AO33" s="4">
        <f t="shared" ca="1" si="5"/>
        <v>-1.0157589588382088E-3</v>
      </c>
      <c r="AP33" s="4">
        <f t="shared" ca="1" si="6"/>
        <v>-8.1880078006659873E-3</v>
      </c>
    </row>
    <row r="34" spans="1:42" x14ac:dyDescent="0.3">
      <c r="A34" s="1">
        <v>45638</v>
      </c>
      <c r="B34" s="3">
        <f>Data!B31</f>
        <v>236.52305603027301</v>
      </c>
      <c r="C34" s="3">
        <f>Data!H31</f>
        <v>124.42592620849599</v>
      </c>
      <c r="D34" s="3">
        <f>Data!N31</f>
        <v>45.270957946777301</v>
      </c>
      <c r="F34" s="1">
        <v>45638</v>
      </c>
      <c r="G34" s="4">
        <f t="shared" si="7"/>
        <v>-8.2124858013514768E-3</v>
      </c>
      <c r="H34" s="4">
        <f t="shared" si="8"/>
        <v>2.5079980858073725E-3</v>
      </c>
      <c r="I34" s="4">
        <f t="shared" si="9"/>
        <v>0</v>
      </c>
      <c r="T34">
        <v>28</v>
      </c>
      <c r="U34" s="4">
        <v>-3.2765791110432319E-2</v>
      </c>
      <c r="V34" s="4"/>
      <c r="W34">
        <v>29</v>
      </c>
      <c r="X34">
        <f t="shared" ca="1" si="10"/>
        <v>-1.0159947393315516</v>
      </c>
      <c r="Y34">
        <f t="shared" ca="1" si="10"/>
        <v>1.0873757333487641</v>
      </c>
      <c r="Z34">
        <f t="shared" ca="1" si="10"/>
        <v>-1.081219508549395</v>
      </c>
      <c r="AA34" s="4"/>
      <c r="AB34">
        <v>29</v>
      </c>
      <c r="AC34" s="24">
        <f t="shared" ca="1" si="0"/>
        <v>-1.0159947393315516</v>
      </c>
      <c r="AD34" s="24">
        <f t="shared" ca="1" si="1"/>
        <v>-0.34830184887257853</v>
      </c>
      <c r="AE34" s="24">
        <f t="shared" ca="1" si="2"/>
        <v>-1.0778514640455921</v>
      </c>
      <c r="AF34" s="24"/>
      <c r="AG34">
        <v>29</v>
      </c>
      <c r="AH34">
        <f t="shared" ca="1" si="11"/>
        <v>304.14156213603997</v>
      </c>
      <c r="AI34">
        <f t="shared" ca="1" si="12"/>
        <v>163.07572630846499</v>
      </c>
      <c r="AJ34">
        <f t="shared" ca="1" si="13"/>
        <v>52.025468539239071</v>
      </c>
      <c r="AL34">
        <v>29</v>
      </c>
      <c r="AM34" s="4">
        <f t="shared" ca="1" si="3"/>
        <v>-1.7122674067873156E-2</v>
      </c>
      <c r="AN34" s="4">
        <f t="shared" ca="1" si="4"/>
        <v>-7.2097177521865952E-3</v>
      </c>
      <c r="AO34" s="4">
        <f t="shared" ca="1" si="5"/>
        <v>-1.8942678921009093E-2</v>
      </c>
      <c r="AP34" s="4">
        <f t="shared" ca="1" si="6"/>
        <v>-1.3703492997539313E-2</v>
      </c>
    </row>
    <row r="35" spans="1:42" x14ac:dyDescent="0.3">
      <c r="A35" s="1">
        <v>45639</v>
      </c>
      <c r="B35" s="3">
        <f>Data!B32</f>
        <v>234.96600341796801</v>
      </c>
      <c r="C35" s="3">
        <f>Data!H32</f>
        <v>123.92982482910099</v>
      </c>
      <c r="D35" s="3">
        <f>Data!N32</f>
        <v>44.868148803710902</v>
      </c>
      <c r="F35" s="1">
        <v>45639</v>
      </c>
      <c r="G35" s="4">
        <f t="shared" si="7"/>
        <v>-6.5830902003299885E-3</v>
      </c>
      <c r="H35" s="4">
        <f t="shared" si="8"/>
        <v>-3.9871222542776641E-3</v>
      </c>
      <c r="I35" s="4">
        <f t="shared" si="9"/>
        <v>-8.8977384472394005E-3</v>
      </c>
      <c r="T35">
        <v>29</v>
      </c>
      <c r="U35" s="4">
        <v>-3.2561851699809428E-2</v>
      </c>
      <c r="V35" s="4"/>
      <c r="W35">
        <v>30</v>
      </c>
      <c r="X35">
        <f t="shared" ca="1" si="10"/>
        <v>-0.18496037414682079</v>
      </c>
      <c r="Y35">
        <f t="shared" ca="1" si="10"/>
        <v>-1.808748394637131</v>
      </c>
      <c r="Z35">
        <f t="shared" ca="1" si="10"/>
        <v>1.7568947691143655</v>
      </c>
      <c r="AA35" s="4"/>
      <c r="AB35">
        <v>30</v>
      </c>
      <c r="AC35" s="24">
        <f t="shared" ca="1" si="0"/>
        <v>-0.18496037414682079</v>
      </c>
      <c r="AD35" s="24">
        <f t="shared" ca="1" si="1"/>
        <v>-1.0521903246730548</v>
      </c>
      <c r="AE35" s="24">
        <f t="shared" ca="1" si="2"/>
        <v>0.24138282807232814</v>
      </c>
      <c r="AF35" s="24"/>
      <c r="AG35">
        <v>30</v>
      </c>
      <c r="AH35">
        <f t="shared" ca="1" si="11"/>
        <v>308.47001101251158</v>
      </c>
      <c r="AI35">
        <f t="shared" ca="1" si="12"/>
        <v>160.70650775596346</v>
      </c>
      <c r="AJ35">
        <f t="shared" ca="1" si="13"/>
        <v>53.257880409138728</v>
      </c>
      <c r="AL35">
        <v>30</v>
      </c>
      <c r="AM35" s="4">
        <f t="shared" ca="1" si="3"/>
        <v>-3.1346672092860128E-3</v>
      </c>
      <c r="AN35" s="4">
        <f t="shared" ca="1" si="4"/>
        <v>-2.1633306159179688E-2</v>
      </c>
      <c r="AO35" s="4">
        <f t="shared" ca="1" si="5"/>
        <v>4.297221102914639E-3</v>
      </c>
      <c r="AP35" s="4">
        <f t="shared" ca="1" si="6"/>
        <v>-8.3045562955832864E-3</v>
      </c>
    </row>
    <row r="36" spans="1:42" x14ac:dyDescent="0.3">
      <c r="A36" s="1">
        <v>45642</v>
      </c>
      <c r="B36" s="3">
        <f>Data!B33</f>
        <v>234.61346435546801</v>
      </c>
      <c r="C36" s="3">
        <f>Data!H33</f>
        <v>125.515426635742</v>
      </c>
      <c r="D36" s="3">
        <f>Data!N33</f>
        <v>44.671665191650298</v>
      </c>
      <c r="F36" s="1">
        <v>45642</v>
      </c>
      <c r="G36" s="4">
        <f t="shared" si="7"/>
        <v>-1.500383278311479E-3</v>
      </c>
      <c r="H36" s="4">
        <f t="shared" si="8"/>
        <v>1.2794352036142653E-2</v>
      </c>
      <c r="I36" s="4">
        <f t="shared" si="9"/>
        <v>-4.3791334677117932E-3</v>
      </c>
      <c r="T36">
        <v>30</v>
      </c>
      <c r="U36" s="4">
        <v>-3.2426332627422678E-2</v>
      </c>
      <c r="V36" s="4"/>
      <c r="W36">
        <v>31</v>
      </c>
      <c r="X36">
        <f t="shared" ca="1" si="10"/>
        <v>-1.4390888745502066</v>
      </c>
      <c r="Y36">
        <f t="shared" ca="1" si="10"/>
        <v>1.4166050304281832</v>
      </c>
      <c r="Z36">
        <f t="shared" ca="1" si="10"/>
        <v>-0.31668877235324905</v>
      </c>
      <c r="AA36" s="4"/>
      <c r="AB36">
        <v>31</v>
      </c>
      <c r="AC36" s="24">
        <f t="shared" ca="1" si="0"/>
        <v>-1.4390888745502066</v>
      </c>
      <c r="AD36" s="24">
        <f t="shared" ca="1" si="1"/>
        <v>-0.55424419794122148</v>
      </c>
      <c r="AE36" s="24">
        <f t="shared" ca="1" si="2"/>
        <v>-0.94429843260705937</v>
      </c>
      <c r="AF36" s="24"/>
      <c r="AG36">
        <v>31</v>
      </c>
      <c r="AH36">
        <f t="shared" ca="1" si="11"/>
        <v>301.96125951352025</v>
      </c>
      <c r="AI36">
        <f t="shared" ca="1" si="12"/>
        <v>162.37895296957419</v>
      </c>
      <c r="AJ36">
        <f t="shared" ca="1" si="13"/>
        <v>52.148923517878636</v>
      </c>
      <c r="AL36">
        <v>31</v>
      </c>
      <c r="AM36" s="4">
        <f t="shared" ca="1" si="3"/>
        <v>-2.4168636468718696E-2</v>
      </c>
      <c r="AN36" s="4">
        <f t="shared" ca="1" si="4"/>
        <v>-1.1451610861843431E-2</v>
      </c>
      <c r="AO36" s="4">
        <f t="shared" ca="1" si="5"/>
        <v>-1.6614657395808585E-2</v>
      </c>
      <c r="AP36" s="4">
        <f t="shared" ca="1" si="6"/>
        <v>-1.6815632504095554E-2</v>
      </c>
    </row>
    <row r="37" spans="1:42" x14ac:dyDescent="0.3">
      <c r="A37" s="1">
        <v>45643</v>
      </c>
      <c r="B37" s="3">
        <f>Data!B34</f>
        <v>233.41876220703099</v>
      </c>
      <c r="C37" s="3">
        <f>Data!H34</f>
        <v>124.260566711425</v>
      </c>
      <c r="D37" s="3">
        <f>Data!N34</f>
        <v>44.259040832519503</v>
      </c>
      <c r="F37" s="1">
        <v>45643</v>
      </c>
      <c r="G37" s="4">
        <f t="shared" si="7"/>
        <v>-5.0922147700223075E-3</v>
      </c>
      <c r="H37" s="4">
        <f t="shared" si="8"/>
        <v>-9.9976549333551379E-3</v>
      </c>
      <c r="I37" s="4">
        <f t="shared" si="9"/>
        <v>-9.2368251185747097E-3</v>
      </c>
      <c r="T37">
        <v>31</v>
      </c>
      <c r="U37" s="4">
        <v>-3.2307944163232967E-2</v>
      </c>
      <c r="V37" s="4"/>
      <c r="W37">
        <v>32</v>
      </c>
      <c r="X37">
        <f t="shared" ca="1" si="10"/>
        <v>-0.74822076177187979</v>
      </c>
      <c r="Y37">
        <f t="shared" ca="1" si="10"/>
        <v>-0.91940395345652881</v>
      </c>
      <c r="Z37">
        <f t="shared" ca="1" si="10"/>
        <v>-0.66079952691716359</v>
      </c>
      <c r="AA37" s="4"/>
      <c r="AB37">
        <v>32</v>
      </c>
      <c r="AC37" s="24">
        <f t="shared" ca="1" si="0"/>
        <v>-0.74822076177187979</v>
      </c>
      <c r="AD37" s="24">
        <f t="shared" ca="1" si="1"/>
        <v>-1.1041111338051175</v>
      </c>
      <c r="AE37" s="24">
        <f t="shared" ca="1" si="2"/>
        <v>-1.1998822311446486</v>
      </c>
      <c r="AF37" s="24"/>
      <c r="AG37">
        <v>32</v>
      </c>
      <c r="AH37">
        <f t="shared" ca="1" si="11"/>
        <v>305.52959134594607</v>
      </c>
      <c r="AI37">
        <f t="shared" ca="1" si="12"/>
        <v>160.53311676638492</v>
      </c>
      <c r="AJ37">
        <f t="shared" ca="1" si="13"/>
        <v>51.912920161754897</v>
      </c>
      <c r="AL37">
        <v>32</v>
      </c>
      <c r="AM37" s="4">
        <f t="shared" ca="1" si="3"/>
        <v>-1.2637057473525615E-2</v>
      </c>
      <c r="AN37" s="4">
        <f t="shared" ca="1" si="4"/>
        <v>-2.2688894831875861E-2</v>
      </c>
      <c r="AO37" s="4">
        <f t="shared" ca="1" si="5"/>
        <v>-2.1065031930153744E-2</v>
      </c>
      <c r="AP37" s="4">
        <f t="shared" ca="1" si="6"/>
        <v>-1.9186184753854155E-2</v>
      </c>
    </row>
    <row r="38" spans="1:42" x14ac:dyDescent="0.3">
      <c r="A38" s="1">
        <v>45644</v>
      </c>
      <c r="B38" s="3">
        <f>Data!B35</f>
        <v>225.59440612792901</v>
      </c>
      <c r="C38" s="3">
        <f>Data!H35</f>
        <v>117.74305725097599</v>
      </c>
      <c r="D38" s="3">
        <f>Data!N35</f>
        <v>42.736251831054602</v>
      </c>
      <c r="F38" s="1">
        <v>45644</v>
      </c>
      <c r="G38" s="4">
        <f t="shared" si="7"/>
        <v>-3.352068190714752E-2</v>
      </c>
      <c r="H38" s="4">
        <f t="shared" si="8"/>
        <v>-5.2450343925960596E-2</v>
      </c>
      <c r="I38" s="4">
        <f t="shared" si="9"/>
        <v>-3.4406281130837879E-2</v>
      </c>
      <c r="T38">
        <v>32</v>
      </c>
      <c r="U38" s="4">
        <v>-3.2201231389705556E-2</v>
      </c>
      <c r="V38" s="4"/>
      <c r="W38">
        <v>33</v>
      </c>
      <c r="X38">
        <f t="shared" ca="1" si="10"/>
        <v>-0.78533082642693575</v>
      </c>
      <c r="Y38">
        <f t="shared" ca="1" si="10"/>
        <v>0.83358202289867001</v>
      </c>
      <c r="Z38">
        <f t="shared" ca="1" si="10"/>
        <v>-0.26932863176210031</v>
      </c>
      <c r="AA38" s="4"/>
      <c r="AB38">
        <v>33</v>
      </c>
      <c r="AC38" s="24">
        <f t="shared" ca="1" si="0"/>
        <v>-0.78533082642693575</v>
      </c>
      <c r="AD38" s="24">
        <f t="shared" ca="1" si="1"/>
        <v>-0.27263770204643356</v>
      </c>
      <c r="AE38" s="24">
        <f t="shared" ca="1" si="2"/>
        <v>-0.5475890749374237</v>
      </c>
      <c r="AF38" s="24"/>
      <c r="AG38">
        <v>33</v>
      </c>
      <c r="AH38">
        <f t="shared" ca="1" si="11"/>
        <v>305.33685070285293</v>
      </c>
      <c r="AI38">
        <f t="shared" ca="1" si="12"/>
        <v>163.33247433678258</v>
      </c>
      <c r="AJ38">
        <f t="shared" ca="1" si="13"/>
        <v>52.51736758953998</v>
      </c>
      <c r="AL38">
        <v>33</v>
      </c>
      <c r="AM38" s="4">
        <f t="shared" ca="1" si="3"/>
        <v>-1.3259926661647548E-2</v>
      </c>
      <c r="AN38" s="4">
        <f t="shared" ca="1" si="4"/>
        <v>-5.6466589618315854E-3</v>
      </c>
      <c r="AO38" s="4">
        <f t="shared" ca="1" si="5"/>
        <v>-9.6668150397346553E-3</v>
      </c>
      <c r="AP38" s="4">
        <f t="shared" ca="1" si="6"/>
        <v>-9.1366860951472943E-3</v>
      </c>
    </row>
    <row r="39" spans="1:42" x14ac:dyDescent="0.3">
      <c r="A39" s="1">
        <v>45645</v>
      </c>
      <c r="B39" s="3">
        <f>Data!B36</f>
        <v>228.13070678710901</v>
      </c>
      <c r="C39" s="3">
        <f>Data!H36</f>
        <v>117.217765808105</v>
      </c>
      <c r="D39" s="3">
        <f>Data!N36</f>
        <v>42.618358612060497</v>
      </c>
      <c r="F39" s="1">
        <v>45645</v>
      </c>
      <c r="G39" s="4">
        <f t="shared" si="7"/>
        <v>1.1242746230780698E-2</v>
      </c>
      <c r="H39" s="4">
        <f t="shared" si="8"/>
        <v>-4.4613368731483138E-3</v>
      </c>
      <c r="I39" s="4">
        <f t="shared" si="9"/>
        <v>-2.7586232751567463E-3</v>
      </c>
      <c r="T39">
        <v>33</v>
      </c>
      <c r="U39" s="4">
        <v>-3.1984271528702243E-2</v>
      </c>
      <c r="V39" s="4"/>
      <c r="W39">
        <v>34</v>
      </c>
      <c r="X39">
        <f t="shared" ca="1" si="10"/>
        <v>1.1708000585831584</v>
      </c>
      <c r="Y39">
        <f t="shared" ca="1" si="10"/>
        <v>0.80767373703505962</v>
      </c>
      <c r="Z39">
        <f t="shared" ca="1" si="10"/>
        <v>-1.4593106354152037</v>
      </c>
      <c r="AA39" s="4"/>
      <c r="AB39">
        <v>34</v>
      </c>
      <c r="AC39" s="24">
        <f t="shared" ca="1" si="0"/>
        <v>1.1708000585831584</v>
      </c>
      <c r="AD39" s="24">
        <f t="shared" ca="1" si="1"/>
        <v>1.4167759097149299</v>
      </c>
      <c r="AE39" s="24">
        <f t="shared" ca="1" si="2"/>
        <v>0.43797129306791804</v>
      </c>
      <c r="AF39" s="24"/>
      <c r="AG39">
        <v>34</v>
      </c>
      <c r="AH39">
        <f t="shared" ca="1" si="11"/>
        <v>315.66411965686211</v>
      </c>
      <c r="AI39">
        <f t="shared" ca="1" si="12"/>
        <v>169.17155203330705</v>
      </c>
      <c r="AJ39">
        <f t="shared" ca="1" si="13"/>
        <v>53.444013593174837</v>
      </c>
      <c r="AL39">
        <v>34</v>
      </c>
      <c r="AM39" s="4">
        <f t="shared" ca="1" si="3"/>
        <v>2.0114132517933481E-2</v>
      </c>
      <c r="AN39" s="4">
        <f t="shared" ca="1" si="4"/>
        <v>2.9901118292486428E-2</v>
      </c>
      <c r="AO39" s="4">
        <f t="shared" ca="1" si="5"/>
        <v>7.8071812824493936E-3</v>
      </c>
      <c r="AP39" s="4">
        <f t="shared" ca="1" si="6"/>
        <v>2.0336841457109435E-2</v>
      </c>
    </row>
    <row r="40" spans="1:42" x14ac:dyDescent="0.3">
      <c r="A40" s="1">
        <v>45646</v>
      </c>
      <c r="B40" s="3">
        <f>Data!B37</f>
        <v>232.67453002929599</v>
      </c>
      <c r="C40" s="3">
        <f>Data!H37</f>
        <v>120.07769775390599</v>
      </c>
      <c r="D40" s="3">
        <f>Data!N37</f>
        <v>43.39448928833</v>
      </c>
      <c r="F40" s="1">
        <v>45646</v>
      </c>
      <c r="G40" s="4">
        <f t="shared" si="7"/>
        <v>1.991763102030486E-2</v>
      </c>
      <c r="H40" s="4">
        <f t="shared" si="8"/>
        <v>2.4398451259367349E-2</v>
      </c>
      <c r="I40" s="4">
        <f t="shared" si="9"/>
        <v>1.8211181789855813E-2</v>
      </c>
      <c r="T40">
        <v>34</v>
      </c>
      <c r="U40" s="4">
        <v>-3.1890698622357397E-2</v>
      </c>
      <c r="V40" s="4"/>
      <c r="W40">
        <v>35</v>
      </c>
      <c r="X40">
        <f t="shared" ca="1" si="10"/>
        <v>1.4215806794203922</v>
      </c>
      <c r="Y40">
        <f t="shared" ca="1" si="10"/>
        <v>-0.44039986174048906</v>
      </c>
      <c r="Z40">
        <f t="shared" ca="1" si="10"/>
        <v>-6.7750655550334604E-2</v>
      </c>
      <c r="AA40" s="4"/>
      <c r="AB40">
        <v>35</v>
      </c>
      <c r="AC40" s="24">
        <f t="shared" ca="1" si="0"/>
        <v>1.4215806794203922</v>
      </c>
      <c r="AD40" s="24">
        <f t="shared" ca="1" si="1"/>
        <v>1.0200239950824364</v>
      </c>
      <c r="AE40" s="24">
        <f t="shared" ca="1" si="2"/>
        <v>1.0043769367497573</v>
      </c>
      <c r="AF40" s="24"/>
      <c r="AG40">
        <v>35</v>
      </c>
      <c r="AH40">
        <f t="shared" ca="1" si="11"/>
        <v>317.0131162812836</v>
      </c>
      <c r="AI40">
        <f t="shared" ca="1" si="12"/>
        <v>167.78178394619303</v>
      </c>
      <c r="AJ40">
        <f t="shared" ca="1" si="13"/>
        <v>53.983940920372589</v>
      </c>
      <c r="AL40">
        <v>35</v>
      </c>
      <c r="AM40" s="4">
        <f t="shared" ca="1" si="3"/>
        <v>2.4473609682418518E-2</v>
      </c>
      <c r="AN40" s="4">
        <f t="shared" ca="1" si="4"/>
        <v>2.1440335791631071E-2</v>
      </c>
      <c r="AO40" s="4">
        <f t="shared" ca="1" si="5"/>
        <v>1.7988726438519453E-2</v>
      </c>
      <c r="AP40" s="4">
        <f t="shared" ca="1" si="6"/>
        <v>2.1314835152933819E-2</v>
      </c>
    </row>
    <row r="41" spans="1:42" x14ac:dyDescent="0.3">
      <c r="A41" s="1">
        <v>45649</v>
      </c>
      <c r="B41" s="3">
        <f>Data!B38</f>
        <v>233.448150634765</v>
      </c>
      <c r="C41" s="3">
        <f>Data!H38</f>
        <v>121.060173034667</v>
      </c>
      <c r="D41" s="3">
        <f>Data!N38</f>
        <v>43.1194038391113</v>
      </c>
      <c r="F41" s="1">
        <v>45649</v>
      </c>
      <c r="G41" s="4">
        <f t="shared" si="7"/>
        <v>3.3249045581895675E-3</v>
      </c>
      <c r="H41" s="4">
        <f t="shared" si="8"/>
        <v>8.181996316872775E-3</v>
      </c>
      <c r="I41" s="4">
        <f t="shared" si="9"/>
        <v>-6.3391793227689508E-3</v>
      </c>
      <c r="T41">
        <v>35</v>
      </c>
      <c r="U41" s="4">
        <v>-3.1860700785498901E-2</v>
      </c>
      <c r="V41" s="4"/>
      <c r="W41">
        <v>36</v>
      </c>
      <c r="X41">
        <f t="shared" ca="1" si="10"/>
        <v>1.7606207429753249</v>
      </c>
      <c r="Y41">
        <f t="shared" ca="1" si="10"/>
        <v>1.6106984243762841</v>
      </c>
      <c r="Z41">
        <f t="shared" ca="1" si="10"/>
        <v>-0.28896185591565821</v>
      </c>
      <c r="AA41" s="4"/>
      <c r="AB41">
        <v>36</v>
      </c>
      <c r="AC41" s="24">
        <f t="shared" ca="1" si="0"/>
        <v>1.7606207429753249</v>
      </c>
      <c r="AD41" s="24">
        <f t="shared" ca="1" si="1"/>
        <v>2.325706293790835</v>
      </c>
      <c r="AE41" s="24">
        <f t="shared" ca="1" si="2"/>
        <v>1.7350411663292475</v>
      </c>
      <c r="AF41" s="24"/>
      <c r="AG41">
        <v>36</v>
      </c>
      <c r="AH41">
        <f t="shared" ca="1" si="11"/>
        <v>318.84604717617037</v>
      </c>
      <c r="AI41">
        <f t="shared" ca="1" si="12"/>
        <v>172.39896154912171</v>
      </c>
      <c r="AJ41">
        <f t="shared" ca="1" si="13"/>
        <v>54.688512825240096</v>
      </c>
      <c r="AL41">
        <v>36</v>
      </c>
      <c r="AM41" s="4">
        <f t="shared" ca="1" si="3"/>
        <v>3.03969902422212E-2</v>
      </c>
      <c r="AN41" s="4">
        <f t="shared" ca="1" si="4"/>
        <v>4.9549295716968089E-2</v>
      </c>
      <c r="AO41" s="4">
        <f t="shared" ca="1" si="5"/>
        <v>3.1275015729225197E-2</v>
      </c>
      <c r="AP41" s="4">
        <f t="shared" ca="1" si="6"/>
        <v>3.8321320078221158E-2</v>
      </c>
    </row>
    <row r="42" spans="1:42" x14ac:dyDescent="0.3">
      <c r="A42" s="1">
        <v>45650</v>
      </c>
      <c r="B42" s="3">
        <f>Data!B39</f>
        <v>237.28688049316401</v>
      </c>
      <c r="C42" s="3">
        <f>Data!H39</f>
        <v>123.599082946777</v>
      </c>
      <c r="D42" s="3">
        <f>Data!N39</f>
        <v>43.600803375244098</v>
      </c>
      <c r="F42" s="1">
        <v>45650</v>
      </c>
      <c r="G42" s="4">
        <f t="shared" si="7"/>
        <v>1.6443607918765535E-2</v>
      </c>
      <c r="H42" s="4">
        <f t="shared" si="8"/>
        <v>2.0972297069020041E-2</v>
      </c>
      <c r="I42" s="4">
        <f t="shared" si="9"/>
        <v>1.1164336546233722E-2</v>
      </c>
      <c r="T42">
        <v>36</v>
      </c>
      <c r="U42" s="4">
        <v>-3.1840139157313888E-2</v>
      </c>
      <c r="V42" s="4"/>
      <c r="W42">
        <v>37</v>
      </c>
      <c r="X42">
        <f t="shared" ca="1" si="10"/>
        <v>0.34332365566271733</v>
      </c>
      <c r="Y42">
        <f t="shared" ca="1" si="10"/>
        <v>0.48229185908990652</v>
      </c>
      <c r="Z42">
        <f t="shared" ca="1" si="10"/>
        <v>0.3729712401063307</v>
      </c>
      <c r="AA42" s="4"/>
      <c r="AB42">
        <v>37</v>
      </c>
      <c r="AC42" s="24">
        <f t="shared" ca="1" si="0"/>
        <v>0.34332365566271733</v>
      </c>
      <c r="AD42" s="24">
        <f t="shared" ca="1" si="1"/>
        <v>0.53639660522739485</v>
      </c>
      <c r="AE42" s="24">
        <f t="shared" ca="1" si="2"/>
        <v>0.60265370815519503</v>
      </c>
      <c r="AF42" s="24"/>
      <c r="AG42">
        <v>37</v>
      </c>
      <c r="AH42">
        <f t="shared" ca="1" si="11"/>
        <v>311.25355386219366</v>
      </c>
      <c r="AI42">
        <f t="shared" ca="1" si="12"/>
        <v>166.10313439854795</v>
      </c>
      <c r="AJ42">
        <f t="shared" ca="1" si="13"/>
        <v>53.600438234473749</v>
      </c>
      <c r="AL42">
        <v>37</v>
      </c>
      <c r="AM42" s="4">
        <f t="shared" ca="1" si="3"/>
        <v>5.8607529940510883E-3</v>
      </c>
      <c r="AN42" s="4">
        <f t="shared" ca="1" si="4"/>
        <v>1.1220869069469286E-2</v>
      </c>
      <c r="AO42" s="4">
        <f t="shared" ca="1" si="5"/>
        <v>1.0756920013350157E-2</v>
      </c>
      <c r="AP42" s="4">
        <f t="shared" ca="1" si="6"/>
        <v>9.4736495300080884E-3</v>
      </c>
    </row>
    <row r="43" spans="1:42" x14ac:dyDescent="0.3">
      <c r="A43" s="1">
        <v>45652</v>
      </c>
      <c r="B43" s="3">
        <f>Data!B40</f>
        <v>238.09967041015599</v>
      </c>
      <c r="C43" s="3">
        <f>Data!H40</f>
        <v>124.542663574218</v>
      </c>
      <c r="D43" s="3">
        <f>Data!N40</f>
        <v>43.767818450927699</v>
      </c>
      <c r="F43" s="1">
        <v>45652</v>
      </c>
      <c r="G43" s="4">
        <f t="shared" si="7"/>
        <v>3.425347053755079E-3</v>
      </c>
      <c r="H43" s="4">
        <f t="shared" si="8"/>
        <v>7.6342041133696803E-3</v>
      </c>
      <c r="I43" s="4">
        <f t="shared" si="9"/>
        <v>3.8305504200508711E-3</v>
      </c>
      <c r="T43">
        <v>37</v>
      </c>
      <c r="U43" s="4">
        <v>-3.1521985963635611E-2</v>
      </c>
      <c r="V43" s="4"/>
      <c r="W43">
        <v>38</v>
      </c>
      <c r="X43">
        <f t="shared" ca="1" si="10"/>
        <v>1.233343719501601</v>
      </c>
      <c r="Y43">
        <f t="shared" ca="1" si="10"/>
        <v>2.2108846083051574</v>
      </c>
      <c r="Z43">
        <f t="shared" ca="1" si="10"/>
        <v>-0.72255787042590036</v>
      </c>
      <c r="AA43" s="4"/>
      <c r="AB43">
        <v>38</v>
      </c>
      <c r="AC43" s="24">
        <f t="shared" ca="1" si="0"/>
        <v>1.233343719501601</v>
      </c>
      <c r="AD43" s="24">
        <f t="shared" ca="1" si="1"/>
        <v>2.1626176252345619</v>
      </c>
      <c r="AE43" s="24">
        <f t="shared" ca="1" si="2"/>
        <v>1.2502861634736677</v>
      </c>
      <c r="AF43" s="24"/>
      <c r="AG43">
        <v>38</v>
      </c>
      <c r="AH43">
        <f t="shared" ca="1" si="11"/>
        <v>316.00001564448502</v>
      </c>
      <c r="AI43">
        <f t="shared" ca="1" si="12"/>
        <v>171.81537089733374</v>
      </c>
      <c r="AJ43">
        <f t="shared" ca="1" si="13"/>
        <v>54.220049353204658</v>
      </c>
      <c r="AL43">
        <v>38</v>
      </c>
      <c r="AM43" s="4">
        <f t="shared" ca="1" si="3"/>
        <v>2.1199628849929208E-2</v>
      </c>
      <c r="AN43" s="4">
        <f t="shared" ca="1" si="4"/>
        <v>4.5996448576432591E-2</v>
      </c>
      <c r="AO43" s="4">
        <f t="shared" ca="1" si="5"/>
        <v>2.2441082430732839E-2</v>
      </c>
      <c r="AP43" s="4">
        <f t="shared" ca="1" si="6"/>
        <v>3.149079281477165E-2</v>
      </c>
    </row>
    <row r="44" spans="1:42" x14ac:dyDescent="0.3">
      <c r="A44" s="1">
        <v>45653</v>
      </c>
      <c r="B44" s="3">
        <f>Data!B41</f>
        <v>236.17050170898401</v>
      </c>
      <c r="C44" s="3">
        <f>Data!H41</f>
        <v>123.307258605957</v>
      </c>
      <c r="D44" s="3">
        <f>Data!N41</f>
        <v>43.561504364013601</v>
      </c>
      <c r="F44" s="1">
        <v>45653</v>
      </c>
      <c r="G44" s="4">
        <f t="shared" si="7"/>
        <v>-8.1023577136782876E-3</v>
      </c>
      <c r="H44" s="4">
        <f t="shared" si="8"/>
        <v>-9.9195322534979535E-3</v>
      </c>
      <c r="I44" s="4">
        <f t="shared" si="9"/>
        <v>-4.7138307143504976E-3</v>
      </c>
      <c r="T44">
        <v>38</v>
      </c>
      <c r="U44" s="4">
        <v>-3.1271315272044339E-2</v>
      </c>
      <c r="V44" s="4"/>
      <c r="W44">
        <v>39</v>
      </c>
      <c r="X44">
        <f t="shared" ca="1" si="10"/>
        <v>0.25681957683810225</v>
      </c>
      <c r="Y44">
        <f t="shared" ca="1" si="10"/>
        <v>-0.14366912761976897</v>
      </c>
      <c r="Z44">
        <f t="shared" ca="1" si="10"/>
        <v>-0.45647465515694013</v>
      </c>
      <c r="AA44" s="4"/>
      <c r="AB44">
        <v>39</v>
      </c>
      <c r="AC44" s="24">
        <f t="shared" ca="1" si="0"/>
        <v>0.25681957683810225</v>
      </c>
      <c r="AD44" s="24">
        <f t="shared" ca="1" si="1"/>
        <v>0.15268694957768353</v>
      </c>
      <c r="AE44" s="24">
        <f t="shared" ca="1" si="2"/>
        <v>-6.1704300749726743E-2</v>
      </c>
      <c r="AF44" s="24"/>
      <c r="AG44">
        <v>39</v>
      </c>
      <c r="AH44">
        <f t="shared" ca="1" si="11"/>
        <v>310.79604778951676</v>
      </c>
      <c r="AI44">
        <f t="shared" ca="1" si="12"/>
        <v>164.78325172011282</v>
      </c>
      <c r="AJ44">
        <f t="shared" ca="1" si="13"/>
        <v>52.972181902843673</v>
      </c>
      <c r="AL44">
        <v>39</v>
      </c>
      <c r="AM44" s="4">
        <f t="shared" ca="1" si="3"/>
        <v>4.3822561317601316E-3</v>
      </c>
      <c r="AN44" s="4">
        <f t="shared" ca="1" si="4"/>
        <v>3.1855426200932957E-3</v>
      </c>
      <c r="AO44" s="4">
        <f t="shared" ca="1" si="5"/>
        <v>-1.0902673540263974E-3</v>
      </c>
      <c r="AP44" s="4">
        <f t="shared" ca="1" si="6"/>
        <v>2.2618136813574385E-3</v>
      </c>
    </row>
    <row r="45" spans="1:42" x14ac:dyDescent="0.3">
      <c r="A45" s="1">
        <v>45656</v>
      </c>
      <c r="B45" s="3">
        <f>Data!B42</f>
        <v>234.35887145996</v>
      </c>
      <c r="C45" s="3">
        <f>Data!H42</f>
        <v>122.3247756958</v>
      </c>
      <c r="D45" s="3">
        <f>Data!N42</f>
        <v>43.139053344726499</v>
      </c>
      <c r="F45" s="1">
        <v>45656</v>
      </c>
      <c r="G45" s="4">
        <f t="shared" si="7"/>
        <v>-7.6708574352624126E-3</v>
      </c>
      <c r="H45" s="4">
        <f t="shared" si="8"/>
        <v>-7.9677621679730137E-3</v>
      </c>
      <c r="I45" s="4">
        <f t="shared" si="9"/>
        <v>-9.6978060205856753E-3</v>
      </c>
      <c r="T45">
        <v>39</v>
      </c>
      <c r="U45" s="4">
        <v>-3.1003636158543579E-2</v>
      </c>
      <c r="V45" s="4"/>
      <c r="W45">
        <v>40</v>
      </c>
      <c r="X45">
        <f t="shared" ca="1" si="10"/>
        <v>0.10612972420822911</v>
      </c>
      <c r="Y45">
        <f t="shared" ca="1" si="10"/>
        <v>0.53081898886610146</v>
      </c>
      <c r="Z45">
        <f t="shared" ca="1" si="10"/>
        <v>-0.14192039291157063</v>
      </c>
      <c r="AA45" s="4"/>
      <c r="AB45">
        <v>40</v>
      </c>
      <c r="AC45" s="24">
        <f t="shared" ca="1" si="0"/>
        <v>0.10612972420822911</v>
      </c>
      <c r="AD45" s="24">
        <f t="shared" ca="1" si="1"/>
        <v>0.35390719881847621</v>
      </c>
      <c r="AE45" s="24">
        <f t="shared" ca="1" si="2"/>
        <v>0.16112991693969658</v>
      </c>
      <c r="AF45" s="24"/>
      <c r="AG45">
        <v>40</v>
      </c>
      <c r="AH45">
        <f t="shared" ca="1" si="11"/>
        <v>310.00067903097357</v>
      </c>
      <c r="AI45">
        <f t="shared" ca="1" si="12"/>
        <v>165.47409500816616</v>
      </c>
      <c r="AJ45">
        <f t="shared" ca="1" si="13"/>
        <v>53.182082099312481</v>
      </c>
      <c r="AL45">
        <v>40</v>
      </c>
      <c r="AM45" s="4">
        <f t="shared" ca="1" si="3"/>
        <v>1.8119072684330551E-3</v>
      </c>
      <c r="AN45" s="4">
        <f t="shared" ca="1" si="4"/>
        <v>7.391334116236381E-3</v>
      </c>
      <c r="AO45" s="4">
        <f t="shared" ca="1" si="5"/>
        <v>2.8678733455875793E-3</v>
      </c>
      <c r="AP45" s="4">
        <f t="shared" ca="1" si="6"/>
        <v>4.3604678307007433E-3</v>
      </c>
    </row>
    <row r="46" spans="1:42" x14ac:dyDescent="0.3">
      <c r="A46" s="1">
        <v>45657</v>
      </c>
      <c r="B46" s="3">
        <f>Data!B43</f>
        <v>234.74078369140599</v>
      </c>
      <c r="C46" s="3">
        <f>Data!H43</f>
        <v>122.29557800292901</v>
      </c>
      <c r="D46" s="3">
        <f>Data!N43</f>
        <v>43.178352355957003</v>
      </c>
      <c r="F46" s="1">
        <v>45657</v>
      </c>
      <c r="G46" s="4">
        <f t="shared" si="7"/>
        <v>1.629604328894585E-3</v>
      </c>
      <c r="H46" s="4">
        <f t="shared" si="8"/>
        <v>-2.3868993590969723E-4</v>
      </c>
      <c r="I46" s="4">
        <f t="shared" si="9"/>
        <v>9.1098455305593795E-4</v>
      </c>
      <c r="T46">
        <v>40</v>
      </c>
      <c r="U46" s="4">
        <v>-3.0908692093573473E-2</v>
      </c>
      <c r="V46" s="4"/>
      <c r="W46">
        <v>41</v>
      </c>
      <c r="X46">
        <f t="shared" ca="1" si="10"/>
        <v>1.7438876390799989</v>
      </c>
      <c r="Y46">
        <f t="shared" ca="1" si="10"/>
        <v>-1.1563422472949467</v>
      </c>
      <c r="Z46">
        <f t="shared" ca="1" si="10"/>
        <v>-0.79676107905385862</v>
      </c>
      <c r="AA46" s="4"/>
      <c r="AB46">
        <v>41</v>
      </c>
      <c r="AC46" s="24">
        <f t="shared" ca="1" si="0"/>
        <v>1.7438876390799989</v>
      </c>
      <c r="AD46" s="24">
        <f t="shared" ca="1" si="1"/>
        <v>0.94771480220300841</v>
      </c>
      <c r="AE46" s="24">
        <f t="shared" ca="1" si="2"/>
        <v>0.69983497622890523</v>
      </c>
      <c r="AF46" s="24"/>
      <c r="AG46">
        <v>41</v>
      </c>
      <c r="AH46">
        <f t="shared" ca="1" si="11"/>
        <v>318.75533593810167</v>
      </c>
      <c r="AI46">
        <f t="shared" ca="1" si="12"/>
        <v>167.52972744631307</v>
      </c>
      <c r="AJ46">
        <f t="shared" ca="1" si="13"/>
        <v>53.69296120049647</v>
      </c>
      <c r="AL46">
        <v>41</v>
      </c>
      <c r="AM46" s="4">
        <f t="shared" ca="1" si="3"/>
        <v>3.0103843792657514E-2</v>
      </c>
      <c r="AN46" s="4">
        <f t="shared" ca="1" si="4"/>
        <v>1.9905838602362946E-2</v>
      </c>
      <c r="AO46" s="4">
        <f t="shared" ca="1" si="5"/>
        <v>1.2501648811247934E-2</v>
      </c>
      <c r="AP46" s="4">
        <f t="shared" ca="1" si="6"/>
        <v>2.0743983222116812E-2</v>
      </c>
    </row>
    <row r="47" spans="1:42" x14ac:dyDescent="0.3">
      <c r="A47" s="1">
        <v>45659</v>
      </c>
      <c r="B47" s="3">
        <f>Data!B44</f>
        <v>235.02474975585901</v>
      </c>
      <c r="C47" s="3">
        <f>Data!H44</f>
        <v>121.38118743896401</v>
      </c>
      <c r="D47" s="3">
        <f>Data!N44</f>
        <v>43.512382507324197</v>
      </c>
      <c r="F47" s="1">
        <v>45659</v>
      </c>
      <c r="G47" s="4">
        <f t="shared" si="7"/>
        <v>1.2097005896782864E-3</v>
      </c>
      <c r="H47" s="4">
        <f t="shared" si="8"/>
        <v>-7.4768898344230728E-3</v>
      </c>
      <c r="I47" s="4">
        <f t="shared" si="9"/>
        <v>7.7360559896655356E-3</v>
      </c>
      <c r="T47">
        <v>41</v>
      </c>
      <c r="U47" s="4">
        <v>-3.0757058137631244E-2</v>
      </c>
      <c r="V47" s="4"/>
      <c r="W47">
        <v>42</v>
      </c>
      <c r="X47">
        <f t="shared" ca="1" si="10"/>
        <v>0.5391118212834376</v>
      </c>
      <c r="Y47">
        <f t="shared" ca="1" si="10"/>
        <v>0.2241300621890599</v>
      </c>
      <c r="Z47">
        <f t="shared" ca="1" si="10"/>
        <v>0.26166882485840887</v>
      </c>
      <c r="AA47" s="4"/>
      <c r="AB47">
        <v>42</v>
      </c>
      <c r="AC47" s="24">
        <f t="shared" ca="1" si="0"/>
        <v>0.5391118212834376</v>
      </c>
      <c r="AD47" s="24">
        <f t="shared" ca="1" si="1"/>
        <v>0.57956035746679579</v>
      </c>
      <c r="AE47" s="24">
        <f t="shared" ca="1" si="2"/>
        <v>0.63470887756897787</v>
      </c>
      <c r="AF47" s="24"/>
      <c r="AG47">
        <v>42</v>
      </c>
      <c r="AH47">
        <f t="shared" ca="1" si="11"/>
        <v>312.29153446608854</v>
      </c>
      <c r="AI47">
        <f t="shared" ca="1" si="12"/>
        <v>166.25226882606427</v>
      </c>
      <c r="AJ47">
        <f t="shared" ca="1" si="13"/>
        <v>53.630939231553278</v>
      </c>
      <c r="AL47">
        <v>42</v>
      </c>
      <c r="AM47" s="4">
        <f t="shared" ca="1" si="3"/>
        <v>9.2151370287765211E-3</v>
      </c>
      <c r="AN47" s="4">
        <f t="shared" ca="1" si="4"/>
        <v>1.212878598474787E-2</v>
      </c>
      <c r="AO47" s="4">
        <f t="shared" ca="1" si="5"/>
        <v>1.1332084972460743E-2</v>
      </c>
      <c r="AP47" s="4">
        <f t="shared" ca="1" si="6"/>
        <v>1.1015680994270327E-2</v>
      </c>
    </row>
    <row r="48" spans="1:42" x14ac:dyDescent="0.3">
      <c r="A48" s="1">
        <v>45660</v>
      </c>
      <c r="B48" s="3">
        <f>Data!B45</f>
        <v>238.23677062988199</v>
      </c>
      <c r="C48" s="3">
        <f>Data!H45</f>
        <v>122.509590148925</v>
      </c>
      <c r="D48" s="3">
        <f>Data!N45</f>
        <v>44.0232543945312</v>
      </c>
      <c r="F48" s="1">
        <v>45660</v>
      </c>
      <c r="G48" s="4">
        <f t="shared" si="7"/>
        <v>1.3666734577356676E-2</v>
      </c>
      <c r="H48" s="4">
        <f t="shared" si="8"/>
        <v>9.2963558337935126E-3</v>
      </c>
      <c r="I48" s="4">
        <f t="shared" si="9"/>
        <v>1.1740839222513566E-2</v>
      </c>
      <c r="T48">
        <v>42</v>
      </c>
      <c r="U48" s="4">
        <v>-3.0735802249674093E-2</v>
      </c>
      <c r="V48" s="4"/>
      <c r="W48">
        <v>43</v>
      </c>
      <c r="X48">
        <f t="shared" ca="1" si="10"/>
        <v>-1.5821951747732701</v>
      </c>
      <c r="Y48">
        <f t="shared" ca="1" si="10"/>
        <v>-0.1298550797649537</v>
      </c>
      <c r="Z48">
        <f t="shared" ca="1" si="10"/>
        <v>-0.70072842712962657</v>
      </c>
      <c r="AA48" s="4"/>
      <c r="AB48">
        <v>43</v>
      </c>
      <c r="AC48" s="24">
        <f t="shared" ca="1" si="0"/>
        <v>-1.5821951747732701</v>
      </c>
      <c r="AD48" s="24">
        <f t="shared" ca="1" si="1"/>
        <v>-1.4407742346450669</v>
      </c>
      <c r="AE48" s="24">
        <f t="shared" ca="1" si="2"/>
        <v>-1.6829067909465889</v>
      </c>
      <c r="AF48" s="24"/>
      <c r="AG48">
        <v>43</v>
      </c>
      <c r="AH48">
        <f t="shared" ca="1" si="11"/>
        <v>301.22734241602541</v>
      </c>
      <c r="AI48">
        <f t="shared" ca="1" si="12"/>
        <v>159.4133512937228</v>
      </c>
      <c r="AJ48">
        <f t="shared" ca="1" si="13"/>
        <v>51.469813120725597</v>
      </c>
      <c r="AL48">
        <v>43</v>
      </c>
      <c r="AM48" s="4">
        <f t="shared" ca="1" si="3"/>
        <v>-2.654039542588138E-2</v>
      </c>
      <c r="AN48" s="4">
        <f t="shared" ca="1" si="4"/>
        <v>-2.9505925819999557E-2</v>
      </c>
      <c r="AO48" s="4">
        <f t="shared" ca="1" si="5"/>
        <v>-2.9420812643508931E-2</v>
      </c>
      <c r="AP48" s="4">
        <f t="shared" ca="1" si="6"/>
        <v>-2.8590732748816912E-2</v>
      </c>
    </row>
    <row r="49" spans="1:42" x14ac:dyDescent="0.3">
      <c r="A49" s="1">
        <v>45663</v>
      </c>
      <c r="B49" s="3">
        <f>Data!B46</f>
        <v>237.07528686523401</v>
      </c>
      <c r="C49" s="3">
        <f>Data!H46</f>
        <v>125.13604736328099</v>
      </c>
      <c r="D49" s="3">
        <f>Data!N46</f>
        <v>44.602893829345703</v>
      </c>
      <c r="F49" s="1">
        <v>45663</v>
      </c>
      <c r="G49" s="4">
        <f t="shared" si="7"/>
        <v>-4.8753337344906722E-3</v>
      </c>
      <c r="H49" s="4">
        <f t="shared" si="8"/>
        <v>2.1438788679018606E-2</v>
      </c>
      <c r="I49" s="4">
        <f t="shared" si="9"/>
        <v>1.3166664818094587E-2</v>
      </c>
      <c r="T49">
        <v>43</v>
      </c>
      <c r="U49" s="4">
        <v>-3.0615864894960147E-2</v>
      </c>
      <c r="V49" s="4"/>
      <c r="W49">
        <v>44</v>
      </c>
      <c r="X49">
        <f t="shared" ca="1" si="10"/>
        <v>-2.0243558486695021</v>
      </c>
      <c r="Y49">
        <f t="shared" ca="1" si="10"/>
        <v>-1.4745027741622649</v>
      </c>
      <c r="Z49">
        <f t="shared" ca="1" si="10"/>
        <v>0.54935365532291325</v>
      </c>
      <c r="AA49" s="4"/>
      <c r="AB49">
        <v>44</v>
      </c>
      <c r="AC49" s="24">
        <f t="shared" ca="1" si="0"/>
        <v>-2.0243558486695021</v>
      </c>
      <c r="AD49" s="24">
        <f t="shared" ca="1" si="1"/>
        <v>-2.4880934547813416</v>
      </c>
      <c r="AE49" s="24">
        <f t="shared" ca="1" si="2"/>
        <v>-1.7805596221185223</v>
      </c>
      <c r="AF49" s="24"/>
      <c r="AG49">
        <v>44</v>
      </c>
      <c r="AH49">
        <f t="shared" ca="1" si="11"/>
        <v>298.97098348376187</v>
      </c>
      <c r="AI49">
        <f t="shared" ca="1" si="12"/>
        <v>155.97959165907375</v>
      </c>
      <c r="AJ49">
        <f t="shared" ca="1" si="13"/>
        <v>51.380691055413401</v>
      </c>
      <c r="AL49">
        <v>44</v>
      </c>
      <c r="AM49" s="4">
        <f t="shared" ca="1" si="3"/>
        <v>-3.3832144761653749E-2</v>
      </c>
      <c r="AN49" s="4">
        <f t="shared" ca="1" si="4"/>
        <v>-5.0410344117092332E-2</v>
      </c>
      <c r="AO49" s="4">
        <f t="shared" ca="1" si="5"/>
        <v>-3.1101409802922642E-2</v>
      </c>
      <c r="AP49" s="4">
        <f t="shared" ca="1" si="6"/>
        <v>-3.9644204016209848E-2</v>
      </c>
    </row>
    <row r="50" spans="1:42" x14ac:dyDescent="0.3">
      <c r="A50" s="1">
        <v>45664</v>
      </c>
      <c r="B50" s="3">
        <f>Data!B47</f>
        <v>239.35890197753901</v>
      </c>
      <c r="C50" s="3">
        <f>Data!H47</f>
        <v>123.42398071289</v>
      </c>
      <c r="D50" s="3">
        <f>Data!N47</f>
        <v>45.270957946777301</v>
      </c>
      <c r="F50" s="1">
        <v>45664</v>
      </c>
      <c r="G50" s="4">
        <f t="shared" si="7"/>
        <v>9.6324469011530578E-3</v>
      </c>
      <c r="H50" s="4">
        <f t="shared" si="8"/>
        <v>-1.3681642392145532E-2</v>
      </c>
      <c r="I50" s="4">
        <f t="shared" si="9"/>
        <v>1.4978044249498002E-2</v>
      </c>
      <c r="T50">
        <v>44</v>
      </c>
      <c r="U50" s="4">
        <v>-3.0524069448728472E-2</v>
      </c>
      <c r="V50" s="4"/>
      <c r="W50">
        <v>45</v>
      </c>
      <c r="X50">
        <f t="shared" ca="1" si="10"/>
        <v>-0.24518792734979672</v>
      </c>
      <c r="Y50">
        <f t="shared" ca="1" si="10"/>
        <v>-4.438743354539712E-3</v>
      </c>
      <c r="Z50">
        <f t="shared" ca="1" si="10"/>
        <v>-2.1842310626682164</v>
      </c>
      <c r="AA50" s="4"/>
      <c r="AB50">
        <v>45</v>
      </c>
      <c r="AC50" s="24">
        <f t="shared" ca="1" si="0"/>
        <v>-0.24518792734979672</v>
      </c>
      <c r="AD50" s="24">
        <f t="shared" ca="1" si="1"/>
        <v>-0.21554398326733809</v>
      </c>
      <c r="AE50" s="24">
        <f t="shared" ca="1" si="2"/>
        <v>-1.3098853857294532</v>
      </c>
      <c r="AF50" s="24"/>
      <c r="AG50">
        <v>45</v>
      </c>
      <c r="AH50">
        <f t="shared" ca="1" si="11"/>
        <v>308.15425536057438</v>
      </c>
      <c r="AI50">
        <f t="shared" ca="1" si="12"/>
        <v>163.52647564908338</v>
      </c>
      <c r="AJ50">
        <f t="shared" ca="1" si="13"/>
        <v>51.811673472480983</v>
      </c>
      <c r="AL50">
        <v>45</v>
      </c>
      <c r="AM50" s="4">
        <f t="shared" ca="1" si="3"/>
        <v>-4.1550771415699295E-3</v>
      </c>
      <c r="AN50" s="4">
        <f t="shared" ca="1" si="4"/>
        <v>-4.4655965072560866E-3</v>
      </c>
      <c r="AO50" s="4">
        <f t="shared" ca="1" si="5"/>
        <v>-2.2974266167463231E-2</v>
      </c>
      <c r="AP50" s="4">
        <f t="shared" ca="1" si="6"/>
        <v>-9.9250415956123814E-3</v>
      </c>
    </row>
    <row r="51" spans="1:42" x14ac:dyDescent="0.3">
      <c r="A51" s="1">
        <v>45665</v>
      </c>
      <c r="B51" s="3">
        <f>Data!B48</f>
        <v>239.31954956054599</v>
      </c>
      <c r="C51" s="3">
        <f>Data!H48</f>
        <v>124.377296447753</v>
      </c>
      <c r="D51" s="3">
        <f>Data!N48</f>
        <v>45.398670196533203</v>
      </c>
      <c r="F51" s="1">
        <v>45665</v>
      </c>
      <c r="G51" s="4">
        <f t="shared" si="7"/>
        <v>-1.644075765216968E-4</v>
      </c>
      <c r="H51" s="4">
        <f t="shared" si="8"/>
        <v>7.72391012959317E-3</v>
      </c>
      <c r="I51" s="4">
        <f t="shared" si="9"/>
        <v>2.8210635592480493E-3</v>
      </c>
      <c r="T51">
        <v>45</v>
      </c>
      <c r="U51" s="4">
        <v>-3.0008072888258533E-2</v>
      </c>
      <c r="V51" s="4"/>
      <c r="W51">
        <v>46</v>
      </c>
      <c r="X51">
        <f t="shared" ca="1" si="10"/>
        <v>0.44515490737699193</v>
      </c>
      <c r="Y51">
        <f t="shared" ca="1" si="10"/>
        <v>0.78918727625692453</v>
      </c>
      <c r="Z51">
        <f t="shared" ca="1" si="10"/>
        <v>1.4541139667956764</v>
      </c>
      <c r="AA51" s="4"/>
      <c r="AB51">
        <v>46</v>
      </c>
      <c r="AC51" s="24">
        <f t="shared" ca="1" si="0"/>
        <v>0.44515490737699193</v>
      </c>
      <c r="AD51" s="24">
        <f t="shared" ca="1" si="1"/>
        <v>0.77622734422331163</v>
      </c>
      <c r="AE51" s="24">
        <f t="shared" ca="1" si="2"/>
        <v>1.3191852399110409</v>
      </c>
      <c r="AF51" s="24"/>
      <c r="AG51">
        <v>46</v>
      </c>
      <c r="AH51">
        <f t="shared" ca="1" si="11"/>
        <v>311.79298598076571</v>
      </c>
      <c r="AI51">
        <f t="shared" ca="1" si="12"/>
        <v>166.93346666963296</v>
      </c>
      <c r="AJ51">
        <f t="shared" ca="1" si="13"/>
        <v>54.286387438960162</v>
      </c>
      <c r="AL51">
        <v>46</v>
      </c>
      <c r="AM51" s="4">
        <f t="shared" ca="1" si="3"/>
        <v>7.6040056902637598E-3</v>
      </c>
      <c r="AN51" s="4">
        <f t="shared" ca="1" si="4"/>
        <v>1.6275856886666995E-2</v>
      </c>
      <c r="AO51" s="4">
        <f t="shared" ca="1" si="5"/>
        <v>2.3692036367797709E-2</v>
      </c>
      <c r="AP51" s="4">
        <f t="shared" ca="1" si="6"/>
        <v>1.5899155372085239E-2</v>
      </c>
    </row>
    <row r="52" spans="1:42" x14ac:dyDescent="0.3">
      <c r="A52" s="1">
        <v>45667</v>
      </c>
      <c r="B52" s="3">
        <f>Data!B49</f>
        <v>236.11061096191401</v>
      </c>
      <c r="C52" s="3">
        <f>Data!H49</f>
        <v>120.08740997314401</v>
      </c>
      <c r="D52" s="3">
        <f>Data!N49</f>
        <v>44.317985534667898</v>
      </c>
      <c r="F52" s="1">
        <v>45667</v>
      </c>
      <c r="G52" s="4">
        <f t="shared" si="7"/>
        <v>-1.3408593675378611E-2</v>
      </c>
      <c r="H52" s="4">
        <f t="shared" si="8"/>
        <v>-3.4490912707778931E-2</v>
      </c>
      <c r="I52" s="4">
        <f t="shared" si="9"/>
        <v>-2.380432416163214E-2</v>
      </c>
      <c r="T52">
        <v>46</v>
      </c>
      <c r="U52" s="4">
        <v>-2.9953918223855215E-2</v>
      </c>
      <c r="V52" s="4"/>
      <c r="W52">
        <v>47</v>
      </c>
      <c r="X52">
        <f t="shared" ca="1" si="10"/>
        <v>2.040767876048593</v>
      </c>
      <c r="Y52">
        <f t="shared" ca="1" si="10"/>
        <v>-1.4249811410797628</v>
      </c>
      <c r="Z52">
        <f t="shared" ca="1" si="10"/>
        <v>-0.65930222587570231</v>
      </c>
      <c r="AA52" s="4"/>
      <c r="AB52">
        <v>47</v>
      </c>
      <c r="AC52" s="24">
        <f t="shared" ca="1" si="0"/>
        <v>2.040767876048593</v>
      </c>
      <c r="AD52" s="24">
        <f t="shared" ca="1" si="1"/>
        <v>1.0736840450471015</v>
      </c>
      <c r="AE52" s="24">
        <f t="shared" ca="1" si="2"/>
        <v>0.93776224133432273</v>
      </c>
      <c r="AF52" s="24"/>
      <c r="AG52">
        <v>47</v>
      </c>
      <c r="AH52">
        <f t="shared" ca="1" si="11"/>
        <v>320.36858260246822</v>
      </c>
      <c r="AI52">
        <f t="shared" ca="1" si="12"/>
        <v>167.96907807775301</v>
      </c>
      <c r="AJ52">
        <f t="shared" ca="1" si="13"/>
        <v>53.920158348547872</v>
      </c>
      <c r="AL52">
        <v>47</v>
      </c>
      <c r="AM52" s="4">
        <f t="shared" ca="1" si="3"/>
        <v>3.5317283075356753E-2</v>
      </c>
      <c r="AN52" s="4">
        <f t="shared" ca="1" si="4"/>
        <v>2.2580565536081787E-2</v>
      </c>
      <c r="AO52" s="4">
        <f t="shared" ca="1" si="5"/>
        <v>1.6785962469201499E-2</v>
      </c>
      <c r="AP52" s="4">
        <f t="shared" ca="1" si="6"/>
        <v>2.466319987780019E-2</v>
      </c>
    </row>
    <row r="53" spans="1:42" x14ac:dyDescent="0.3">
      <c r="A53" s="1">
        <v>45670</v>
      </c>
      <c r="B53" s="3">
        <f>Data!B50</f>
        <v>240.38261413574199</v>
      </c>
      <c r="C53" s="3">
        <f>Data!H50</f>
        <v>120.612701416015</v>
      </c>
      <c r="D53" s="3">
        <f>Data!N50</f>
        <v>44.268863677978501</v>
      </c>
      <c r="F53" s="1">
        <v>45670</v>
      </c>
      <c r="G53" s="4">
        <f t="shared" si="7"/>
        <v>1.8093228239187686E-2</v>
      </c>
      <c r="H53" s="4">
        <f t="shared" si="8"/>
        <v>4.3742424204875618E-3</v>
      </c>
      <c r="I53" s="4">
        <f t="shared" si="9"/>
        <v>-1.108395521519645E-3</v>
      </c>
      <c r="T53">
        <v>47</v>
      </c>
      <c r="U53" s="4">
        <v>-2.9784324755454693E-2</v>
      </c>
      <c r="V53" s="4"/>
      <c r="W53">
        <v>48</v>
      </c>
      <c r="X53">
        <f t="shared" ca="1" si="10"/>
        <v>0.26549888804429905</v>
      </c>
      <c r="Y53">
        <f t="shared" ca="1" si="10"/>
        <v>1.274037219488698</v>
      </c>
      <c r="Z53">
        <f t="shared" ca="1" si="10"/>
        <v>0.57210252187447852</v>
      </c>
      <c r="AA53" s="4"/>
      <c r="AB53">
        <v>48</v>
      </c>
      <c r="AC53" s="24">
        <f t="shared" ca="1" si="0"/>
        <v>0.26549888804429905</v>
      </c>
      <c r="AD53" s="24">
        <f t="shared" ca="1" si="1"/>
        <v>0.85879965544541215</v>
      </c>
      <c r="AE53" s="24">
        <f t="shared" ca="1" si="2"/>
        <v>0.85875187915866547</v>
      </c>
      <c r="AF53" s="24"/>
      <c r="AG53">
        <v>48</v>
      </c>
      <c r="AH53">
        <f t="shared" ca="1" si="11"/>
        <v>310.84192089396782</v>
      </c>
      <c r="AI53">
        <f t="shared" ca="1" si="12"/>
        <v>167.2203046837607</v>
      </c>
      <c r="AJ53">
        <f t="shared" ca="1" si="13"/>
        <v>53.84460480340956</v>
      </c>
      <c r="AL53">
        <v>48</v>
      </c>
      <c r="AM53" s="4">
        <f t="shared" ca="1" si="3"/>
        <v>4.5305016853056657E-3</v>
      </c>
      <c r="AN53" s="4">
        <f t="shared" ca="1" si="4"/>
        <v>1.8022100790966E-2</v>
      </c>
      <c r="AO53" s="4">
        <f t="shared" ca="1" si="5"/>
        <v>1.5361230301042195E-2</v>
      </c>
      <c r="AP53" s="4">
        <f t="shared" ca="1" si="6"/>
        <v>1.3176359912290759E-2</v>
      </c>
    </row>
    <row r="54" spans="1:42" x14ac:dyDescent="0.3">
      <c r="A54" s="1">
        <v>45671</v>
      </c>
      <c r="B54" s="3">
        <f>Data!B51</f>
        <v>243.59150695800699</v>
      </c>
      <c r="C54" s="3">
        <f>Data!H51</f>
        <v>121.22555541992099</v>
      </c>
      <c r="D54" s="3">
        <f>Data!N51</f>
        <v>44.976222991943303</v>
      </c>
      <c r="F54" s="1">
        <v>45671</v>
      </c>
      <c r="G54" s="4">
        <f t="shared" si="7"/>
        <v>1.3349105274531148E-2</v>
      </c>
      <c r="H54" s="4">
        <f t="shared" si="8"/>
        <v>5.0811730166970825E-3</v>
      </c>
      <c r="I54" s="4">
        <f t="shared" si="9"/>
        <v>1.5978709530705126E-2</v>
      </c>
      <c r="T54">
        <v>48</v>
      </c>
      <c r="U54" s="4">
        <v>-2.9759591021026842E-2</v>
      </c>
      <c r="V54" s="4"/>
      <c r="W54">
        <v>49</v>
      </c>
      <c r="X54">
        <f t="shared" ca="1" si="10"/>
        <v>1.0658337390845301</v>
      </c>
      <c r="Y54">
        <f t="shared" ca="1" si="10"/>
        <v>-0.4156385143348032</v>
      </c>
      <c r="Z54">
        <f t="shared" ca="1" si="10"/>
        <v>0.49983235758457584</v>
      </c>
      <c r="AA54" s="4"/>
      <c r="AB54">
        <v>49</v>
      </c>
      <c r="AC54" s="24">
        <f t="shared" ca="1" si="0"/>
        <v>1.0658337390845301</v>
      </c>
      <c r="AD54" s="24">
        <f t="shared" ca="1" si="1"/>
        <v>0.72266217052745096</v>
      </c>
      <c r="AE54" s="24">
        <f t="shared" ca="1" si="2"/>
        <v>1.0088991897048849</v>
      </c>
      <c r="AF54" s="24"/>
      <c r="AG54">
        <v>49</v>
      </c>
      <c r="AH54">
        <f t="shared" ca="1" si="11"/>
        <v>315.10119147036511</v>
      </c>
      <c r="AI54">
        <f t="shared" ca="1" si="12"/>
        <v>166.74765622743803</v>
      </c>
      <c r="AJ54">
        <f t="shared" ca="1" si="13"/>
        <v>53.988273643597367</v>
      </c>
      <c r="AL54">
        <v>49</v>
      </c>
      <c r="AM54" s="4">
        <f t="shared" ca="1" si="3"/>
        <v>1.8294948889263418E-2</v>
      </c>
      <c r="AN54" s="4">
        <f t="shared" ca="1" si="4"/>
        <v>1.5144659708968389E-2</v>
      </c>
      <c r="AO54" s="4">
        <f t="shared" ca="1" si="5"/>
        <v>1.8070429688086032E-2</v>
      </c>
      <c r="AP54" s="4">
        <f t="shared" ca="1" si="6"/>
        <v>1.6967477456792193E-2</v>
      </c>
    </row>
    <row r="55" spans="1:42" x14ac:dyDescent="0.3">
      <c r="A55" s="1">
        <v>45672</v>
      </c>
      <c r="B55" s="3">
        <f>Data!B52</f>
        <v>248.39503479003901</v>
      </c>
      <c r="C55" s="3">
        <f>Data!H52</f>
        <v>126.99403381347599</v>
      </c>
      <c r="D55" s="3">
        <f>Data!N52</f>
        <v>46.273048400878899</v>
      </c>
      <c r="F55" s="1">
        <v>45672</v>
      </c>
      <c r="G55" s="4">
        <f t="shared" si="7"/>
        <v>1.9719603084766391E-2</v>
      </c>
      <c r="H55" s="4">
        <f t="shared" si="8"/>
        <v>4.7584672832169828E-2</v>
      </c>
      <c r="I55" s="4">
        <f t="shared" si="9"/>
        <v>2.8833577447530345E-2</v>
      </c>
      <c r="T55">
        <v>49</v>
      </c>
      <c r="U55" s="4">
        <v>-2.9747894873887903E-2</v>
      </c>
      <c r="V55" s="4"/>
      <c r="W55">
        <v>50</v>
      </c>
      <c r="X55">
        <f t="shared" ca="1" si="10"/>
        <v>-1.269236867252346</v>
      </c>
      <c r="Y55">
        <f t="shared" ca="1" si="10"/>
        <v>0.22775283841842794</v>
      </c>
      <c r="Z55">
        <f t="shared" ca="1" si="10"/>
        <v>-1.0546758763565758</v>
      </c>
      <c r="AA55" s="4"/>
      <c r="AB55">
        <v>50</v>
      </c>
      <c r="AC55" s="24">
        <f t="shared" ca="1" si="0"/>
        <v>-1.269236867252346</v>
      </c>
      <c r="AD55" s="24">
        <f t="shared" ca="1" si="1"/>
        <v>-0.99223757499993104</v>
      </c>
      <c r="AE55" s="24">
        <f t="shared" ca="1" si="2"/>
        <v>-1.508379175139781</v>
      </c>
      <c r="AF55" s="24"/>
      <c r="AG55">
        <v>50</v>
      </c>
      <c r="AH55">
        <f t="shared" ca="1" si="11"/>
        <v>302.83466230394612</v>
      </c>
      <c r="AI55">
        <f t="shared" ca="1" si="12"/>
        <v>160.90695462434806</v>
      </c>
      <c r="AJ55">
        <f t="shared" ca="1" si="13"/>
        <v>51.629479538404105</v>
      </c>
      <c r="AL55">
        <v>50</v>
      </c>
      <c r="AM55" s="4">
        <f t="shared" ca="1" si="3"/>
        <v>-2.134610937611614E-2</v>
      </c>
      <c r="AN55" s="4">
        <f t="shared" ca="1" si="4"/>
        <v>-2.0413003741744373E-2</v>
      </c>
      <c r="AO55" s="4">
        <f t="shared" ca="1" si="5"/>
        <v>-2.6409942921580165E-2</v>
      </c>
      <c r="AP55" s="4">
        <f t="shared" ca="1" si="6"/>
        <v>-2.2492017186006644E-2</v>
      </c>
    </row>
    <row r="56" spans="1:42" x14ac:dyDescent="0.3">
      <c r="A56" s="1">
        <v>45673</v>
      </c>
      <c r="B56" s="3">
        <f>Data!B53</f>
        <v>250.28494262695301</v>
      </c>
      <c r="C56" s="3">
        <f>Data!H53</f>
        <v>132.11076354980401</v>
      </c>
      <c r="D56" s="3">
        <f>Data!N53</f>
        <v>45.8211250305175</v>
      </c>
      <c r="F56" s="1">
        <v>45673</v>
      </c>
      <c r="G56" s="4">
        <f t="shared" si="7"/>
        <v>7.6084767093331784E-3</v>
      </c>
      <c r="H56" s="4">
        <f t="shared" si="8"/>
        <v>4.0291103311540288E-2</v>
      </c>
      <c r="I56" s="4">
        <f t="shared" si="9"/>
        <v>-9.76644906655455E-3</v>
      </c>
      <c r="T56">
        <v>50</v>
      </c>
      <c r="U56" s="4">
        <v>-2.9734167223071838E-2</v>
      </c>
      <c r="V56" s="4"/>
      <c r="W56">
        <v>51</v>
      </c>
      <c r="X56">
        <f t="shared" ca="1" si="10"/>
        <v>-1.034731179499907</v>
      </c>
      <c r="Y56">
        <f t="shared" ca="1" si="10"/>
        <v>-2.4414953895807203</v>
      </c>
      <c r="Z56">
        <f t="shared" ca="1" si="10"/>
        <v>-0.10136188605307044</v>
      </c>
      <c r="AA56" s="4"/>
      <c r="AB56">
        <v>51</v>
      </c>
      <c r="AC56" s="24">
        <f t="shared" ca="1" si="0"/>
        <v>-1.034731179499907</v>
      </c>
      <c r="AD56" s="24">
        <f t="shared" ca="1" si="1"/>
        <v>-2.1034206894183356</v>
      </c>
      <c r="AE56" s="24">
        <f t="shared" ca="1" si="2"/>
        <v>-1.5699846434406339</v>
      </c>
      <c r="AF56" s="24"/>
      <c r="AG56">
        <v>51</v>
      </c>
      <c r="AH56">
        <f t="shared" ca="1" si="11"/>
        <v>304.04467658683541</v>
      </c>
      <c r="AI56">
        <f t="shared" ca="1" si="12"/>
        <v>157.23210714899639</v>
      </c>
      <c r="AJ56">
        <f t="shared" ca="1" si="13"/>
        <v>51.57306335461864</v>
      </c>
      <c r="AL56">
        <v>51</v>
      </c>
      <c r="AM56" s="4">
        <f t="shared" ca="1" si="3"/>
        <v>-1.7435773694424839E-2</v>
      </c>
      <c r="AN56" s="4">
        <f t="shared" ca="1" si="4"/>
        <v>-4.2785143022430638E-2</v>
      </c>
      <c r="AO56" s="4">
        <f t="shared" ca="1" si="5"/>
        <v>-2.7473797062332772E-2</v>
      </c>
      <c r="AP56" s="4">
        <f t="shared" ca="1" si="6"/>
        <v>-3.0586928435999534E-2</v>
      </c>
    </row>
    <row r="57" spans="1:42" x14ac:dyDescent="0.3">
      <c r="A57" s="1">
        <v>45674</v>
      </c>
      <c r="B57" s="3">
        <f>Data!B54</f>
        <v>255.09829711914</v>
      </c>
      <c r="C57" s="3">
        <f>Data!H54</f>
        <v>134.11463928222599</v>
      </c>
      <c r="D57" s="3">
        <f>Data!N54</f>
        <v>45.713054656982401</v>
      </c>
      <c r="F57" s="1">
        <v>45674</v>
      </c>
      <c r="G57" s="4">
        <f t="shared" si="7"/>
        <v>1.9231498473966324E-2</v>
      </c>
      <c r="H57" s="4">
        <f t="shared" si="8"/>
        <v>1.5168148897016565E-2</v>
      </c>
      <c r="I57" s="4">
        <f t="shared" si="9"/>
        <v>-2.3585272832808979E-3</v>
      </c>
      <c r="T57">
        <v>51</v>
      </c>
      <c r="U57" s="4">
        <v>-2.954613221330574E-2</v>
      </c>
      <c r="V57" s="4"/>
      <c r="W57">
        <v>52</v>
      </c>
      <c r="X57">
        <f t="shared" ca="1" si="10"/>
        <v>0.17239622609727853</v>
      </c>
      <c r="Y57">
        <f t="shared" ca="1" si="10"/>
        <v>-0.67043108304511956</v>
      </c>
      <c r="Z57">
        <f t="shared" ca="1" si="10"/>
        <v>0.99149403772861655</v>
      </c>
      <c r="AA57" s="4"/>
      <c r="AB57">
        <v>52</v>
      </c>
      <c r="AC57" s="24">
        <f t="shared" ca="1" si="0"/>
        <v>0.17239622609727853</v>
      </c>
      <c r="AD57" s="24">
        <f t="shared" ca="1" si="1"/>
        <v>-0.18033280596491849</v>
      </c>
      <c r="AE57" s="24">
        <f t="shared" ca="1" si="2"/>
        <v>0.45884278989895622</v>
      </c>
      <c r="AF57" s="24"/>
      <c r="AG57">
        <v>52</v>
      </c>
      <c r="AH57">
        <f t="shared" ca="1" si="11"/>
        <v>310.35019476988293</v>
      </c>
      <c r="AI57">
        <f t="shared" ca="1" si="12"/>
        <v>163.64623615069459</v>
      </c>
      <c r="AJ57">
        <f t="shared" ca="1" si="13"/>
        <v>53.463813227972906</v>
      </c>
      <c r="AL57">
        <v>52</v>
      </c>
      <c r="AM57" s="4">
        <f t="shared" ca="1" si="3"/>
        <v>2.9414177911573081E-3</v>
      </c>
      <c r="AN57" s="4">
        <f t="shared" ca="1" si="4"/>
        <v>-3.7365053979401264E-3</v>
      </c>
      <c r="AO57" s="4">
        <f t="shared" ca="1" si="5"/>
        <v>8.180547966474272E-3</v>
      </c>
      <c r="AP57" s="4">
        <f t="shared" ca="1" si="6"/>
        <v>1.8419875681134233E-3</v>
      </c>
    </row>
    <row r="58" spans="1:42" x14ac:dyDescent="0.3">
      <c r="A58" s="1">
        <v>45678</v>
      </c>
      <c r="B58" s="3">
        <f>Data!B55</f>
        <v>258.907623291015</v>
      </c>
      <c r="C58" s="3">
        <f>Data!H55</f>
        <v>133.56016540527301</v>
      </c>
      <c r="D58" s="3">
        <f>Data!N55</f>
        <v>45.840770721435497</v>
      </c>
      <c r="F58" s="1">
        <v>45678</v>
      </c>
      <c r="G58" s="4">
        <f t="shared" si="7"/>
        <v>1.4932777736638148E-2</v>
      </c>
      <c r="H58" s="4">
        <f t="shared" si="8"/>
        <v>-4.1343277655631061E-3</v>
      </c>
      <c r="I58" s="4">
        <f t="shared" si="9"/>
        <v>2.7938641469364978E-3</v>
      </c>
      <c r="T58">
        <v>52</v>
      </c>
      <c r="U58" s="4">
        <v>-2.9471547341714893E-2</v>
      </c>
      <c r="V58" s="4"/>
      <c r="W58">
        <v>53</v>
      </c>
      <c r="X58">
        <f t="shared" ca="1" si="10"/>
        <v>3.1145874469203816E-3</v>
      </c>
      <c r="Y58">
        <f t="shared" ca="1" si="10"/>
        <v>1.5300392426748441</v>
      </c>
      <c r="Z58">
        <f t="shared" ca="1" si="10"/>
        <v>-0.50946380113454581</v>
      </c>
      <c r="AA58" s="4"/>
      <c r="AB58">
        <v>53</v>
      </c>
      <c r="AC58" s="24">
        <f t="shared" ca="1" si="0"/>
        <v>3.1145874469203816E-3</v>
      </c>
      <c r="AD58" s="24">
        <f t="shared" ca="1" si="1"/>
        <v>0.75662128747150648</v>
      </c>
      <c r="AE58" s="24">
        <f t="shared" ca="1" si="2"/>
        <v>0.16634358670532573</v>
      </c>
      <c r="AF58" s="24"/>
      <c r="AG58">
        <v>53</v>
      </c>
      <c r="AH58">
        <f t="shared" ca="1" si="11"/>
        <v>309.45811787667003</v>
      </c>
      <c r="AI58">
        <f t="shared" ca="1" si="12"/>
        <v>166.86543186303379</v>
      </c>
      <c r="AJ58">
        <f t="shared" ca="1" si="13"/>
        <v>53.187003095520538</v>
      </c>
      <c r="AL58">
        <v>53</v>
      </c>
      <c r="AM58" s="4">
        <f t="shared" ca="1" si="3"/>
        <v>5.8542641937275874E-5</v>
      </c>
      <c r="AN58" s="4">
        <f t="shared" ca="1" si="4"/>
        <v>1.5861667133383328E-2</v>
      </c>
      <c r="AO58" s="4">
        <f t="shared" ca="1" si="5"/>
        <v>2.9606698064839065E-3</v>
      </c>
      <c r="AP58" s="4">
        <f t="shared" ca="1" si="6"/>
        <v>7.2504305878796855E-3</v>
      </c>
    </row>
    <row r="59" spans="1:42" x14ac:dyDescent="0.3">
      <c r="A59" s="1">
        <v>45679</v>
      </c>
      <c r="B59" s="3">
        <f>Data!B56</f>
        <v>258.72064208984301</v>
      </c>
      <c r="C59" s="3">
        <f>Data!H56</f>
        <v>132.29559326171801</v>
      </c>
      <c r="D59" s="3">
        <f>Data!N56</f>
        <v>44.986045837402301</v>
      </c>
      <c r="F59" s="1">
        <v>45679</v>
      </c>
      <c r="G59" s="4">
        <f t="shared" si="7"/>
        <v>-7.2219272184903538E-4</v>
      </c>
      <c r="H59" s="4">
        <f t="shared" si="8"/>
        <v>-9.4681834191938652E-3</v>
      </c>
      <c r="I59" s="4">
        <f t="shared" si="9"/>
        <v>-1.8645517310936444E-2</v>
      </c>
      <c r="T59">
        <v>53</v>
      </c>
      <c r="U59" s="4">
        <v>-2.9463471615326451E-2</v>
      </c>
      <c r="V59" s="4"/>
      <c r="W59">
        <v>54</v>
      </c>
      <c r="X59">
        <f t="shared" ca="1" si="10"/>
        <v>2.629044854714266</v>
      </c>
      <c r="Y59">
        <f t="shared" ca="1" si="10"/>
        <v>0.26737680565769617</v>
      </c>
      <c r="Z59">
        <f t="shared" ca="1" si="10"/>
        <v>0.57373126165357069</v>
      </c>
      <c r="AA59" s="4"/>
      <c r="AB59">
        <v>54</v>
      </c>
      <c r="AC59" s="24">
        <f t="shared" ca="1" si="0"/>
        <v>2.629044854714266</v>
      </c>
      <c r="AD59" s="24">
        <f t="shared" ca="1" si="1"/>
        <v>2.4194809173345586</v>
      </c>
      <c r="AE59" s="24">
        <f t="shared" ca="1" si="2"/>
        <v>2.5108829955643404</v>
      </c>
      <c r="AF59" s="24"/>
      <c r="AG59">
        <v>54</v>
      </c>
      <c r="AH59">
        <f t="shared" ca="1" si="11"/>
        <v>323.58943725813339</v>
      </c>
      <c r="AI59">
        <f t="shared" ca="1" si="12"/>
        <v>172.73541843477696</v>
      </c>
      <c r="AJ59">
        <f t="shared" ca="1" si="13"/>
        <v>55.446717892528518</v>
      </c>
      <c r="AL59">
        <v>54</v>
      </c>
      <c r="AM59" s="4">
        <f t="shared" ca="1" si="3"/>
        <v>4.5725939455441456E-2</v>
      </c>
      <c r="AN59" s="4">
        <f t="shared" ca="1" si="4"/>
        <v>5.1597614826349503E-2</v>
      </c>
      <c r="AO59" s="4">
        <f t="shared" ca="1" si="5"/>
        <v>4.5572679028143215E-2</v>
      </c>
      <c r="AP59" s="4">
        <f t="shared" ca="1" si="6"/>
        <v>4.8028631475615202E-2</v>
      </c>
    </row>
    <row r="60" spans="1:42" x14ac:dyDescent="0.3">
      <c r="A60" s="1">
        <v>45680</v>
      </c>
      <c r="B60" s="3">
        <f>Data!B57</f>
        <v>261.78189086914</v>
      </c>
      <c r="C60" s="3">
        <f>Data!H57</f>
        <v>134.04655456542901</v>
      </c>
      <c r="D60" s="3">
        <f>Data!N57</f>
        <v>45.575511932372997</v>
      </c>
      <c r="F60" s="1">
        <v>45680</v>
      </c>
      <c r="G60" s="4">
        <f t="shared" si="7"/>
        <v>1.183225565061008E-2</v>
      </c>
      <c r="H60" s="4">
        <f t="shared" si="8"/>
        <v>1.3235220165248363E-2</v>
      </c>
      <c r="I60" s="4">
        <f t="shared" si="9"/>
        <v>1.3103309793024875E-2</v>
      </c>
      <c r="T60">
        <v>54</v>
      </c>
      <c r="U60" s="4">
        <v>-2.9338333522028491E-2</v>
      </c>
      <c r="V60" s="4"/>
      <c r="W60">
        <v>55</v>
      </c>
      <c r="X60">
        <f t="shared" ca="1" si="10"/>
        <v>0.15769315758277089</v>
      </c>
      <c r="Y60">
        <f t="shared" ca="1" si="10"/>
        <v>0.6498753925142764</v>
      </c>
      <c r="Z60">
        <f t="shared" ca="1" si="10"/>
        <v>2.156433000358553</v>
      </c>
      <c r="AA60" s="4"/>
      <c r="AB60">
        <v>55</v>
      </c>
      <c r="AC60" s="24">
        <f t="shared" ca="1" si="0"/>
        <v>0.15769315758277089</v>
      </c>
      <c r="AD60" s="24">
        <f t="shared" ca="1" si="1"/>
        <v>0.45744031480218417</v>
      </c>
      <c r="AE60" s="24">
        <f t="shared" ca="1" si="2"/>
        <v>1.4025324581521346</v>
      </c>
      <c r="AF60" s="24"/>
      <c r="AG60">
        <v>55</v>
      </c>
      <c r="AH60">
        <f t="shared" ca="1" si="11"/>
        <v>310.27261096967379</v>
      </c>
      <c r="AI60">
        <f t="shared" ca="1" si="12"/>
        <v>165.83067980115021</v>
      </c>
      <c r="AJ60">
        <f t="shared" ca="1" si="13"/>
        <v>54.366745115178297</v>
      </c>
      <c r="AL60">
        <v>55</v>
      </c>
      <c r="AM60" s="4">
        <f t="shared" ca="1" si="3"/>
        <v>2.6906945504741042E-3</v>
      </c>
      <c r="AN60" s="4">
        <f t="shared" ca="1" si="4"/>
        <v>9.5621901061846426E-3</v>
      </c>
      <c r="AO60" s="4">
        <f t="shared" ca="1" si="5"/>
        <v>2.520736124179157E-2</v>
      </c>
      <c r="AP60" s="4">
        <f t="shared" ca="1" si="6"/>
        <v>1.2194292780153559E-2</v>
      </c>
    </row>
    <row r="61" spans="1:42" x14ac:dyDescent="0.3">
      <c r="A61" s="1">
        <v>45681</v>
      </c>
      <c r="B61" s="3">
        <f>Data!B58</f>
        <v>260.68930053710898</v>
      </c>
      <c r="C61" s="3">
        <f>Data!H58</f>
        <v>134.06600952148401</v>
      </c>
      <c r="D61" s="3">
        <f>Data!N58</f>
        <v>45.703231811523402</v>
      </c>
      <c r="F61" s="1">
        <v>45681</v>
      </c>
      <c r="G61" s="4">
        <f t="shared" si="7"/>
        <v>-4.1736665909299919E-3</v>
      </c>
      <c r="H61" s="4">
        <f t="shared" si="8"/>
        <v>1.4513581582220603E-4</v>
      </c>
      <c r="I61" s="4">
        <f t="shared" si="9"/>
        <v>2.8023794738700758E-3</v>
      </c>
      <c r="T61">
        <v>55</v>
      </c>
      <c r="U61" s="4">
        <v>-2.9308518295171782E-2</v>
      </c>
      <c r="V61" s="4"/>
      <c r="W61">
        <v>56</v>
      </c>
      <c r="X61">
        <f t="shared" ca="1" si="10"/>
        <v>1.3777231211011118</v>
      </c>
      <c r="Y61">
        <f t="shared" ca="1" si="10"/>
        <v>0.12895164869639517</v>
      </c>
      <c r="Z61">
        <f t="shared" ca="1" si="10"/>
        <v>1.3232447025845802</v>
      </c>
      <c r="AA61" s="4"/>
      <c r="AB61">
        <v>56</v>
      </c>
      <c r="AC61" s="24">
        <f t="shared" ca="1" si="0"/>
        <v>1.3777231211011118</v>
      </c>
      <c r="AD61" s="24">
        <f t="shared" ca="1" si="1"/>
        <v>1.262402247402338</v>
      </c>
      <c r="AE61" s="24">
        <f t="shared" ca="1" si="2"/>
        <v>1.8316984764471389</v>
      </c>
      <c r="AF61" s="24"/>
      <c r="AG61">
        <v>56</v>
      </c>
      <c r="AH61">
        <f t="shared" ca="1" si="11"/>
        <v>316.77678289258841</v>
      </c>
      <c r="AI61">
        <f t="shared" ca="1" si="12"/>
        <v>168.629439110672</v>
      </c>
      <c r="AJ61">
        <f t="shared" ca="1" si="13"/>
        <v>54.782404577277056</v>
      </c>
      <c r="AL61">
        <v>56</v>
      </c>
      <c r="AM61" s="4">
        <f t="shared" ca="1" si="3"/>
        <v>2.3709864249279233E-2</v>
      </c>
      <c r="AN61" s="4">
        <f t="shared" ca="1" si="4"/>
        <v>2.6600783818090168E-2</v>
      </c>
      <c r="AO61" s="4">
        <f t="shared" ca="1" si="5"/>
        <v>3.3045556068622917E-2</v>
      </c>
      <c r="AP61" s="4">
        <f t="shared" ca="1" si="6"/>
        <v>2.7666939622606711E-2</v>
      </c>
    </row>
    <row r="62" spans="1:42" x14ac:dyDescent="0.3">
      <c r="A62" s="1">
        <v>45684</v>
      </c>
      <c r="B62" s="3">
        <f>Data!B59</f>
        <v>261.68344116210898</v>
      </c>
      <c r="C62" s="3">
        <f>Data!H59</f>
        <v>132.92787170410099</v>
      </c>
      <c r="D62" s="3">
        <f>Data!N59</f>
        <v>46.263221740722599</v>
      </c>
      <c r="F62" s="1">
        <v>45684</v>
      </c>
      <c r="G62" s="4">
        <f t="shared" si="7"/>
        <v>3.8135075852814282E-3</v>
      </c>
      <c r="H62" s="4">
        <f t="shared" si="8"/>
        <v>-8.4893838598263383E-3</v>
      </c>
      <c r="I62" s="4">
        <f t="shared" si="9"/>
        <v>1.2252742464877509E-2</v>
      </c>
      <c r="T62">
        <v>56</v>
      </c>
      <c r="U62" s="4">
        <v>-2.9239506443947561E-2</v>
      </c>
      <c r="V62" s="4"/>
      <c r="W62">
        <v>57</v>
      </c>
      <c r="X62">
        <f t="shared" ca="1" si="10"/>
        <v>-0.3619215521310078</v>
      </c>
      <c r="Y62">
        <f t="shared" ca="1" si="10"/>
        <v>0.77695728487783566</v>
      </c>
      <c r="Z62">
        <f t="shared" ca="1" si="10"/>
        <v>1.2699513338940327</v>
      </c>
      <c r="AA62" s="4"/>
      <c r="AB62">
        <v>57</v>
      </c>
      <c r="AC62" s="24">
        <f t="shared" ca="1" si="0"/>
        <v>-0.3619215521310078</v>
      </c>
      <c r="AD62" s="24">
        <f t="shared" ca="1" si="1"/>
        <v>6.7901956746553083E-2</v>
      </c>
      <c r="AE62" s="24">
        <f t="shared" ca="1" si="2"/>
        <v>0.56358631743153742</v>
      </c>
      <c r="AF62" s="24"/>
      <c r="AG62">
        <v>57</v>
      </c>
      <c r="AH62">
        <f t="shared" ca="1" si="11"/>
        <v>307.54317474295874</v>
      </c>
      <c r="AI62">
        <f t="shared" ca="1" si="12"/>
        <v>164.49302638229162</v>
      </c>
      <c r="AJ62">
        <f t="shared" ca="1" si="13"/>
        <v>53.5632884512628</v>
      </c>
      <c r="AL62">
        <v>57</v>
      </c>
      <c r="AM62" s="4">
        <f t="shared" ca="1" si="3"/>
        <v>-6.1298722966707242E-3</v>
      </c>
      <c r="AN62" s="4">
        <f t="shared" ca="1" si="4"/>
        <v>1.4186769953101752E-3</v>
      </c>
      <c r="AO62" s="4">
        <f t="shared" ca="1" si="5"/>
        <v>1.0056377225001967E-2</v>
      </c>
      <c r="AP62" s="4">
        <f t="shared" ca="1" si="6"/>
        <v>1.7454222766234426E-3</v>
      </c>
    </row>
    <row r="63" spans="1:42" x14ac:dyDescent="0.3">
      <c r="A63" s="1">
        <v>45685</v>
      </c>
      <c r="B63" s="3">
        <f>Data!B60</f>
        <v>262.95324707031199</v>
      </c>
      <c r="C63" s="3">
        <f>Data!H60</f>
        <v>134.76638793945301</v>
      </c>
      <c r="D63" s="3">
        <f>Data!N60</f>
        <v>46.017608642578097</v>
      </c>
      <c r="F63" s="1">
        <v>45685</v>
      </c>
      <c r="G63" s="4">
        <f t="shared" si="7"/>
        <v>4.8524503597320301E-3</v>
      </c>
      <c r="H63" s="4">
        <f t="shared" si="8"/>
        <v>1.383093110408451E-2</v>
      </c>
      <c r="I63" s="4">
        <f t="shared" si="9"/>
        <v>-5.3090357502773022E-3</v>
      </c>
      <c r="T63">
        <v>57</v>
      </c>
      <c r="U63" s="4">
        <v>-2.922765171397548E-2</v>
      </c>
      <c r="V63" s="4"/>
      <c r="W63">
        <v>58</v>
      </c>
      <c r="X63">
        <f t="shared" ca="1" si="10"/>
        <v>1.6819936250078487</v>
      </c>
      <c r="Y63">
        <f t="shared" ca="1" si="10"/>
        <v>2.1021545957642926</v>
      </c>
      <c r="Z63">
        <f t="shared" ca="1" si="10"/>
        <v>-1.8777855307212779</v>
      </c>
      <c r="AA63" s="4"/>
      <c r="AB63">
        <v>58</v>
      </c>
      <c r="AC63" s="24">
        <f t="shared" ca="1" si="0"/>
        <v>1.6819936250078487</v>
      </c>
      <c r="AD63" s="24">
        <f t="shared" ca="1" si="1"/>
        <v>2.4994467586688338</v>
      </c>
      <c r="AE63" s="24">
        <f t="shared" ca="1" si="2"/>
        <v>1.000175775252518</v>
      </c>
      <c r="AF63" s="24"/>
      <c r="AG63">
        <v>58</v>
      </c>
      <c r="AH63">
        <f t="shared" ca="1" si="11"/>
        <v>318.42002870287604</v>
      </c>
      <c r="AI63">
        <f t="shared" ca="1" si="12"/>
        <v>173.02284902727064</v>
      </c>
      <c r="AJ63">
        <f t="shared" ca="1" si="13"/>
        <v>53.979916143071335</v>
      </c>
      <c r="AL63">
        <v>58</v>
      </c>
      <c r="AM63" s="4">
        <f t="shared" ca="1" si="3"/>
        <v>2.902025009895226E-2</v>
      </c>
      <c r="AN63" s="4">
        <f t="shared" ca="1" si="4"/>
        <v>5.3347466294180412E-2</v>
      </c>
      <c r="AO63" s="4">
        <f t="shared" ca="1" si="5"/>
        <v>1.7912830202541752E-2</v>
      </c>
      <c r="AP63" s="4">
        <f t="shared" ca="1" si="6"/>
        <v>3.5418910608120371E-2</v>
      </c>
    </row>
    <row r="64" spans="1:42" x14ac:dyDescent="0.3">
      <c r="A64" s="1">
        <v>45686</v>
      </c>
      <c r="B64" s="3">
        <f>Data!B61</f>
        <v>262.40200805664</v>
      </c>
      <c r="C64" s="3">
        <f>Data!H61</f>
        <v>134.93176269531199</v>
      </c>
      <c r="D64" s="3">
        <f>Data!N61</f>
        <v>45.929191589355398</v>
      </c>
      <c r="F64" s="1">
        <v>45686</v>
      </c>
      <c r="G64" s="4">
        <f t="shared" si="7"/>
        <v>-2.0963384929206796E-3</v>
      </c>
      <c r="H64" s="4">
        <f t="shared" si="8"/>
        <v>1.2271216761650106E-3</v>
      </c>
      <c r="I64" s="4">
        <f t="shared" si="9"/>
        <v>-1.9213743571387942E-3</v>
      </c>
      <c r="T64">
        <v>58</v>
      </c>
      <c r="U64" s="4">
        <v>-2.8835619361630441E-2</v>
      </c>
      <c r="V64" s="4"/>
      <c r="W64">
        <v>59</v>
      </c>
      <c r="X64">
        <f t="shared" ca="1" si="10"/>
        <v>0.55482761530447688</v>
      </c>
      <c r="Y64">
        <f t="shared" ca="1" si="10"/>
        <v>0.23112050802316736</v>
      </c>
      <c r="Z64">
        <f t="shared" ca="1" si="10"/>
        <v>0.94597808986559495</v>
      </c>
      <c r="AA64" s="4"/>
      <c r="AB64">
        <v>59</v>
      </c>
      <c r="AC64" s="24">
        <f t="shared" ca="1" si="0"/>
        <v>0.55482761530447688</v>
      </c>
      <c r="AD64" s="24">
        <f t="shared" ca="1" si="1"/>
        <v>0.59668034636085421</v>
      </c>
      <c r="AE64" s="24">
        <f t="shared" ca="1" si="2"/>
        <v>0.99676377647025438</v>
      </c>
      <c r="AF64" s="24"/>
      <c r="AG64">
        <v>59</v>
      </c>
      <c r="AH64">
        <f t="shared" ca="1" si="11"/>
        <v>312.37500244668888</v>
      </c>
      <c r="AI64">
        <f t="shared" ca="1" si="12"/>
        <v>166.31145692034167</v>
      </c>
      <c r="AJ64">
        <f t="shared" ca="1" si="13"/>
        <v>53.976647616597113</v>
      </c>
      <c r="AL64">
        <v>59</v>
      </c>
      <c r="AM64" s="4">
        <f t="shared" ca="1" si="3"/>
        <v>9.4848758470993388E-3</v>
      </c>
      <c r="AN64" s="4">
        <f t="shared" ca="1" si="4"/>
        <v>1.2489117753022416E-2</v>
      </c>
      <c r="AO64" s="4">
        <f t="shared" ca="1" si="5"/>
        <v>1.7851194778263801E-2</v>
      </c>
      <c r="AP64" s="4">
        <f t="shared" ca="1" si="6"/>
        <v>1.319646828881791E-2</v>
      </c>
    </row>
    <row r="65" spans="1:42" x14ac:dyDescent="0.3">
      <c r="A65" s="1">
        <v>45687</v>
      </c>
      <c r="B65" s="3">
        <f>Data!B62</f>
        <v>264.02615356445301</v>
      </c>
      <c r="C65" s="3">
        <f>Data!H62</f>
        <v>136.12826538085901</v>
      </c>
      <c r="D65" s="3">
        <f>Data!N62</f>
        <v>45.899715423583899</v>
      </c>
      <c r="F65" s="1">
        <v>45687</v>
      </c>
      <c r="G65" s="4">
        <f t="shared" si="7"/>
        <v>6.1895315506215187E-3</v>
      </c>
      <c r="H65" s="4">
        <f t="shared" si="8"/>
        <v>8.8674650182167802E-3</v>
      </c>
      <c r="I65" s="4">
        <f t="shared" si="9"/>
        <v>-6.4177410382137978E-4</v>
      </c>
      <c r="T65">
        <v>59</v>
      </c>
      <c r="U65" s="4">
        <v>-2.8812994732534705E-2</v>
      </c>
      <c r="V65" s="4"/>
      <c r="W65">
        <v>60</v>
      </c>
      <c r="X65">
        <f t="shared" ca="1" si="10"/>
        <v>-0.80274153697370743</v>
      </c>
      <c r="Y65">
        <f t="shared" ca="1" si="10"/>
        <v>-0.9060264531490797</v>
      </c>
      <c r="Z65">
        <f t="shared" ca="1" si="10"/>
        <v>0.41520792970528042</v>
      </c>
      <c r="AA65" s="4"/>
      <c r="AB65">
        <v>60</v>
      </c>
      <c r="AC65" s="24">
        <f t="shared" ca="1" si="0"/>
        <v>-0.80274153697370743</v>
      </c>
      <c r="AD65" s="24">
        <f t="shared" ca="1" si="1"/>
        <v>-1.144962220572918</v>
      </c>
      <c r="AE65" s="24">
        <f t="shared" ca="1" si="2"/>
        <v>-0.69460027943898228</v>
      </c>
      <c r="AF65" s="24"/>
      <c r="AG65">
        <v>60</v>
      </c>
      <c r="AH65">
        <f t="shared" ca="1" si="11"/>
        <v>305.24646561906656</v>
      </c>
      <c r="AI65">
        <f t="shared" ca="1" si="12"/>
        <v>160.39682493363426</v>
      </c>
      <c r="AJ65">
        <f t="shared" ca="1" si="13"/>
        <v>52.380528223593267</v>
      </c>
      <c r="AL65">
        <v>60</v>
      </c>
      <c r="AM65" s="4">
        <f t="shared" ca="1" si="3"/>
        <v>-1.3552019096605084E-2</v>
      </c>
      <c r="AN65" s="4">
        <f t="shared" ca="1" si="4"/>
        <v>-2.3518627190992514E-2</v>
      </c>
      <c r="AO65" s="4">
        <f t="shared" ca="1" si="5"/>
        <v>-1.2247229316495578E-2</v>
      </c>
      <c r="AP65" s="4">
        <f t="shared" ca="1" si="6"/>
        <v>-1.7147225400327204E-2</v>
      </c>
    </row>
    <row r="66" spans="1:42" x14ac:dyDescent="0.3">
      <c r="A66" s="1">
        <v>45688</v>
      </c>
      <c r="B66" s="3">
        <f>Data!B63</f>
        <v>263.11071777343699</v>
      </c>
      <c r="C66" s="3">
        <f>Data!H63</f>
        <v>135.55538940429599</v>
      </c>
      <c r="D66" s="3">
        <f>Data!N63</f>
        <v>45.487094879150298</v>
      </c>
      <c r="F66" s="1">
        <v>45688</v>
      </c>
      <c r="G66" s="4">
        <f t="shared" si="7"/>
        <v>-3.4672163293570923E-3</v>
      </c>
      <c r="H66" s="4">
        <f t="shared" si="8"/>
        <v>-4.2083543411077784E-3</v>
      </c>
      <c r="I66" s="4">
        <f t="shared" si="9"/>
        <v>-8.9896100798392276E-3</v>
      </c>
      <c r="T66">
        <v>60</v>
      </c>
      <c r="U66" s="4">
        <v>-2.8763324283034367E-2</v>
      </c>
      <c r="V66" s="4"/>
      <c r="W66">
        <v>61</v>
      </c>
      <c r="X66">
        <f t="shared" ca="1" si="10"/>
        <v>0.98765005936556849</v>
      </c>
      <c r="Y66">
        <f t="shared" ca="1" si="10"/>
        <v>2.7893841945450252E-2</v>
      </c>
      <c r="Z66">
        <f t="shared" ca="1" si="10"/>
        <v>0.624320787778884</v>
      </c>
      <c r="AA66" s="4"/>
      <c r="AB66">
        <v>61</v>
      </c>
      <c r="AC66" s="24">
        <f t="shared" ca="1" si="0"/>
        <v>0.98765005936556849</v>
      </c>
      <c r="AD66" s="24">
        <f t="shared" ca="1" si="1"/>
        <v>0.8731745397780325</v>
      </c>
      <c r="AE66" s="24">
        <f t="shared" ca="1" si="2"/>
        <v>1.1306989826202829</v>
      </c>
      <c r="AF66" s="24"/>
      <c r="AG66">
        <v>61</v>
      </c>
      <c r="AH66">
        <f t="shared" ca="1" si="11"/>
        <v>314.68254944165983</v>
      </c>
      <c r="AI66">
        <f t="shared" ca="1" si="12"/>
        <v>167.27029021043325</v>
      </c>
      <c r="AJ66">
        <f t="shared" ca="1" si="13"/>
        <v>54.105099651903899</v>
      </c>
      <c r="AL66">
        <v>61</v>
      </c>
      <c r="AM66" s="4">
        <f t="shared" ca="1" si="3"/>
        <v>1.6942046790626275E-2</v>
      </c>
      <c r="AN66" s="4">
        <f t="shared" ca="1" si="4"/>
        <v>1.8326408159431651E-2</v>
      </c>
      <c r="AO66" s="4">
        <f t="shared" ca="1" si="5"/>
        <v>2.0273447055533911E-2</v>
      </c>
      <c r="AP66" s="4">
        <f t="shared" ca="1" si="6"/>
        <v>1.8495211417620713E-2</v>
      </c>
    </row>
    <row r="67" spans="1:42" x14ac:dyDescent="0.3">
      <c r="A67" s="1">
        <v>45691</v>
      </c>
      <c r="B67" s="3">
        <f>Data!B64</f>
        <v>262.62838745117102</v>
      </c>
      <c r="C67" s="3">
        <f>Data!H64</f>
        <v>134.31178283691401</v>
      </c>
      <c r="D67" s="3">
        <f>Data!N64</f>
        <v>45.398670196533203</v>
      </c>
      <c r="F67" s="1">
        <v>45691</v>
      </c>
      <c r="G67" s="4">
        <f t="shared" si="7"/>
        <v>-1.8331838639933373E-3</v>
      </c>
      <c r="H67" s="4">
        <f t="shared" si="8"/>
        <v>-9.1741580533762912E-3</v>
      </c>
      <c r="I67" s="4">
        <f t="shared" si="9"/>
        <v>-1.9439509788879983E-3</v>
      </c>
      <c r="T67">
        <v>61</v>
      </c>
      <c r="U67" s="4">
        <v>-2.8666211754009484E-2</v>
      </c>
      <c r="V67" s="4"/>
      <c r="W67">
        <v>62</v>
      </c>
      <c r="X67">
        <f t="shared" ca="1" si="10"/>
        <v>-2.3485831202356229</v>
      </c>
      <c r="Y67">
        <f t="shared" ca="1" si="10"/>
        <v>0.84332148397551943</v>
      </c>
      <c r="Z67">
        <f t="shared" ca="1" si="10"/>
        <v>-0.73117881916065242</v>
      </c>
      <c r="AA67" s="4"/>
      <c r="AB67">
        <v>62</v>
      </c>
      <c r="AC67" s="24">
        <f t="shared" ca="1" si="0"/>
        <v>-2.3485831202356229</v>
      </c>
      <c r="AD67" s="24">
        <f t="shared" ca="1" si="1"/>
        <v>-1.6281445124544498</v>
      </c>
      <c r="AE67" s="24">
        <f t="shared" ca="1" si="2"/>
        <v>-2.0552651688226673</v>
      </c>
      <c r="AF67" s="24"/>
      <c r="AG67">
        <v>62</v>
      </c>
      <c r="AH67">
        <f t="shared" ca="1" si="11"/>
        <v>297.3271899796203</v>
      </c>
      <c r="AI67">
        <f t="shared" ca="1" si="12"/>
        <v>158.79353109352581</v>
      </c>
      <c r="AJ67">
        <f t="shared" ca="1" si="13"/>
        <v>51.130810047823147</v>
      </c>
      <c r="AL67">
        <v>62</v>
      </c>
      <c r="AM67" s="4">
        <f t="shared" ca="1" si="3"/>
        <v>-3.9144300563012546E-2</v>
      </c>
      <c r="AN67" s="4">
        <f t="shared" ca="1" si="4"/>
        <v>-3.3279335176659375E-2</v>
      </c>
      <c r="AO67" s="4">
        <f t="shared" ca="1" si="5"/>
        <v>-3.5813478694913803E-2</v>
      </c>
      <c r="AP67" s="4">
        <f t="shared" ca="1" si="6"/>
        <v>-3.5799067848041655E-2</v>
      </c>
    </row>
    <row r="68" spans="1:42" x14ac:dyDescent="0.3">
      <c r="A68" s="1">
        <v>45692</v>
      </c>
      <c r="B68" s="3">
        <f>Data!B65</f>
        <v>263.74069213867102</v>
      </c>
      <c r="C68" s="3">
        <f>Data!H65</f>
        <v>133.92988586425699</v>
      </c>
      <c r="D68" s="3">
        <f>Data!N65</f>
        <v>45.889896392822202</v>
      </c>
      <c r="F68" s="1">
        <v>45692</v>
      </c>
      <c r="G68" s="4">
        <f t="shared" si="7"/>
        <v>4.2352797361131511E-3</v>
      </c>
      <c r="H68" s="4">
        <f t="shared" si="8"/>
        <v>-2.8433616514549342E-3</v>
      </c>
      <c r="I68" s="4">
        <f t="shared" si="9"/>
        <v>1.0820277205531692E-2</v>
      </c>
      <c r="T68">
        <v>62</v>
      </c>
      <c r="U68" s="4">
        <v>-2.830251645070021E-2</v>
      </c>
      <c r="V68" s="4"/>
      <c r="W68">
        <v>63</v>
      </c>
      <c r="X68">
        <f t="shared" ca="1" si="10"/>
        <v>-1.3641851956619191</v>
      </c>
      <c r="Y68">
        <f t="shared" ca="1" si="10"/>
        <v>9.431423908649493E-2</v>
      </c>
      <c r="Z68">
        <f t="shared" ca="1" si="10"/>
        <v>0.50550507683248269</v>
      </c>
      <c r="AA68" s="4"/>
      <c r="AB68">
        <v>63</v>
      </c>
      <c r="AC68" s="24">
        <f t="shared" ca="1" si="0"/>
        <v>-1.3641851956619191</v>
      </c>
      <c r="AD68" s="24">
        <f t="shared" ca="1" si="1"/>
        <v>-1.1406098972354033</v>
      </c>
      <c r="AE68" s="24">
        <f t="shared" ca="1" si="2"/>
        <v>-0.83089781254653394</v>
      </c>
      <c r="AF68" s="24"/>
      <c r="AG68">
        <v>63</v>
      </c>
      <c r="AH68">
        <f t="shared" ca="1" si="11"/>
        <v>302.34611379495215</v>
      </c>
      <c r="AI68">
        <f t="shared" ca="1" si="12"/>
        <v>160.4113401184795</v>
      </c>
      <c r="AJ68">
        <f t="shared" ca="1" si="13"/>
        <v>52.253979780244165</v>
      </c>
      <c r="AL68">
        <v>63</v>
      </c>
      <c r="AM68" s="4">
        <f t="shared" ca="1" si="3"/>
        <v>-2.2924924348774689E-2</v>
      </c>
      <c r="AN68" s="4">
        <f t="shared" ca="1" si="4"/>
        <v>-2.3430260057602514E-2</v>
      </c>
      <c r="AO68" s="4">
        <f t="shared" ca="1" si="5"/>
        <v>-1.4633585082328815E-2</v>
      </c>
      <c r="AP68" s="4">
        <f t="shared" ca="1" si="6"/>
        <v>-2.0639656852372054E-2</v>
      </c>
    </row>
    <row r="69" spans="1:42" x14ac:dyDescent="0.3">
      <c r="A69" s="1">
        <v>45693</v>
      </c>
      <c r="B69" s="3">
        <f>Data!B66</f>
        <v>266.191650390625</v>
      </c>
      <c r="C69" s="3">
        <f>Data!H66</f>
        <v>136.04502868652301</v>
      </c>
      <c r="D69" s="3">
        <f>Data!N66</f>
        <v>46.282867431640597</v>
      </c>
      <c r="F69" s="1">
        <v>45693</v>
      </c>
      <c r="G69" s="4">
        <f t="shared" si="7"/>
        <v>9.2930606653041092E-3</v>
      </c>
      <c r="H69" s="4">
        <f t="shared" si="8"/>
        <v>1.5792911407464416E-2</v>
      </c>
      <c r="I69" s="4">
        <f t="shared" si="9"/>
        <v>8.5633455228253386E-3</v>
      </c>
      <c r="T69">
        <v>63</v>
      </c>
      <c r="U69" s="4">
        <v>-2.811264852571772E-2</v>
      </c>
      <c r="V69" s="4"/>
      <c r="W69">
        <v>64</v>
      </c>
      <c r="X69">
        <f t="shared" ca="1" si="10"/>
        <v>0.71358130185878843</v>
      </c>
      <c r="Y69">
        <f t="shared" ca="1" si="10"/>
        <v>-0.47406239698317904</v>
      </c>
      <c r="Z69">
        <f t="shared" ca="1" si="10"/>
        <v>0.64575808644119737</v>
      </c>
      <c r="AA69" s="4"/>
      <c r="AB69">
        <v>64</v>
      </c>
      <c r="AC69" s="24">
        <f t="shared" ca="1" si="0"/>
        <v>0.71358130185878843</v>
      </c>
      <c r="AD69" s="24">
        <f t="shared" ca="1" si="1"/>
        <v>0.38735251781257923</v>
      </c>
      <c r="AE69" s="24">
        <f t="shared" ca="1" si="2"/>
        <v>0.77931314270321139</v>
      </c>
      <c r="AF69" s="24"/>
      <c r="AG69">
        <v>64</v>
      </c>
      <c r="AH69">
        <f t="shared" ca="1" si="11"/>
        <v>313.21940931161123</v>
      </c>
      <c r="AI69">
        <f t="shared" ca="1" si="12"/>
        <v>165.58920217561564</v>
      </c>
      <c r="AJ69">
        <f t="shared" ca="1" si="13"/>
        <v>53.768748354735585</v>
      </c>
      <c r="AL69">
        <v>64</v>
      </c>
      <c r="AM69" s="4">
        <f t="shared" ca="1" si="3"/>
        <v>1.2213698424206942E-2</v>
      </c>
      <c r="AN69" s="4">
        <f t="shared" ca="1" si="4"/>
        <v>8.092096147764849E-3</v>
      </c>
      <c r="AO69" s="4">
        <f t="shared" ca="1" si="5"/>
        <v>1.3930786204867873E-2</v>
      </c>
      <c r="AP69" s="4">
        <f t="shared" ca="1" si="6"/>
        <v>1.1080183847828384E-2</v>
      </c>
    </row>
    <row r="70" spans="1:42" x14ac:dyDescent="0.3">
      <c r="A70" s="1">
        <v>45694</v>
      </c>
      <c r="B70" s="3">
        <f>Data!B67</f>
        <v>272.56027221679602</v>
      </c>
      <c r="C70" s="3">
        <f>Data!H67</f>
        <v>138.15037536621</v>
      </c>
      <c r="D70" s="3">
        <f>Data!N67</f>
        <v>46.901809692382798</v>
      </c>
      <c r="F70" s="1">
        <v>45694</v>
      </c>
      <c r="G70" s="4">
        <f t="shared" si="7"/>
        <v>2.3924949624923864E-2</v>
      </c>
      <c r="H70" s="4">
        <f t="shared" si="8"/>
        <v>1.5475366501911392E-2</v>
      </c>
      <c r="I70" s="4">
        <f t="shared" si="9"/>
        <v>1.3373031860145046E-2</v>
      </c>
      <c r="T70">
        <v>64</v>
      </c>
      <c r="U70" s="4">
        <v>-2.8035753920870009E-2</v>
      </c>
      <c r="V70" s="4"/>
      <c r="W70">
        <v>65</v>
      </c>
      <c r="X70">
        <f t="shared" ca="1" si="10"/>
        <v>-0.6602437731556321</v>
      </c>
      <c r="Y70">
        <f t="shared" ca="1" si="10"/>
        <v>0.31914269167052445</v>
      </c>
      <c r="Z70">
        <f t="shared" ca="1" si="10"/>
        <v>1.0414669205205358</v>
      </c>
      <c r="AA70" s="4"/>
      <c r="AB70">
        <v>65</v>
      </c>
      <c r="AC70" s="24">
        <f t="shared" ref="AC70:AC133" ca="1" si="19">SUMPRODUCT($Q$24:$S$24,X70:Z70)</f>
        <v>-0.6602437731556321</v>
      </c>
      <c r="AD70" s="24">
        <f t="shared" ref="AD70:AD133" ca="1" si="20">SUMPRODUCT($Q$25:$S$25,X70:Z70)</f>
        <v>-0.41727452536836257</v>
      </c>
      <c r="AE70" s="24">
        <f t="shared" ref="AE70:AE133" ca="1" si="21">SUMPRODUCT($Q$26:$S$26,X70:Z70)</f>
        <v>7.7750159021834242E-2</v>
      </c>
      <c r="AF70" s="24"/>
      <c r="AG70">
        <v>65</v>
      </c>
      <c r="AH70">
        <f t="shared" ca="1" si="11"/>
        <v>305.98700866207832</v>
      </c>
      <c r="AI70">
        <f t="shared" ca="1" si="12"/>
        <v>162.84203581787628</v>
      </c>
      <c r="AJ70">
        <f t="shared" ca="1" si="13"/>
        <v>53.103444767851322</v>
      </c>
      <c r="AL70">
        <v>65</v>
      </c>
      <c r="AM70" s="4">
        <f t="shared" ref="AM70:AM133" ca="1" si="22">AH70/$AH$2-1</f>
        <v>-1.1158847440810526E-2</v>
      </c>
      <c r="AN70" s="4">
        <f t="shared" ref="AN70:AN133" ca="1" si="23">AI70/$AI$2-1</f>
        <v>-8.6324043368923853E-3</v>
      </c>
      <c r="AO70" s="4">
        <f t="shared" ref="AO70:AO133" ca="1" si="24">AJ70/$AJ$2-1</f>
        <v>1.3849894445632227E-3</v>
      </c>
      <c r="AP70" s="4">
        <f t="shared" ref="AP70:AP133" ca="1" si="25">SUMPRODUCT($P$6:$R$6,AM70:AO70)</f>
        <v>-6.3851191336311442E-3</v>
      </c>
    </row>
    <row r="71" spans="1:42" x14ac:dyDescent="0.3">
      <c r="A71" s="1">
        <v>45695</v>
      </c>
      <c r="B71" s="3">
        <f>Data!B68</f>
        <v>271.47747802734301</v>
      </c>
      <c r="C71" s="3">
        <f>Data!H68</f>
        <v>137.07321166992099</v>
      </c>
      <c r="D71" s="3">
        <f>Data!N68</f>
        <v>46.567779541015597</v>
      </c>
      <c r="F71" s="1">
        <v>45695</v>
      </c>
      <c r="G71" s="4">
        <f t="shared" ref="G71:G134" si="26">B71/B70-1</f>
        <v>-3.9726779719083671E-3</v>
      </c>
      <c r="H71" s="4">
        <f t="shared" ref="H71:H134" si="27">C71/C70-1</f>
        <v>-7.7970377817190295E-3</v>
      </c>
      <c r="I71" s="4">
        <f t="shared" ref="I71:I134" si="28">D71/D70-1</f>
        <v>-7.1219032604077359E-3</v>
      </c>
      <c r="T71">
        <v>65</v>
      </c>
      <c r="U71" s="4">
        <v>-2.7841989344094421E-2</v>
      </c>
      <c r="V71" s="4"/>
      <c r="W71">
        <v>66</v>
      </c>
      <c r="X71">
        <f t="shared" ref="X71:Z134" ca="1" si="29">_xlfn.NORM.S.INV(RAND())</f>
        <v>-6.2244126876357886E-2</v>
      </c>
      <c r="Y71">
        <f t="shared" ca="1" si="29"/>
        <v>0.84457580136793886</v>
      </c>
      <c r="Z71">
        <f t="shared" ca="1" si="29"/>
        <v>-0.61956440553931869</v>
      </c>
      <c r="AA71" s="4"/>
      <c r="AB71">
        <v>66</v>
      </c>
      <c r="AC71" s="24">
        <f t="shared" ca="1" si="19"/>
        <v>-6.2244126876357886E-2</v>
      </c>
      <c r="AD71" s="24">
        <f t="shared" ca="1" si="20"/>
        <v>0.36199261637286906</v>
      </c>
      <c r="AE71" s="24">
        <f t="shared" ca="1" si="21"/>
        <v>-0.13210157592436489</v>
      </c>
      <c r="AF71" s="24"/>
      <c r="AG71">
        <v>66</v>
      </c>
      <c r="AH71">
        <f t="shared" ref="AH71:AH134" ca="1" si="30">$L$21*EXP(($L$19-(($L$20^2)/2))*(1/252)+$L$20*AC71)</f>
        <v>309.11437840815483</v>
      </c>
      <c r="AI71">
        <f t="shared" ref="AI71:AI134" ca="1" si="31">$M$21*EXP(($M$19-(($M$20^2)/2))*(1/252)+$M$20*AD71)</f>
        <v>165.50191487032905</v>
      </c>
      <c r="AJ71">
        <f t="shared" ref="AJ71:AJ134" ca="1" si="32">$N$21*EXP(($N$19-(($N$20^2)/2))*(1/252)+$N$20*AE71)</f>
        <v>52.906043069200074</v>
      </c>
      <c r="AL71">
        <v>66</v>
      </c>
      <c r="AM71" s="4">
        <f t="shared" ca="1" si="22"/>
        <v>-1.0523010298671975E-3</v>
      </c>
      <c r="AN71" s="4">
        <f t="shared" ca="1" si="23"/>
        <v>7.5606989225995846E-3</v>
      </c>
      <c r="AO71" s="4">
        <f t="shared" ca="1" si="24"/>
        <v>-2.3374639439953659E-3</v>
      </c>
      <c r="AP71" s="4">
        <f t="shared" ca="1" si="25"/>
        <v>2.0073500768810651E-3</v>
      </c>
    </row>
    <row r="72" spans="1:42" x14ac:dyDescent="0.3">
      <c r="A72" s="1">
        <v>45698</v>
      </c>
      <c r="B72" s="3">
        <f>Data!B69</f>
        <v>266.79214477539</v>
      </c>
      <c r="C72" s="3">
        <f>Data!H69</f>
        <v>134.45866394042901</v>
      </c>
      <c r="D72" s="3">
        <f>Data!N69</f>
        <v>45.850589752197202</v>
      </c>
      <c r="F72" s="1">
        <v>45698</v>
      </c>
      <c r="G72" s="4">
        <f t="shared" si="26"/>
        <v>-1.7258644385524713E-2</v>
      </c>
      <c r="H72" s="4">
        <f t="shared" si="27"/>
        <v>-1.907409695621598E-2</v>
      </c>
      <c r="I72" s="4">
        <f t="shared" si="28"/>
        <v>-1.5400987461442361E-2</v>
      </c>
      <c r="T72">
        <v>66</v>
      </c>
      <c r="U72" s="4">
        <v>-2.7639317813635357E-2</v>
      </c>
      <c r="V72" s="4"/>
      <c r="W72">
        <v>67</v>
      </c>
      <c r="X72">
        <f t="shared" ca="1" si="29"/>
        <v>-0.60282937514945933</v>
      </c>
      <c r="Y72">
        <f t="shared" ca="1" si="29"/>
        <v>0.74321404547312986</v>
      </c>
      <c r="Z72">
        <f t="shared" ca="1" si="29"/>
        <v>0.8749647505900261</v>
      </c>
      <c r="AA72" s="4"/>
      <c r="AB72">
        <v>67</v>
      </c>
      <c r="AC72" s="24">
        <f t="shared" ca="1" si="19"/>
        <v>-0.60282937514945933</v>
      </c>
      <c r="AD72" s="24">
        <f t="shared" ca="1" si="20"/>
        <v>-0.15835706715233855</v>
      </c>
      <c r="AE72" s="24">
        <f t="shared" ca="1" si="21"/>
        <v>0.15717436229230003</v>
      </c>
      <c r="AF72" s="24"/>
      <c r="AG72">
        <v>67</v>
      </c>
      <c r="AH72">
        <f t="shared" ca="1" si="30"/>
        <v>306.28589162371475</v>
      </c>
      <c r="AI72">
        <f t="shared" ca="1" si="31"/>
        <v>163.72102463428777</v>
      </c>
      <c r="AJ72">
        <f t="shared" ca="1" si="32"/>
        <v>53.178348896673029</v>
      </c>
      <c r="AL72">
        <v>67</v>
      </c>
      <c r="AM72" s="4">
        <f t="shared" ca="1" si="22"/>
        <v>-1.019296404086778E-2</v>
      </c>
      <c r="AN72" s="4">
        <f t="shared" ca="1" si="23"/>
        <v>-3.2811998695446709E-3</v>
      </c>
      <c r="AO72" s="4">
        <f t="shared" ca="1" si="24"/>
        <v>2.7974754062063401E-3</v>
      </c>
      <c r="AP72" s="4">
        <f t="shared" ca="1" si="25"/>
        <v>-3.5311265382163013E-3</v>
      </c>
    </row>
    <row r="73" spans="1:42" x14ac:dyDescent="0.3">
      <c r="A73" s="1">
        <v>45699</v>
      </c>
      <c r="B73" s="3">
        <f>Data!B70</f>
        <v>270.68017578125</v>
      </c>
      <c r="C73" s="3">
        <f>Data!H70</f>
        <v>134.92869567871</v>
      </c>
      <c r="D73" s="3">
        <f>Data!N70</f>
        <v>45.968490600585902</v>
      </c>
      <c r="F73" s="1">
        <v>45699</v>
      </c>
      <c r="G73" s="4">
        <f t="shared" si="26"/>
        <v>1.4573258928344046E-2</v>
      </c>
      <c r="H73" s="4">
        <f t="shared" si="27"/>
        <v>3.4957341126731212E-3</v>
      </c>
      <c r="I73" s="4">
        <f t="shared" si="28"/>
        <v>2.571413999817862E-3</v>
      </c>
      <c r="T73">
        <v>67</v>
      </c>
      <c r="U73" s="4">
        <v>-2.7496374713506258E-2</v>
      </c>
      <c r="V73" s="4"/>
      <c r="W73">
        <v>68</v>
      </c>
      <c r="X73">
        <f t="shared" ca="1" si="29"/>
        <v>-9.2098195176644235E-2</v>
      </c>
      <c r="Y73">
        <f t="shared" ca="1" si="29"/>
        <v>-2.1691997827057847E-2</v>
      </c>
      <c r="Z73">
        <f t="shared" ca="1" si="29"/>
        <v>-0.3118767078993594</v>
      </c>
      <c r="AA73" s="4"/>
      <c r="AB73">
        <v>68</v>
      </c>
      <c r="AC73" s="24">
        <f t="shared" ca="1" si="19"/>
        <v>-9.2098195176644235E-2</v>
      </c>
      <c r="AD73" s="24">
        <f t="shared" ca="1" si="20"/>
        <v>-9.0830217914916508E-2</v>
      </c>
      <c r="AE73" s="24">
        <f t="shared" ca="1" si="21"/>
        <v>-0.23944328566609194</v>
      </c>
      <c r="AF73" s="24"/>
      <c r="AG73">
        <v>68</v>
      </c>
      <c r="AH73">
        <f t="shared" ca="1" si="30"/>
        <v>308.95749470486675</v>
      </c>
      <c r="AI73">
        <f t="shared" ca="1" si="31"/>
        <v>163.95104794448815</v>
      </c>
      <c r="AJ73">
        <f t="shared" ca="1" si="32"/>
        <v>52.80535354821734</v>
      </c>
      <c r="AL73">
        <v>68</v>
      </c>
      <c r="AM73" s="4">
        <f t="shared" ca="1" si="22"/>
        <v>-1.5592933451796798E-3</v>
      </c>
      <c r="AN73" s="4">
        <f t="shared" ca="1" si="23"/>
        <v>-1.8808387475868216E-3</v>
      </c>
      <c r="AO73" s="4">
        <f t="shared" ca="1" si="24"/>
        <v>-4.2361915189625954E-3</v>
      </c>
      <c r="AP73" s="4">
        <f t="shared" ca="1" si="25"/>
        <v>-2.4909809582774113E-3</v>
      </c>
    </row>
    <row r="74" spans="1:42" x14ac:dyDescent="0.3">
      <c r="A74" s="1">
        <v>45700</v>
      </c>
      <c r="B74" s="3">
        <f>Data!B71</f>
        <v>271.13299560546801</v>
      </c>
      <c r="C74" s="3">
        <f>Data!H71</f>
        <v>134.26281738281199</v>
      </c>
      <c r="D74" s="3">
        <f>Data!N71</f>
        <v>45.398670196533203</v>
      </c>
      <c r="F74" s="1">
        <v>45700</v>
      </c>
      <c r="G74" s="4">
        <f t="shared" si="26"/>
        <v>1.6728961510057427E-3</v>
      </c>
      <c r="H74" s="4">
        <f t="shared" si="27"/>
        <v>-4.9350384108328704E-3</v>
      </c>
      <c r="I74" s="4">
        <f t="shared" si="28"/>
        <v>-1.2395891111670165E-2</v>
      </c>
      <c r="T74">
        <v>68</v>
      </c>
      <c r="U74" s="4">
        <v>-2.726426595378445E-2</v>
      </c>
      <c r="V74" s="4"/>
      <c r="W74">
        <v>69</v>
      </c>
      <c r="X74">
        <f t="shared" ca="1" si="29"/>
        <v>3.018104830784222</v>
      </c>
      <c r="Y74">
        <f t="shared" ca="1" si="29"/>
        <v>-2.8554577428375127</v>
      </c>
      <c r="Z74">
        <f t="shared" ca="1" si="29"/>
        <v>-0.83086151950985843</v>
      </c>
      <c r="AA74" s="4"/>
      <c r="AB74">
        <v>69</v>
      </c>
      <c r="AC74" s="24">
        <f t="shared" ca="1" si="19"/>
        <v>3.018104830784222</v>
      </c>
      <c r="AD74" s="24">
        <f t="shared" ca="1" si="20"/>
        <v>1.2192873759583449</v>
      </c>
      <c r="AE74" s="24">
        <f t="shared" ca="1" si="21"/>
        <v>1.2535436939781355</v>
      </c>
      <c r="AF74" s="24"/>
      <c r="AG74">
        <v>69</v>
      </c>
      <c r="AH74">
        <f t="shared" ca="1" si="30"/>
        <v>325.73733509492837</v>
      </c>
      <c r="AI74">
        <f t="shared" ca="1" si="31"/>
        <v>168.47834349895928</v>
      </c>
      <c r="AJ74">
        <f t="shared" ca="1" si="32"/>
        <v>54.223183974185766</v>
      </c>
      <c r="AL74">
        <v>69</v>
      </c>
      <c r="AM74" s="4">
        <f t="shared" ca="1" si="22"/>
        <v>5.2667181117309836E-2</v>
      </c>
      <c r="AN74" s="4">
        <f t="shared" ca="1" si="23"/>
        <v>2.5680927390684616E-2</v>
      </c>
      <c r="AO74" s="4">
        <f t="shared" ca="1" si="24"/>
        <v>2.2500192765510629E-2</v>
      </c>
      <c r="AP74" s="4">
        <f t="shared" ca="1" si="25"/>
        <v>3.2822583121119984E-2</v>
      </c>
    </row>
    <row r="75" spans="1:42" x14ac:dyDescent="0.3">
      <c r="A75" s="1">
        <v>45701</v>
      </c>
      <c r="B75" s="3">
        <f>Data!B72</f>
        <v>271.98934936523398</v>
      </c>
      <c r="C75" s="3">
        <f>Data!H72</f>
        <v>133.99841308593699</v>
      </c>
      <c r="D75" s="3">
        <f>Data!N72</f>
        <v>45.516563415527301</v>
      </c>
      <c r="F75" s="1">
        <v>45701</v>
      </c>
      <c r="G75" s="4">
        <f t="shared" si="26"/>
        <v>3.158426947829307E-3</v>
      </c>
      <c r="H75" s="4">
        <f t="shared" si="27"/>
        <v>-1.9693039519730338E-3</v>
      </c>
      <c r="I75" s="4">
        <f t="shared" si="28"/>
        <v>2.5968430018705746E-3</v>
      </c>
      <c r="T75">
        <v>69</v>
      </c>
      <c r="U75" s="4">
        <v>-2.7181307308682214E-2</v>
      </c>
      <c r="V75" s="4"/>
      <c r="W75">
        <v>70</v>
      </c>
      <c r="X75">
        <f t="shared" ca="1" si="29"/>
        <v>0.47839656553532833</v>
      </c>
      <c r="Y75">
        <f t="shared" ca="1" si="29"/>
        <v>-0.69323817921018627</v>
      </c>
      <c r="Z75">
        <f t="shared" ca="1" si="29"/>
        <v>0.98084587858072203</v>
      </c>
      <c r="AA75" s="4"/>
      <c r="AB75">
        <v>70</v>
      </c>
      <c r="AC75" s="24">
        <f t="shared" ca="1" si="19"/>
        <v>0.47839656553532833</v>
      </c>
      <c r="AD75" s="24">
        <f t="shared" ca="1" si="20"/>
        <v>7.4703619307916636E-2</v>
      </c>
      <c r="AE75" s="24">
        <f t="shared" ca="1" si="21"/>
        <v>0.69690855878390923</v>
      </c>
      <c r="AF75" s="24"/>
      <c r="AG75">
        <v>70</v>
      </c>
      <c r="AH75">
        <f t="shared" ca="1" si="30"/>
        <v>311.96927980778281</v>
      </c>
      <c r="AI75">
        <f t="shared" ca="1" si="31"/>
        <v>164.51629010878989</v>
      </c>
      <c r="AJ75">
        <f t="shared" ca="1" si="32"/>
        <v>53.690172727529777</v>
      </c>
      <c r="AL75">
        <v>70</v>
      </c>
      <c r="AM75" s="4">
        <f t="shared" ca="1" si="22"/>
        <v>8.1737246200277447E-3</v>
      </c>
      <c r="AN75" s="4">
        <f t="shared" ca="1" si="23"/>
        <v>1.5603044595513538E-3</v>
      </c>
      <c r="AO75" s="4">
        <f t="shared" ca="1" si="24"/>
        <v>1.2449065876477317E-2</v>
      </c>
      <c r="AP75" s="4">
        <f t="shared" ca="1" si="25"/>
        <v>6.8109589327720599E-3</v>
      </c>
    </row>
    <row r="76" spans="1:42" x14ac:dyDescent="0.3">
      <c r="A76" s="1">
        <v>45702</v>
      </c>
      <c r="B76" s="3">
        <f>Data!B73</f>
        <v>272.255126953125</v>
      </c>
      <c r="C76" s="3">
        <f>Data!H73</f>
        <v>136.06462097167901</v>
      </c>
      <c r="D76" s="3">
        <f>Data!N73</f>
        <v>46.135505676269503</v>
      </c>
      <c r="F76" s="1">
        <v>45702</v>
      </c>
      <c r="G76" s="4">
        <f t="shared" si="26"/>
        <v>9.7716174736728334E-4</v>
      </c>
      <c r="H76" s="4">
        <f t="shared" si="27"/>
        <v>1.5419644443228631E-2</v>
      </c>
      <c r="I76" s="4">
        <f t="shared" si="28"/>
        <v>1.3598176450444921E-2</v>
      </c>
      <c r="T76">
        <v>70</v>
      </c>
      <c r="U76" s="4">
        <v>-2.7164984312334717E-2</v>
      </c>
      <c r="V76" s="4"/>
      <c r="W76">
        <v>71</v>
      </c>
      <c r="X76">
        <f t="shared" ca="1" si="29"/>
        <v>2.000244986263255</v>
      </c>
      <c r="Y76">
        <f t="shared" ca="1" si="29"/>
        <v>6.5330604939346009E-3</v>
      </c>
      <c r="Z76">
        <f t="shared" ca="1" si="29"/>
        <v>-8.4532613785743241E-2</v>
      </c>
      <c r="AA76" s="4"/>
      <c r="AB76">
        <v>71</v>
      </c>
      <c r="AC76" s="24">
        <f t="shared" ca="1" si="19"/>
        <v>2.000244986263255</v>
      </c>
      <c r="AD76" s="24">
        <f t="shared" ca="1" si="20"/>
        <v>1.7437858164359448</v>
      </c>
      <c r="AE76" s="24">
        <f t="shared" ca="1" si="21"/>
        <v>1.5915555027630861</v>
      </c>
      <c r="AF76" s="24"/>
      <c r="AG76">
        <v>71</v>
      </c>
      <c r="AH76">
        <f t="shared" ca="1" si="30"/>
        <v>320.14790104453482</v>
      </c>
      <c r="AI76">
        <f t="shared" ca="1" si="31"/>
        <v>170.32567337498904</v>
      </c>
      <c r="AJ76">
        <f t="shared" ca="1" si="32"/>
        <v>54.549429241430822</v>
      </c>
      <c r="AL76">
        <v>71</v>
      </c>
      <c r="AM76" s="4">
        <f t="shared" ca="1" si="22"/>
        <v>3.4604118790867666E-2</v>
      </c>
      <c r="AN76" s="4">
        <f t="shared" ca="1" si="23"/>
        <v>3.6927304705965058E-2</v>
      </c>
      <c r="AO76" s="4">
        <f t="shared" ca="1" si="24"/>
        <v>2.8652281672825852E-2</v>
      </c>
      <c r="AP76" s="4">
        <f t="shared" ca="1" si="25"/>
        <v>3.3747842021494077E-2</v>
      </c>
    </row>
    <row r="77" spans="1:42" x14ac:dyDescent="0.3">
      <c r="A77" s="1">
        <v>45706</v>
      </c>
      <c r="B77" s="3">
        <f>Data!B74</f>
        <v>275.5625</v>
      </c>
      <c r="C77" s="3">
        <f>Data!H74</f>
        <v>137.78807067871</v>
      </c>
      <c r="D77" s="3">
        <f>Data!N74</f>
        <v>45.713054656982401</v>
      </c>
      <c r="F77" s="1">
        <v>45706</v>
      </c>
      <c r="G77" s="4">
        <f t="shared" si="26"/>
        <v>1.2148065250005224E-2</v>
      </c>
      <c r="H77" s="4">
        <f t="shared" si="27"/>
        <v>1.2666405820435322E-2</v>
      </c>
      <c r="I77" s="4">
        <f t="shared" si="28"/>
        <v>-9.1567440975161007E-3</v>
      </c>
      <c r="T77">
        <v>71</v>
      </c>
      <c r="U77" s="4">
        <v>-2.7114411327805087E-2</v>
      </c>
      <c r="V77" s="4"/>
      <c r="W77">
        <v>72</v>
      </c>
      <c r="X77">
        <f t="shared" ca="1" si="29"/>
        <v>-9.4317190088158906E-2</v>
      </c>
      <c r="Y77">
        <f t="shared" ca="1" si="29"/>
        <v>-0.34086581190445392</v>
      </c>
      <c r="Z77">
        <f t="shared" ca="1" si="29"/>
        <v>-1.5449923469492921</v>
      </c>
      <c r="AA77" s="4"/>
      <c r="AB77">
        <v>72</v>
      </c>
      <c r="AC77" s="24">
        <f t="shared" ca="1" si="19"/>
        <v>-9.4317190088158906E-2</v>
      </c>
      <c r="AD77" s="24">
        <f t="shared" ca="1" si="20"/>
        <v>-0.25003073854237889</v>
      </c>
      <c r="AE77" s="24">
        <f t="shared" ca="1" si="21"/>
        <v>-0.95518663584427643</v>
      </c>
      <c r="AF77" s="24"/>
      <c r="AG77">
        <v>72</v>
      </c>
      <c r="AH77">
        <f t="shared" ca="1" si="30"/>
        <v>308.94583702345415</v>
      </c>
      <c r="AI77">
        <f t="shared" ca="1" si="31"/>
        <v>163.4092640147658</v>
      </c>
      <c r="AJ77">
        <f t="shared" ca="1" si="32"/>
        <v>52.138847621555172</v>
      </c>
      <c r="AL77">
        <v>72</v>
      </c>
      <c r="AM77" s="4">
        <f t="shared" ca="1" si="22"/>
        <v>-1.5969668241113677E-3</v>
      </c>
      <c r="AN77" s="4">
        <f t="shared" ca="1" si="23"/>
        <v>-5.1791703428664126E-3</v>
      </c>
      <c r="AO77" s="4">
        <f t="shared" ca="1" si="24"/>
        <v>-1.6804661102303053E-2</v>
      </c>
      <c r="AP77" s="4">
        <f t="shared" ca="1" si="25"/>
        <v>-7.5921565150708905E-3</v>
      </c>
    </row>
    <row r="78" spans="1:42" x14ac:dyDescent="0.3">
      <c r="A78" s="1">
        <v>45707</v>
      </c>
      <c r="B78" s="3">
        <f>Data!B75</f>
        <v>274.873443603515</v>
      </c>
      <c r="C78" s="3">
        <f>Data!H75</f>
        <v>137.76847839355401</v>
      </c>
      <c r="D78" s="3">
        <f>Data!N75</f>
        <v>45.202178955078097</v>
      </c>
      <c r="F78" s="1">
        <v>45707</v>
      </c>
      <c r="G78" s="4">
        <f t="shared" si="26"/>
        <v>-2.50054487270579E-3</v>
      </c>
      <c r="H78" s="4">
        <f t="shared" si="27"/>
        <v>-1.4219144704974429E-4</v>
      </c>
      <c r="I78" s="4">
        <f t="shared" si="28"/>
        <v>-1.117570693399883E-2</v>
      </c>
      <c r="T78">
        <v>72</v>
      </c>
      <c r="U78" s="4">
        <v>-2.7039181742175743E-2</v>
      </c>
      <c r="V78" s="4"/>
      <c r="W78">
        <v>73</v>
      </c>
      <c r="X78">
        <f t="shared" ca="1" si="29"/>
        <v>1.5793465283921722</v>
      </c>
      <c r="Y78">
        <f t="shared" ca="1" si="29"/>
        <v>-1.1246461394413262E-2</v>
      </c>
      <c r="Z78">
        <f t="shared" ca="1" si="29"/>
        <v>-1.0172561463158878</v>
      </c>
      <c r="AA78" s="4"/>
      <c r="AB78">
        <v>73</v>
      </c>
      <c r="AC78" s="24">
        <f t="shared" ca="1" si="19"/>
        <v>1.5793465283921722</v>
      </c>
      <c r="AD78" s="24">
        <f t="shared" ca="1" si="20"/>
        <v>1.3687690805956767</v>
      </c>
      <c r="AE78" s="24">
        <f t="shared" ca="1" si="21"/>
        <v>0.76972725191349911</v>
      </c>
      <c r="AF78" s="24"/>
      <c r="AG78">
        <v>73</v>
      </c>
      <c r="AH78">
        <f t="shared" ca="1" si="30"/>
        <v>317.86472136359697</v>
      </c>
      <c r="AI78">
        <f t="shared" ca="1" si="31"/>
        <v>169.00278033032399</v>
      </c>
      <c r="AJ78">
        <f t="shared" ca="1" si="32"/>
        <v>53.759601968311856</v>
      </c>
      <c r="AL78">
        <v>73</v>
      </c>
      <c r="AM78" s="4">
        <f t="shared" ca="1" si="22"/>
        <v>2.7225694337260853E-2</v>
      </c>
      <c r="AN78" s="4">
        <f t="shared" ca="1" si="23"/>
        <v>2.8873651419071722E-2</v>
      </c>
      <c r="AO78" s="4">
        <f t="shared" ca="1" si="24"/>
        <v>1.3758310499903281E-2</v>
      </c>
      <c r="AP78" s="4">
        <f t="shared" ca="1" si="25"/>
        <v>2.3844662018777926E-2</v>
      </c>
    </row>
    <row r="79" spans="1:42" x14ac:dyDescent="0.3">
      <c r="A79" s="1">
        <v>45708</v>
      </c>
      <c r="B79" s="3">
        <f>Data!B76</f>
        <v>262.618560791015</v>
      </c>
      <c r="C79" s="3">
        <f>Data!H76</f>
        <v>131.55033874511699</v>
      </c>
      <c r="D79" s="3">
        <f>Data!N76</f>
        <v>44.504653930663999</v>
      </c>
      <c r="F79" s="1">
        <v>45708</v>
      </c>
      <c r="G79" s="4">
        <f t="shared" si="26"/>
        <v>-4.4583727885247337E-2</v>
      </c>
      <c r="H79" s="4">
        <f t="shared" si="27"/>
        <v>-4.5134705129529551E-2</v>
      </c>
      <c r="I79" s="4">
        <f t="shared" si="28"/>
        <v>-1.5431225674038762E-2</v>
      </c>
      <c r="T79">
        <v>73</v>
      </c>
      <c r="U79" s="4">
        <v>-2.7027095878280095E-2</v>
      </c>
      <c r="V79" s="4"/>
      <c r="W79">
        <v>74</v>
      </c>
      <c r="X79">
        <f t="shared" ca="1" si="29"/>
        <v>-0.4407195787217752</v>
      </c>
      <c r="Y79">
        <f t="shared" ca="1" si="29"/>
        <v>0.63402821196864045</v>
      </c>
      <c r="Z79">
        <f t="shared" ca="1" si="29"/>
        <v>0.20581681160390866</v>
      </c>
      <c r="AA79" s="4"/>
      <c r="AB79">
        <v>74</v>
      </c>
      <c r="AC79" s="24">
        <f t="shared" ca="1" si="19"/>
        <v>-0.4407195787217752</v>
      </c>
      <c r="AD79" s="24">
        <f t="shared" ca="1" si="20"/>
        <v>-7.1093080949710508E-2</v>
      </c>
      <c r="AE79" s="24">
        <f t="shared" ca="1" si="21"/>
        <v>-8.0250595971503261E-2</v>
      </c>
      <c r="AF79" s="24"/>
      <c r="AG79">
        <v>74</v>
      </c>
      <c r="AH79">
        <f t="shared" ca="1" si="30"/>
        <v>307.13136573636876</v>
      </c>
      <c r="AI79">
        <f t="shared" ca="1" si="31"/>
        <v>164.01834149857871</v>
      </c>
      <c r="AJ79">
        <f t="shared" ca="1" si="32"/>
        <v>52.9547494843587</v>
      </c>
      <c r="AL79">
        <v>74</v>
      </c>
      <c r="AM79" s="4">
        <f t="shared" ca="1" si="22"/>
        <v>-7.4606924987806744E-3</v>
      </c>
      <c r="AN79" s="4">
        <f t="shared" ca="1" si="23"/>
        <v>-1.4711616725777699E-3</v>
      </c>
      <c r="AO79" s="4">
        <f t="shared" ca="1" si="24"/>
        <v>-1.4189948457526969E-3</v>
      </c>
      <c r="AP79" s="4">
        <f t="shared" ca="1" si="25"/>
        <v>-3.2523708723911195E-3</v>
      </c>
    </row>
    <row r="80" spans="1:42" x14ac:dyDescent="0.3">
      <c r="A80" s="1">
        <v>45709</v>
      </c>
      <c r="B80" s="3">
        <f>Data!B77</f>
        <v>260.09869384765602</v>
      </c>
      <c r="C80" s="3">
        <f>Data!H77</f>
        <v>128.95536804199199</v>
      </c>
      <c r="D80" s="3">
        <f>Data!N77</f>
        <v>44.0232543945312</v>
      </c>
      <c r="F80" s="1">
        <v>45709</v>
      </c>
      <c r="G80" s="4">
        <f t="shared" si="26"/>
        <v>-9.5951593663793355E-3</v>
      </c>
      <c r="H80" s="4">
        <f t="shared" si="27"/>
        <v>-1.9726066294309175E-2</v>
      </c>
      <c r="I80" s="4">
        <f t="shared" si="28"/>
        <v>-1.0816835850084194E-2</v>
      </c>
      <c r="T80">
        <v>74</v>
      </c>
      <c r="U80" s="4">
        <v>-2.6906525622177158E-2</v>
      </c>
      <c r="V80" s="4"/>
      <c r="W80">
        <v>75</v>
      </c>
      <c r="X80">
        <f t="shared" ca="1" si="29"/>
        <v>1.6365371884451601</v>
      </c>
      <c r="Y80">
        <f t="shared" ca="1" si="29"/>
        <v>0.49370259640673031</v>
      </c>
      <c r="Z80">
        <f t="shared" ca="1" si="29"/>
        <v>-0.22275307963403071</v>
      </c>
      <c r="AA80" s="4"/>
      <c r="AB80">
        <v>75</v>
      </c>
      <c r="AC80" s="24">
        <f t="shared" ca="1" si="19"/>
        <v>1.6365371884451601</v>
      </c>
      <c r="AD80" s="24">
        <f t="shared" ca="1" si="20"/>
        <v>1.6673435011775912</v>
      </c>
      <c r="AE80" s="24">
        <f t="shared" ca="1" si="21"/>
        <v>1.3590199008955404</v>
      </c>
      <c r="AF80" s="24"/>
      <c r="AG80">
        <v>75</v>
      </c>
      <c r="AH80">
        <f t="shared" ca="1" si="30"/>
        <v>318.17399575923451</v>
      </c>
      <c r="AI80">
        <f t="shared" ca="1" si="31"/>
        <v>170.05518109723832</v>
      </c>
      <c r="AJ80">
        <f t="shared" ca="1" si="32"/>
        <v>54.324778460655239</v>
      </c>
      <c r="AL80">
        <v>75</v>
      </c>
      <c r="AM80" s="4">
        <f t="shared" ca="1" si="22"/>
        <v>2.82251591549878E-2</v>
      </c>
      <c r="AN80" s="4">
        <f t="shared" ca="1" si="23"/>
        <v>3.5280572167328161E-2</v>
      </c>
      <c r="AO80" s="4">
        <f t="shared" ca="1" si="24"/>
        <v>2.4415985501850201E-2</v>
      </c>
      <c r="AP80" s="4">
        <f t="shared" ca="1" si="25"/>
        <v>2.9904572263982663E-2</v>
      </c>
    </row>
    <row r="81" spans="1:42" x14ac:dyDescent="0.3">
      <c r="A81" s="1">
        <v>45712</v>
      </c>
      <c r="B81" s="3">
        <f>Data!B78</f>
        <v>257.24411010742102</v>
      </c>
      <c r="C81" s="3">
        <f>Data!H78</f>
        <v>127.271095275878</v>
      </c>
      <c r="D81" s="3">
        <f>Data!N78</f>
        <v>43.679397583007798</v>
      </c>
      <c r="F81" s="1">
        <v>45712</v>
      </c>
      <c r="G81" s="4">
        <f t="shared" si="26"/>
        <v>-1.0975002211687346E-2</v>
      </c>
      <c r="H81" s="4">
        <f t="shared" si="27"/>
        <v>-1.3060896895471186E-2</v>
      </c>
      <c r="I81" s="4">
        <f t="shared" si="28"/>
        <v>-7.810799457073303E-3</v>
      </c>
      <c r="T81">
        <v>75</v>
      </c>
      <c r="U81" s="4">
        <v>-2.6704606316255385E-2</v>
      </c>
      <c r="V81" s="4"/>
      <c r="W81">
        <v>76</v>
      </c>
      <c r="X81">
        <f t="shared" ca="1" si="29"/>
        <v>-1.15412669403845</v>
      </c>
      <c r="Y81">
        <f t="shared" ca="1" si="29"/>
        <v>0.47892177754122045</v>
      </c>
      <c r="Z81">
        <f t="shared" ca="1" si="29"/>
        <v>1.1174922517372166</v>
      </c>
      <c r="AA81" s="4"/>
      <c r="AB81">
        <v>76</v>
      </c>
      <c r="AC81" s="24">
        <f t="shared" ca="1" si="19"/>
        <v>-1.15412669403845</v>
      </c>
      <c r="AD81" s="24">
        <f t="shared" ca="1" si="20"/>
        <v>-0.76831047392758967</v>
      </c>
      <c r="AE81" s="24">
        <f t="shared" ca="1" si="21"/>
        <v>-0.24267983758135303</v>
      </c>
      <c r="AF81" s="24"/>
      <c r="AG81">
        <v>76</v>
      </c>
      <c r="AH81">
        <f t="shared" ca="1" si="30"/>
        <v>303.42801065258385</v>
      </c>
      <c r="AI81">
        <f t="shared" ca="1" si="31"/>
        <v>161.65784901008914</v>
      </c>
      <c r="AJ81">
        <f t="shared" ca="1" si="32"/>
        <v>52.802320550088474</v>
      </c>
      <c r="AL81">
        <v>76</v>
      </c>
      <c r="AM81" s="4">
        <f t="shared" ca="1" si="22"/>
        <v>-1.9428618605833226E-2</v>
      </c>
      <c r="AN81" s="4">
        <f t="shared" ca="1" si="23"/>
        <v>-1.5841626590566982E-2</v>
      </c>
      <c r="AO81" s="4">
        <f t="shared" ca="1" si="24"/>
        <v>-4.293385526103588E-3</v>
      </c>
      <c r="AP81" s="4">
        <f t="shared" ca="1" si="25"/>
        <v>-1.3453251875807837E-2</v>
      </c>
    </row>
    <row r="82" spans="1:42" x14ac:dyDescent="0.3">
      <c r="A82" s="1">
        <v>45713</v>
      </c>
      <c r="B82" s="3">
        <f>Data!B79</f>
        <v>253.36587524414</v>
      </c>
      <c r="C82" s="3">
        <f>Data!H79</f>
        <v>126.908767700195</v>
      </c>
      <c r="D82" s="3">
        <f>Data!N79</f>
        <v>43.168525695800703</v>
      </c>
      <c r="F82" s="1">
        <v>45713</v>
      </c>
      <c r="G82" s="4">
        <f t="shared" si="26"/>
        <v>-1.5076088084821637E-2</v>
      </c>
      <c r="H82" s="4">
        <f t="shared" si="27"/>
        <v>-2.8468960284941947E-3</v>
      </c>
      <c r="I82" s="4">
        <f t="shared" si="28"/>
        <v>-1.1695946269319357E-2</v>
      </c>
      <c r="T82">
        <v>76</v>
      </c>
      <c r="U82" s="4">
        <v>-2.6508139497046446E-2</v>
      </c>
      <c r="V82" s="4"/>
      <c r="W82">
        <v>77</v>
      </c>
      <c r="X82">
        <f t="shared" ca="1" si="29"/>
        <v>0.91188973534743423</v>
      </c>
      <c r="Y82">
        <f t="shared" ca="1" si="29"/>
        <v>0.22684662811215828</v>
      </c>
      <c r="Z82">
        <f t="shared" ca="1" si="29"/>
        <v>0.71782999019063165</v>
      </c>
      <c r="AA82" s="4"/>
      <c r="AB82">
        <v>77</v>
      </c>
      <c r="AC82" s="24">
        <f t="shared" ca="1" si="19"/>
        <v>0.91188973534743423</v>
      </c>
      <c r="AD82" s="24">
        <f t="shared" ca="1" si="20"/>
        <v>0.90528159790738716</v>
      </c>
      <c r="AE82" s="24">
        <f t="shared" ca="1" si="21"/>
        <v>1.1712389833676076</v>
      </c>
      <c r="AF82" s="24"/>
      <c r="AG82">
        <v>77</v>
      </c>
      <c r="AH82">
        <f t="shared" ca="1" si="30"/>
        <v>314.27741412443152</v>
      </c>
      <c r="AI82">
        <f t="shared" ca="1" si="31"/>
        <v>167.38198946939107</v>
      </c>
      <c r="AJ82">
        <f t="shared" ca="1" si="32"/>
        <v>54.144040219266692</v>
      </c>
      <c r="AL82">
        <v>77</v>
      </c>
      <c r="AM82" s="4">
        <f t="shared" ca="1" si="22"/>
        <v>1.5632793578268744E-2</v>
      </c>
      <c r="AN82" s="4">
        <f t="shared" ca="1" si="23"/>
        <v>1.9006423152085006E-2</v>
      </c>
      <c r="AO82" s="4">
        <f t="shared" ca="1" si="24"/>
        <v>2.1007759110204249E-2</v>
      </c>
      <c r="AP82" s="4">
        <f t="shared" ca="1" si="25"/>
        <v>1.8594735067375901E-2</v>
      </c>
    </row>
    <row r="83" spans="1:42" x14ac:dyDescent="0.3">
      <c r="A83" s="1">
        <v>45714</v>
      </c>
      <c r="B83" s="3">
        <f>Data!B80</f>
        <v>254.734115600585</v>
      </c>
      <c r="C83" s="3">
        <f>Data!H80</f>
        <v>128.32865905761699</v>
      </c>
      <c r="D83" s="3">
        <f>Data!N80</f>
        <v>43.168525695800703</v>
      </c>
      <c r="F83" s="1">
        <v>45714</v>
      </c>
      <c r="G83" s="4">
        <f t="shared" si="26"/>
        <v>5.4002550861538268E-3</v>
      </c>
      <c r="H83" s="4">
        <f t="shared" si="27"/>
        <v>1.1188284175734031E-2</v>
      </c>
      <c r="I83" s="4">
        <f t="shared" si="28"/>
        <v>0</v>
      </c>
      <c r="T83">
        <v>77</v>
      </c>
      <c r="U83" s="4">
        <v>-2.631192644001891E-2</v>
      </c>
      <c r="V83" s="4"/>
      <c r="W83">
        <v>78</v>
      </c>
      <c r="X83">
        <f t="shared" ca="1" si="29"/>
        <v>0.46011873371138934</v>
      </c>
      <c r="Y83">
        <f t="shared" ca="1" si="29"/>
        <v>0.88382875267112648</v>
      </c>
      <c r="Z83">
        <f t="shared" ca="1" si="29"/>
        <v>-2.2782076405395415</v>
      </c>
      <c r="AA83" s="4"/>
      <c r="AB83">
        <v>78</v>
      </c>
      <c r="AC83" s="24">
        <f t="shared" ca="1" si="19"/>
        <v>0.46011873371138934</v>
      </c>
      <c r="AD83" s="24">
        <f t="shared" ca="1" si="20"/>
        <v>0.83588212900873282</v>
      </c>
      <c r="AE83" s="24">
        <f t="shared" ca="1" si="21"/>
        <v>-0.53668647990611307</v>
      </c>
      <c r="AF83" s="24"/>
      <c r="AG83">
        <v>78</v>
      </c>
      <c r="AH83">
        <f t="shared" ca="1" si="30"/>
        <v>311.8723328125094</v>
      </c>
      <c r="AI83">
        <f t="shared" ca="1" si="31"/>
        <v>167.14064486965441</v>
      </c>
      <c r="AJ83">
        <f t="shared" ca="1" si="32"/>
        <v>52.527530051401449</v>
      </c>
      <c r="AL83">
        <v>78</v>
      </c>
      <c r="AM83" s="4">
        <f t="shared" ca="1" si="22"/>
        <v>7.860426421641975E-3</v>
      </c>
      <c r="AN83" s="4">
        <f t="shared" ca="1" si="23"/>
        <v>1.753713904269949E-2</v>
      </c>
      <c r="AO83" s="4">
        <f t="shared" ca="1" si="24"/>
        <v>-9.4751789451580359E-3</v>
      </c>
      <c r="AP83" s="4">
        <f t="shared" ca="1" si="25"/>
        <v>6.5304298600249791E-3</v>
      </c>
    </row>
    <row r="84" spans="1:42" x14ac:dyDescent="0.3">
      <c r="A84" s="1">
        <v>45715</v>
      </c>
      <c r="B84" s="3">
        <f>Data!B81</f>
        <v>254.989990234375</v>
      </c>
      <c r="C84" s="3">
        <f>Data!H81</f>
        <v>126.55624389648401</v>
      </c>
      <c r="D84" s="3">
        <f>Data!N81</f>
        <v>43.345363616943303</v>
      </c>
      <c r="F84" s="1">
        <v>45715</v>
      </c>
      <c r="G84" s="4">
        <f t="shared" si="26"/>
        <v>1.0044772887476405E-3</v>
      </c>
      <c r="H84" s="4">
        <f t="shared" si="27"/>
        <v>-1.3811530285976148E-2</v>
      </c>
      <c r="I84" s="4">
        <f t="shared" si="28"/>
        <v>4.096454958613549E-3</v>
      </c>
      <c r="T84">
        <v>78</v>
      </c>
      <c r="U84" s="4">
        <v>-2.6295774245999892E-2</v>
      </c>
      <c r="V84" s="4"/>
      <c r="W84">
        <v>79</v>
      </c>
      <c r="X84">
        <f t="shared" ca="1" si="29"/>
        <v>1.8809432773607169</v>
      </c>
      <c r="Y84">
        <f t="shared" ca="1" si="29"/>
        <v>0.48177160685898296</v>
      </c>
      <c r="Z84">
        <f t="shared" ca="1" si="29"/>
        <v>0.5438392107424892</v>
      </c>
      <c r="AA84" s="4"/>
      <c r="AB84">
        <v>79</v>
      </c>
      <c r="AC84" s="24">
        <f t="shared" ca="1" si="19"/>
        <v>1.8809432773607169</v>
      </c>
      <c r="AD84" s="24">
        <f t="shared" ca="1" si="20"/>
        <v>1.8741411298614004</v>
      </c>
      <c r="AE84" s="24">
        <f t="shared" ca="1" si="21"/>
        <v>1.944274673556023</v>
      </c>
      <c r="AF84" s="24"/>
      <c r="AG84">
        <v>79</v>
      </c>
      <c r="AH84">
        <f t="shared" ca="1" si="30"/>
        <v>319.49908405694379</v>
      </c>
      <c r="AI84">
        <f t="shared" ca="1" si="31"/>
        <v>170.78793039778876</v>
      </c>
      <c r="AJ84">
        <f t="shared" ca="1" si="32"/>
        <v>54.891962970703922</v>
      </c>
      <c r="AL84">
        <v>79</v>
      </c>
      <c r="AM84" s="4">
        <f t="shared" ca="1" si="22"/>
        <v>3.2507373113282334E-2</v>
      </c>
      <c r="AN84" s="4">
        <f t="shared" ca="1" si="23"/>
        <v>3.9741483679899492E-2</v>
      </c>
      <c r="AO84" s="4">
        <f t="shared" ca="1" si="24"/>
        <v>3.511152619777258E-2</v>
      </c>
      <c r="AP84" s="4">
        <f t="shared" ca="1" si="25"/>
        <v>3.6182263265276272E-2</v>
      </c>
    </row>
    <row r="85" spans="1:42" x14ac:dyDescent="0.3">
      <c r="A85" s="1">
        <v>45716</v>
      </c>
      <c r="B85" s="3">
        <f>Data!B82</f>
        <v>260.50225830078102</v>
      </c>
      <c r="C85" s="3">
        <f>Data!H82</f>
        <v>130.34588623046801</v>
      </c>
      <c r="D85" s="3">
        <f>Data!N82</f>
        <v>45.290599822997997</v>
      </c>
      <c r="F85" s="1">
        <v>45716</v>
      </c>
      <c r="G85" s="4">
        <f t="shared" si="26"/>
        <v>2.1617586091671193E-2</v>
      </c>
      <c r="H85" s="4">
        <f t="shared" si="27"/>
        <v>2.9944333185834227E-2</v>
      </c>
      <c r="I85" s="4">
        <f t="shared" si="28"/>
        <v>4.4877607285645604E-2</v>
      </c>
      <c r="T85">
        <v>79</v>
      </c>
      <c r="U85" s="4">
        <v>-2.6238199800494855E-2</v>
      </c>
      <c r="V85" s="4"/>
      <c r="W85">
        <v>80</v>
      </c>
      <c r="X85">
        <f t="shared" ca="1" si="29"/>
        <v>-0.43260416135588947</v>
      </c>
      <c r="Y85">
        <f t="shared" ca="1" si="29"/>
        <v>-0.65044452784772355</v>
      </c>
      <c r="Z85">
        <f t="shared" ca="1" si="29"/>
        <v>1.0735115481456414</v>
      </c>
      <c r="AA85" s="4"/>
      <c r="AB85">
        <v>80</v>
      </c>
      <c r="AC85" s="24">
        <f t="shared" ca="1" si="19"/>
        <v>-0.43260416135588947</v>
      </c>
      <c r="AD85" s="24">
        <f t="shared" ca="1" si="20"/>
        <v>-0.69694191924514404</v>
      </c>
      <c r="AE85" s="24">
        <f t="shared" ca="1" si="21"/>
        <v>1.2167601586198007E-2</v>
      </c>
      <c r="AF85" s="24"/>
      <c r="AG85">
        <v>80</v>
      </c>
      <c r="AH85">
        <f t="shared" ca="1" si="30"/>
        <v>307.17375250725411</v>
      </c>
      <c r="AI85">
        <f t="shared" ca="1" si="31"/>
        <v>161.89790467281952</v>
      </c>
      <c r="AJ85">
        <f t="shared" ca="1" si="32"/>
        <v>53.041674083346606</v>
      </c>
      <c r="AL85">
        <v>80</v>
      </c>
      <c r="AM85" s="4">
        <f t="shared" ca="1" si="22"/>
        <v>-7.3237135350043836E-3</v>
      </c>
      <c r="AN85" s="4">
        <f t="shared" ca="1" si="23"/>
        <v>-1.4380189413175648E-2</v>
      </c>
      <c r="AO85" s="4">
        <f t="shared" ca="1" si="24"/>
        <v>2.2016413951653213E-4</v>
      </c>
      <c r="AP85" s="4">
        <f t="shared" ca="1" si="25"/>
        <v>-7.883140583916615E-3</v>
      </c>
    </row>
    <row r="86" spans="1:42" x14ac:dyDescent="0.3">
      <c r="A86" s="1">
        <v>45719</v>
      </c>
      <c r="B86" s="3">
        <f>Data!B83</f>
        <v>256.53543090820301</v>
      </c>
      <c r="C86" s="3">
        <f>Data!H83</f>
        <v>126.448532104492</v>
      </c>
      <c r="D86" s="3">
        <f>Data!N83</f>
        <v>44.760086059570298</v>
      </c>
      <c r="F86" s="1">
        <v>45719</v>
      </c>
      <c r="G86" s="4">
        <f t="shared" si="26"/>
        <v>-1.5227612299613336E-2</v>
      </c>
      <c r="H86" s="4">
        <f t="shared" si="27"/>
        <v>-2.9900093042330433E-2</v>
      </c>
      <c r="I86" s="4">
        <f t="shared" si="28"/>
        <v>-1.1713551277771073E-2</v>
      </c>
      <c r="T86">
        <v>80</v>
      </c>
      <c r="U86" s="4">
        <v>-2.6236662655258501E-2</v>
      </c>
      <c r="V86" s="4"/>
      <c r="W86">
        <v>81</v>
      </c>
      <c r="X86">
        <f t="shared" ca="1" si="29"/>
        <v>-0.74424393192474669</v>
      </c>
      <c r="Y86">
        <f t="shared" ca="1" si="29"/>
        <v>0.66046708481435412</v>
      </c>
      <c r="Z86">
        <f t="shared" ca="1" si="29"/>
        <v>1.8293123245609328</v>
      </c>
      <c r="AA86" s="4"/>
      <c r="AB86">
        <v>81</v>
      </c>
      <c r="AC86" s="24">
        <f t="shared" ca="1" si="19"/>
        <v>-0.74424393192474669</v>
      </c>
      <c r="AD86" s="24">
        <f t="shared" ca="1" si="20"/>
        <v>-0.32218544004461841</v>
      </c>
      <c r="AE86" s="24">
        <f t="shared" ca="1" si="21"/>
        <v>0.50325216776317716</v>
      </c>
      <c r="AF86" s="24"/>
      <c r="AG86">
        <v>81</v>
      </c>
      <c r="AH86">
        <f t="shared" ca="1" si="30"/>
        <v>305.55025324846633</v>
      </c>
      <c r="AI86">
        <f t="shared" ca="1" si="31"/>
        <v>163.16430039816737</v>
      </c>
      <c r="AJ86">
        <f t="shared" ca="1" si="32"/>
        <v>53.50596636057228</v>
      </c>
      <c r="AL86">
        <v>81</v>
      </c>
      <c r="AM86" s="4">
        <f t="shared" ca="1" si="22"/>
        <v>-1.2570285555359773E-2</v>
      </c>
      <c r="AN86" s="4">
        <f t="shared" ca="1" si="23"/>
        <v>-6.6704866998034129E-3</v>
      </c>
      <c r="AO86" s="4">
        <f t="shared" ca="1" si="24"/>
        <v>8.9754401703154851E-3</v>
      </c>
      <c r="AP86" s="4">
        <f t="shared" ca="1" si="25"/>
        <v>-3.7466482954346516E-3</v>
      </c>
    </row>
    <row r="87" spans="1:42" x14ac:dyDescent="0.3">
      <c r="A87" s="1">
        <v>45720</v>
      </c>
      <c r="B87" s="3">
        <f>Data!B84</f>
        <v>246.32794189453099</v>
      </c>
      <c r="C87" s="3">
        <f>Data!H84</f>
        <v>119.19239807128901</v>
      </c>
      <c r="D87" s="3">
        <f>Data!N84</f>
        <v>41.920822143554602</v>
      </c>
      <c r="F87" s="1">
        <v>45720</v>
      </c>
      <c r="G87" s="4">
        <f t="shared" si="26"/>
        <v>-3.9789782555707087E-2</v>
      </c>
      <c r="H87" s="4">
        <f t="shared" si="27"/>
        <v>-5.7384090684475586E-2</v>
      </c>
      <c r="I87" s="4">
        <f t="shared" si="28"/>
        <v>-6.3432941398659848E-2</v>
      </c>
      <c r="T87">
        <v>81</v>
      </c>
      <c r="U87" s="4">
        <v>-2.6201285001453668E-2</v>
      </c>
      <c r="V87" s="4"/>
      <c r="W87">
        <v>82</v>
      </c>
      <c r="X87">
        <f t="shared" ca="1" si="29"/>
        <v>1.3413968590346725</v>
      </c>
      <c r="Y87">
        <f t="shared" ca="1" si="29"/>
        <v>-0.83570432297246255</v>
      </c>
      <c r="Z87">
        <f t="shared" ca="1" si="29"/>
        <v>3.5360590982397466E-2</v>
      </c>
      <c r="AA87" s="4"/>
      <c r="AB87">
        <v>82</v>
      </c>
      <c r="AC87" s="24">
        <f t="shared" ca="1" si="19"/>
        <v>1.3413968590346725</v>
      </c>
      <c r="AD87" s="24">
        <f t="shared" ca="1" si="20"/>
        <v>0.75546770390136864</v>
      </c>
      <c r="AE87" s="24">
        <f t="shared" ca="1" si="21"/>
        <v>0.88213684660695679</v>
      </c>
      <c r="AF87" s="24"/>
      <c r="AG87">
        <v>82</v>
      </c>
      <c r="AH87">
        <f t="shared" ca="1" si="30"/>
        <v>316.58116649219465</v>
      </c>
      <c r="AI87">
        <f t="shared" ca="1" si="31"/>
        <v>166.86142968658356</v>
      </c>
      <c r="AJ87">
        <f t="shared" ca="1" si="32"/>
        <v>53.866955608332383</v>
      </c>
      <c r="AL87">
        <v>82</v>
      </c>
      <c r="AM87" s="4">
        <f t="shared" ca="1" si="22"/>
        <v>2.3077701636655235E-2</v>
      </c>
      <c r="AN87" s="4">
        <f t="shared" ca="1" si="23"/>
        <v>1.5837302244888996E-2</v>
      </c>
      <c r="AO87" s="4">
        <f t="shared" ca="1" si="24"/>
        <v>1.5782705040572997E-2</v>
      </c>
      <c r="AP87" s="4">
        <f t="shared" ca="1" si="25"/>
        <v>1.7993042901124065E-2</v>
      </c>
    </row>
    <row r="88" spans="1:42" x14ac:dyDescent="0.3">
      <c r="A88" s="1">
        <v>45721</v>
      </c>
      <c r="B88" s="3">
        <f>Data!B85</f>
        <v>247.58787536621</v>
      </c>
      <c r="C88" s="3">
        <f>Data!H85</f>
        <v>121.1802444458</v>
      </c>
      <c r="D88" s="3">
        <f>Data!N85</f>
        <v>41.547500610351499</v>
      </c>
      <c r="F88" s="1">
        <v>45721</v>
      </c>
      <c r="G88" s="4">
        <f t="shared" si="26"/>
        <v>5.114862171090806E-3</v>
      </c>
      <c r="H88" s="4">
        <f t="shared" si="27"/>
        <v>1.66776271530511E-2</v>
      </c>
      <c r="I88" s="4">
        <f t="shared" si="28"/>
        <v>-8.905396271206012E-3</v>
      </c>
      <c r="T88">
        <v>82</v>
      </c>
      <c r="U88" s="4">
        <v>-2.6166526153223568E-2</v>
      </c>
      <c r="V88" s="4"/>
      <c r="W88">
        <v>83</v>
      </c>
      <c r="X88">
        <f t="shared" ca="1" si="29"/>
        <v>-0.67440554358714389</v>
      </c>
      <c r="Y88">
        <f t="shared" ca="1" si="29"/>
        <v>0.15967768287240999</v>
      </c>
      <c r="Z88">
        <f t="shared" ca="1" si="29"/>
        <v>-1.0872450894982955</v>
      </c>
      <c r="AA88" s="4"/>
      <c r="AB88">
        <v>83</v>
      </c>
      <c r="AC88" s="24">
        <f t="shared" ca="1" si="19"/>
        <v>-0.67440554358714389</v>
      </c>
      <c r="AD88" s="24">
        <f t="shared" ca="1" si="20"/>
        <v>-0.5081725063013981</v>
      </c>
      <c r="AE88" s="24">
        <f t="shared" ca="1" si="21"/>
        <v>-1.058183167924748</v>
      </c>
      <c r="AF88" s="24"/>
      <c r="AG88">
        <v>83</v>
      </c>
      <c r="AH88">
        <f t="shared" ca="1" si="30"/>
        <v>305.9133313825123</v>
      </c>
      <c r="AI88">
        <f t="shared" ca="1" si="31"/>
        <v>162.53457028500961</v>
      </c>
      <c r="AJ88">
        <f t="shared" ca="1" si="32"/>
        <v>52.043631331645166</v>
      </c>
      <c r="AL88">
        <v>83</v>
      </c>
      <c r="AM88" s="4">
        <f t="shared" ca="1" si="22"/>
        <v>-1.1396946196578162E-2</v>
      </c>
      <c r="AN88" s="4">
        <f t="shared" ca="1" si="23"/>
        <v>-1.0504226710865927E-2</v>
      </c>
      <c r="AO88" s="4">
        <f t="shared" ca="1" si="24"/>
        <v>-1.8600178584894045E-2</v>
      </c>
      <c r="AP88" s="4">
        <f t="shared" ca="1" si="25"/>
        <v>-1.3200828118788033E-2</v>
      </c>
    </row>
    <row r="89" spans="1:42" x14ac:dyDescent="0.3">
      <c r="A89" s="1">
        <v>45722</v>
      </c>
      <c r="B89" s="3">
        <f>Data!B86</f>
        <v>242.67608642578099</v>
      </c>
      <c r="C89" s="3">
        <f>Data!H86</f>
        <v>116.89120483398401</v>
      </c>
      <c r="D89" s="3">
        <f>Data!N86</f>
        <v>40.732067108154297</v>
      </c>
      <c r="F89" s="1">
        <v>45722</v>
      </c>
      <c r="G89" s="4">
        <f t="shared" si="26"/>
        <v>-1.9838568157523606E-2</v>
      </c>
      <c r="H89" s="4">
        <f t="shared" si="27"/>
        <v>-3.5393884798890163E-2</v>
      </c>
      <c r="I89" s="4">
        <f t="shared" si="28"/>
        <v>-1.9626535657214395E-2</v>
      </c>
      <c r="T89">
        <v>83</v>
      </c>
      <c r="U89" s="4">
        <v>-2.611563559937248E-2</v>
      </c>
      <c r="V89" s="4"/>
      <c r="W89">
        <v>84</v>
      </c>
      <c r="X89">
        <f t="shared" ca="1" si="29"/>
        <v>-0.17030447650129249</v>
      </c>
      <c r="Y89">
        <f t="shared" ca="1" si="29"/>
        <v>0.85280963070861227</v>
      </c>
      <c r="Z89">
        <f t="shared" ca="1" si="29"/>
        <v>-4.2730797460930815E-2</v>
      </c>
      <c r="AA89" s="4"/>
      <c r="AB89">
        <v>84</v>
      </c>
      <c r="AC89" s="24">
        <f t="shared" ca="1" si="19"/>
        <v>-0.17030447650129249</v>
      </c>
      <c r="AD89" s="24">
        <f t="shared" ca="1" si="20"/>
        <v>0.27201814496523147</v>
      </c>
      <c r="AE89" s="24">
        <f t="shared" ca="1" si="21"/>
        <v>7.4721580218784209E-2</v>
      </c>
      <c r="AF89" s="24"/>
      <c r="AG89">
        <v>84</v>
      </c>
      <c r="AH89">
        <f t="shared" ca="1" si="30"/>
        <v>308.54689658016389</v>
      </c>
      <c r="AI89">
        <f t="shared" ca="1" si="31"/>
        <v>165.19259902134533</v>
      </c>
      <c r="AJ89">
        <f t="shared" ca="1" si="32"/>
        <v>53.100590636315594</v>
      </c>
      <c r="AL89">
        <v>84</v>
      </c>
      <c r="AM89" s="4">
        <f t="shared" ca="1" si="22"/>
        <v>-2.8862004078197279E-3</v>
      </c>
      <c r="AN89" s="4">
        <f t="shared" ca="1" si="23"/>
        <v>5.6776119913453105E-3</v>
      </c>
      <c r="AO89" s="4">
        <f t="shared" ca="1" si="24"/>
        <v>1.3311683696730636E-3</v>
      </c>
      <c r="AP89" s="4">
        <f t="shared" ca="1" si="25"/>
        <v>1.804535185094125E-3</v>
      </c>
    </row>
    <row r="90" spans="1:42" x14ac:dyDescent="0.3">
      <c r="A90" s="1">
        <v>45723</v>
      </c>
      <c r="B90" s="3">
        <f>Data!B87</f>
        <v>238.48284912109301</v>
      </c>
      <c r="C90" s="3">
        <f>Data!H87</f>
        <v>116.812858581542</v>
      </c>
      <c r="D90" s="3">
        <f>Data!N87</f>
        <v>40.929801940917898</v>
      </c>
      <c r="F90" s="1">
        <v>45723</v>
      </c>
      <c r="G90" s="4">
        <f t="shared" si="26"/>
        <v>-1.7279153320986285E-2</v>
      </c>
      <c r="H90" s="4">
        <f t="shared" si="27"/>
        <v>-6.7024933615211779E-4</v>
      </c>
      <c r="I90" s="4">
        <f t="shared" si="28"/>
        <v>4.8545248695226473E-3</v>
      </c>
      <c r="T90">
        <v>84</v>
      </c>
      <c r="U90" s="4">
        <v>-2.5987262138970246E-2</v>
      </c>
      <c r="V90" s="4"/>
      <c r="W90">
        <v>85</v>
      </c>
      <c r="X90">
        <f t="shared" ca="1" si="29"/>
        <v>0.55755379584334486</v>
      </c>
      <c r="Y90">
        <f t="shared" ca="1" si="29"/>
        <v>0.80618468448887148</v>
      </c>
      <c r="Z90">
        <f t="shared" ca="1" si="29"/>
        <v>1.310625561516956</v>
      </c>
      <c r="AA90" s="4"/>
      <c r="AB90">
        <v>85</v>
      </c>
      <c r="AC90" s="24">
        <f t="shared" ca="1" si="19"/>
        <v>0.55755379584334486</v>
      </c>
      <c r="AD90" s="24">
        <f t="shared" ca="1" si="20"/>
        <v>0.8824095432510648</v>
      </c>
      <c r="AE90" s="24">
        <f t="shared" ca="1" si="21"/>
        <v>1.3427977193941842</v>
      </c>
      <c r="AF90" s="24"/>
      <c r="AG90">
        <v>85</v>
      </c>
      <c r="AH90">
        <f t="shared" ca="1" si="30"/>
        <v>312.38948370455887</v>
      </c>
      <c r="AI90">
        <f t="shared" ca="1" si="31"/>
        <v>167.30241080458819</v>
      </c>
      <c r="AJ90">
        <f t="shared" ca="1" si="32"/>
        <v>54.309140907865093</v>
      </c>
      <c r="AL90">
        <v>85</v>
      </c>
      <c r="AM90" s="4">
        <f t="shared" ca="1" si="22"/>
        <v>9.5316741206119548E-3</v>
      </c>
      <c r="AN90" s="4">
        <f t="shared" ca="1" si="23"/>
        <v>1.8521955433443038E-2</v>
      </c>
      <c r="AO90" s="4">
        <f t="shared" ca="1" si="24"/>
        <v>2.4121104243126634E-2</v>
      </c>
      <c r="AP90" s="4">
        <f t="shared" ca="1" si="25"/>
        <v>1.7504615682498791E-2</v>
      </c>
    </row>
    <row r="91" spans="1:42" x14ac:dyDescent="0.3">
      <c r="A91" s="1">
        <v>45726</v>
      </c>
      <c r="B91" s="3">
        <f>Data!B88</f>
        <v>228.58052062988199</v>
      </c>
      <c r="C91" s="3">
        <f>Data!H88</f>
        <v>109.370681762695</v>
      </c>
      <c r="D91" s="3">
        <f>Data!N88</f>
        <v>39.377632141113203</v>
      </c>
      <c r="F91" s="1">
        <v>45726</v>
      </c>
      <c r="G91" s="4">
        <f t="shared" si="26"/>
        <v>-4.1522182948187547E-2</v>
      </c>
      <c r="H91" s="4">
        <f t="shared" si="27"/>
        <v>-6.37102533849212E-2</v>
      </c>
      <c r="I91" s="4">
        <f t="shared" si="28"/>
        <v>-3.7922729312134251E-2</v>
      </c>
      <c r="T91">
        <v>85</v>
      </c>
      <c r="U91" s="4">
        <v>-2.5715214107615937E-2</v>
      </c>
      <c r="V91" s="4"/>
      <c r="W91">
        <v>86</v>
      </c>
      <c r="X91">
        <f t="shared" ca="1" si="29"/>
        <v>0.58945250927844917</v>
      </c>
      <c r="Y91">
        <f t="shared" ca="1" si="29"/>
        <v>-0.10228256497562355</v>
      </c>
      <c r="Z91">
        <f t="shared" ca="1" si="29"/>
        <v>0.65952734893078191</v>
      </c>
      <c r="AA91" s="4"/>
      <c r="AB91">
        <v>86</v>
      </c>
      <c r="AC91" s="24">
        <f t="shared" ca="1" si="19"/>
        <v>0.58945250927844917</v>
      </c>
      <c r="AD91" s="24">
        <f t="shared" ca="1" si="20"/>
        <v>0.46252920142343484</v>
      </c>
      <c r="AE91" s="24">
        <f t="shared" ca="1" si="21"/>
        <v>0.78761256564862603</v>
      </c>
      <c r="AF91" s="24"/>
      <c r="AG91">
        <v>86</v>
      </c>
      <c r="AH91">
        <f t="shared" ca="1" si="30"/>
        <v>312.55897706820849</v>
      </c>
      <c r="AI91">
        <f t="shared" ca="1" si="31"/>
        <v>165.8482265489213</v>
      </c>
      <c r="AJ91">
        <f t="shared" ca="1" si="32"/>
        <v>53.776668513561305</v>
      </c>
      <c r="AL91">
        <v>86</v>
      </c>
      <c r="AM91" s="4">
        <f t="shared" ca="1" si="22"/>
        <v>1.0079416372138494E-2</v>
      </c>
      <c r="AN91" s="4">
        <f t="shared" ca="1" si="23"/>
        <v>9.6690131206611518E-3</v>
      </c>
      <c r="AO91" s="4">
        <f t="shared" ca="1" si="24"/>
        <v>1.4080138628176142E-2</v>
      </c>
      <c r="AP91" s="4">
        <f t="shared" ca="1" si="25"/>
        <v>1.1115471748358852E-2</v>
      </c>
    </row>
    <row r="92" spans="1:42" x14ac:dyDescent="0.3">
      <c r="A92" s="1">
        <v>45727</v>
      </c>
      <c r="B92" s="3">
        <f>Data!B89</f>
        <v>225.54879760742099</v>
      </c>
      <c r="C92" s="3">
        <f>Data!H89</f>
        <v>109.713409423828</v>
      </c>
      <c r="D92" s="3">
        <f>Data!N89</f>
        <v>39.160129547119098</v>
      </c>
      <c r="F92" s="1">
        <v>45727</v>
      </c>
      <c r="G92" s="4">
        <f t="shared" si="26"/>
        <v>-1.3263260640524854E-2</v>
      </c>
      <c r="H92" s="4">
        <f t="shared" si="27"/>
        <v>3.1336337637231093E-3</v>
      </c>
      <c r="I92" s="4">
        <f t="shared" si="28"/>
        <v>-5.5235061675283914E-3</v>
      </c>
      <c r="T92">
        <v>86</v>
      </c>
      <c r="U92" s="4">
        <v>-2.5700638189492121E-2</v>
      </c>
      <c r="V92" s="4"/>
      <c r="W92">
        <v>87</v>
      </c>
      <c r="X92">
        <f t="shared" ca="1" si="29"/>
        <v>2.9329354351148278</v>
      </c>
      <c r="Y92">
        <f t="shared" ca="1" si="29"/>
        <v>1.9324619146719776E-2</v>
      </c>
      <c r="Z92">
        <f t="shared" ca="1" si="29"/>
        <v>1.9880580573441669</v>
      </c>
      <c r="AA92" s="4"/>
      <c r="AB92">
        <v>87</v>
      </c>
      <c r="AC92" s="24">
        <f t="shared" ca="1" si="19"/>
        <v>2.9329354351148278</v>
      </c>
      <c r="AD92" s="24">
        <f t="shared" ca="1" si="20"/>
        <v>2.561694285713203</v>
      </c>
      <c r="AE92" s="24">
        <f t="shared" ca="1" si="21"/>
        <v>3.4082454506600275</v>
      </c>
      <c r="AF92" s="24"/>
      <c r="AG92">
        <v>87</v>
      </c>
      <c r="AH92">
        <f t="shared" ca="1" si="30"/>
        <v>325.26592162222283</v>
      </c>
      <c r="AI92">
        <f t="shared" ca="1" si="31"/>
        <v>173.24692362717929</v>
      </c>
      <c r="AJ92">
        <f t="shared" ca="1" si="32"/>
        <v>56.336801044374802</v>
      </c>
      <c r="AL92">
        <v>87</v>
      </c>
      <c r="AM92" s="4">
        <f t="shared" ca="1" si="22"/>
        <v>5.1143740485891209E-2</v>
      </c>
      <c r="AN92" s="4">
        <f t="shared" ca="1" si="23"/>
        <v>5.4711612205553317E-2</v>
      </c>
      <c r="AO92" s="4">
        <f t="shared" ca="1" si="24"/>
        <v>6.2357200475158248E-2</v>
      </c>
      <c r="AP92" s="4">
        <f t="shared" ca="1" si="25"/>
        <v>5.5934927170536164E-2</v>
      </c>
    </row>
    <row r="93" spans="1:42" x14ac:dyDescent="0.3">
      <c r="A93" s="1">
        <v>45728</v>
      </c>
      <c r="B93" s="3">
        <f>Data!B90</f>
        <v>224.32821655273401</v>
      </c>
      <c r="C93" s="3">
        <f>Data!H90</f>
        <v>111.63271331787099</v>
      </c>
      <c r="D93" s="3">
        <f>Data!N90</f>
        <v>39.456722259521399</v>
      </c>
      <c r="F93" s="1">
        <v>45728</v>
      </c>
      <c r="G93" s="4">
        <f t="shared" si="26"/>
        <v>-5.4116052385766444E-3</v>
      </c>
      <c r="H93" s="4">
        <f t="shared" si="27"/>
        <v>1.7493795007578639E-2</v>
      </c>
      <c r="I93" s="4">
        <f t="shared" si="28"/>
        <v>7.5738440049191169E-3</v>
      </c>
      <c r="T93">
        <v>87</v>
      </c>
      <c r="U93" s="4">
        <v>-2.5527280188382906E-2</v>
      </c>
      <c r="V93" s="4"/>
      <c r="W93">
        <v>88</v>
      </c>
      <c r="X93">
        <f t="shared" ca="1" si="29"/>
        <v>1.4737617221131618</v>
      </c>
      <c r="Y93">
        <f t="shared" ca="1" si="29"/>
        <v>-1.267079740174563</v>
      </c>
      <c r="Z93">
        <f t="shared" ca="1" si="29"/>
        <v>-0.92169936541382991</v>
      </c>
      <c r="AA93" s="4"/>
      <c r="AB93">
        <v>88</v>
      </c>
      <c r="AC93" s="24">
        <f t="shared" ca="1" si="19"/>
        <v>1.4737617221131618</v>
      </c>
      <c r="AD93" s="24">
        <f t="shared" ca="1" si="20"/>
        <v>0.65809274796195372</v>
      </c>
      <c r="AE93" s="24">
        <f t="shared" ca="1" si="21"/>
        <v>0.38537412075237815</v>
      </c>
      <c r="AF93" s="24"/>
      <c r="AG93">
        <v>88</v>
      </c>
      <c r="AH93">
        <f t="shared" ca="1" si="30"/>
        <v>317.29453177969771</v>
      </c>
      <c r="AI93">
        <f t="shared" ca="1" si="31"/>
        <v>166.52394841253025</v>
      </c>
      <c r="AJ93">
        <f t="shared" ca="1" si="32"/>
        <v>53.394150080792649</v>
      </c>
      <c r="AL93">
        <v>88</v>
      </c>
      <c r="AM93" s="4">
        <f t="shared" ca="1" si="22"/>
        <v>2.5383044455536963E-2</v>
      </c>
      <c r="AN93" s="4">
        <f t="shared" ca="1" si="23"/>
        <v>1.3782746751529018E-2</v>
      </c>
      <c r="AO93" s="4">
        <f t="shared" ca="1" si="24"/>
        <v>6.866892511376399E-3</v>
      </c>
      <c r="AP93" s="4">
        <f t="shared" ca="1" si="25"/>
        <v>1.5188079790685616E-2</v>
      </c>
    </row>
    <row r="94" spans="1:42" x14ac:dyDescent="0.3">
      <c r="A94" s="1">
        <v>45729</v>
      </c>
      <c r="B94" s="3">
        <f>Data!B91</f>
        <v>221.66069030761699</v>
      </c>
      <c r="C94" s="3">
        <f>Data!H91</f>
        <v>109.36089324951099</v>
      </c>
      <c r="D94" s="3">
        <f>Data!N91</f>
        <v>39.219444274902301</v>
      </c>
      <c r="F94" s="1">
        <v>45729</v>
      </c>
      <c r="G94" s="4">
        <f t="shared" si="26"/>
        <v>-1.1891175733971693E-2</v>
      </c>
      <c r="H94" s="4">
        <f t="shared" si="27"/>
        <v>-2.0350845203332635E-2</v>
      </c>
      <c r="I94" s="4">
        <f t="shared" si="28"/>
        <v>-6.01362634884961E-3</v>
      </c>
      <c r="T94">
        <v>88</v>
      </c>
      <c r="U94" s="4">
        <v>-2.5524731093022546E-2</v>
      </c>
      <c r="V94" s="4"/>
      <c r="W94">
        <v>89</v>
      </c>
      <c r="X94">
        <f t="shared" ca="1" si="29"/>
        <v>0.93663740628806313</v>
      </c>
      <c r="Y94">
        <f t="shared" ca="1" si="29"/>
        <v>0.80773445221113949</v>
      </c>
      <c r="Z94">
        <f t="shared" ca="1" si="29"/>
        <v>0.50253810836215773</v>
      </c>
      <c r="AA94" s="4"/>
      <c r="AB94">
        <v>89</v>
      </c>
      <c r="AC94" s="24">
        <f t="shared" ca="1" si="19"/>
        <v>0.93663740628806313</v>
      </c>
      <c r="AD94" s="24">
        <f t="shared" ca="1" si="20"/>
        <v>1.2130429264198652</v>
      </c>
      <c r="AE94" s="24">
        <f t="shared" ca="1" si="21"/>
        <v>1.2425268472055686</v>
      </c>
      <c r="AF94" s="24"/>
      <c r="AG94">
        <v>89</v>
      </c>
      <c r="AH94">
        <f t="shared" ca="1" si="30"/>
        <v>314.40969718140985</v>
      </c>
      <c r="AI94">
        <f t="shared" ca="1" si="31"/>
        <v>168.45647111840316</v>
      </c>
      <c r="AJ94">
        <f t="shared" ca="1" si="32"/>
        <v>54.212583532713879</v>
      </c>
      <c r="AL94">
        <v>89</v>
      </c>
      <c r="AM94" s="4">
        <f t="shared" ca="1" si="22"/>
        <v>1.6060285356754633E-2</v>
      </c>
      <c r="AN94" s="4">
        <f t="shared" ca="1" si="23"/>
        <v>2.5547770314783058E-2</v>
      </c>
      <c r="AO94" s="4">
        <f t="shared" ca="1" si="24"/>
        <v>2.2300297579466832E-2</v>
      </c>
      <c r="AP94" s="4">
        <f t="shared" ca="1" si="25"/>
        <v>2.172728300677966E-2</v>
      </c>
    </row>
    <row r="95" spans="1:42" x14ac:dyDescent="0.3">
      <c r="A95" s="1">
        <v>45730</v>
      </c>
      <c r="B95" s="3">
        <f>Data!B92</f>
        <v>228.79705810546801</v>
      </c>
      <c r="C95" s="3">
        <f>Data!H92</f>
        <v>112.94487762451099</v>
      </c>
      <c r="D95" s="3">
        <f>Data!N92</f>
        <v>40.425590515136697</v>
      </c>
      <c r="F95" s="1">
        <v>45730</v>
      </c>
      <c r="G95" s="4">
        <f t="shared" si="26"/>
        <v>3.2195008451644247E-2</v>
      </c>
      <c r="H95" s="4">
        <f t="shared" si="27"/>
        <v>3.2772083955303843E-2</v>
      </c>
      <c r="I95" s="4">
        <f t="shared" si="28"/>
        <v>3.0753782021492038E-2</v>
      </c>
      <c r="T95">
        <v>89</v>
      </c>
      <c r="U95" s="4">
        <v>-2.5177768975101922E-2</v>
      </c>
      <c r="V95" s="4"/>
      <c r="W95">
        <v>90</v>
      </c>
      <c r="X95">
        <f t="shared" ca="1" si="29"/>
        <v>0.95579379347090232</v>
      </c>
      <c r="Y95">
        <f t="shared" ca="1" si="29"/>
        <v>-1.8778419590231978</v>
      </c>
      <c r="Z95">
        <f t="shared" ca="1" si="29"/>
        <v>0.20627598038551395</v>
      </c>
      <c r="AA95" s="4"/>
      <c r="AB95">
        <v>90</v>
      </c>
      <c r="AC95" s="24">
        <f t="shared" ca="1" si="19"/>
        <v>0.95579379347090232</v>
      </c>
      <c r="AD95" s="24">
        <f t="shared" ca="1" si="20"/>
        <v>-9.3577690233050292E-2</v>
      </c>
      <c r="AE95" s="24">
        <f t="shared" ca="1" si="21"/>
        <v>0.36646091092375255</v>
      </c>
      <c r="AF95" s="24"/>
      <c r="AG95">
        <v>90</v>
      </c>
      <c r="AH95">
        <f t="shared" ca="1" si="30"/>
        <v>314.5121315300733</v>
      </c>
      <c r="AI95">
        <f t="shared" ca="1" si="31"/>
        <v>163.94168265686812</v>
      </c>
      <c r="AJ95">
        <f t="shared" ca="1" si="32"/>
        <v>53.37623123147317</v>
      </c>
      <c r="AL95">
        <v>90</v>
      </c>
      <c r="AM95" s="4">
        <f t="shared" ca="1" si="22"/>
        <v>1.6391316729089445E-2</v>
      </c>
      <c r="AN95" s="4">
        <f t="shared" ca="1" si="23"/>
        <v>-1.9378537721406186E-3</v>
      </c>
      <c r="AO95" s="4">
        <f t="shared" ca="1" si="24"/>
        <v>6.5289922712867821E-3</v>
      </c>
      <c r="AP95" s="4">
        <f t="shared" ca="1" si="25"/>
        <v>6.1009511912566202E-3</v>
      </c>
    </row>
    <row r="96" spans="1:42" x14ac:dyDescent="0.3">
      <c r="A96" s="1">
        <v>45733</v>
      </c>
      <c r="B96" s="3">
        <f>Data!B93</f>
        <v>230.26370239257801</v>
      </c>
      <c r="C96" s="3">
        <f>Data!H93</f>
        <v>115.51047515869099</v>
      </c>
      <c r="D96" s="3">
        <f>Data!N93</f>
        <v>40.969345092773402</v>
      </c>
      <c r="F96" s="1">
        <v>45733</v>
      </c>
      <c r="G96" s="4">
        <f t="shared" si="26"/>
        <v>6.4102410199431414E-3</v>
      </c>
      <c r="H96" s="4">
        <f t="shared" si="27"/>
        <v>2.2715483766421185E-2</v>
      </c>
      <c r="I96" s="4">
        <f t="shared" si="28"/>
        <v>1.345075163300602E-2</v>
      </c>
      <c r="T96">
        <v>90</v>
      </c>
      <c r="U96" s="4">
        <v>-2.4789483907490872E-2</v>
      </c>
      <c r="V96" s="4"/>
      <c r="W96">
        <v>91</v>
      </c>
      <c r="X96">
        <f t="shared" ca="1" si="29"/>
        <v>-0.92251664819310297</v>
      </c>
      <c r="Y96">
        <f t="shared" ca="1" si="29"/>
        <v>2.1608200018884021</v>
      </c>
      <c r="Z96">
        <f t="shared" ca="1" si="29"/>
        <v>-0.70258898176882956</v>
      </c>
      <c r="AA96" s="4"/>
      <c r="AB96">
        <v>91</v>
      </c>
      <c r="AC96" s="24">
        <f t="shared" ca="1" si="19"/>
        <v>-0.92251664819310297</v>
      </c>
      <c r="AD96" s="24">
        <f t="shared" ca="1" si="20"/>
        <v>0.26196919908002814</v>
      </c>
      <c r="AE96" s="24">
        <f t="shared" ca="1" si="21"/>
        <v>-0.51307062036890916</v>
      </c>
      <c r="AF96" s="24"/>
      <c r="AG96">
        <v>91</v>
      </c>
      <c r="AH96">
        <f t="shared" ca="1" si="30"/>
        <v>304.6253958815667</v>
      </c>
      <c r="AI96">
        <f t="shared" ca="1" si="31"/>
        <v>165.1580884835802</v>
      </c>
      <c r="AJ96">
        <f t="shared" ca="1" si="32"/>
        <v>52.549549469174153</v>
      </c>
      <c r="AL96">
        <v>91</v>
      </c>
      <c r="AM96" s="4">
        <f t="shared" ca="1" si="22"/>
        <v>-1.5559095533393408E-2</v>
      </c>
      <c r="AN96" s="4">
        <f t="shared" ca="1" si="23"/>
        <v>5.4675149566489889E-3</v>
      </c>
      <c r="AO96" s="4">
        <f t="shared" ca="1" si="24"/>
        <v>-9.0599532563107044E-3</v>
      </c>
      <c r="AP96" s="4">
        <f t="shared" ca="1" si="25"/>
        <v>-5.1987086542516379E-3</v>
      </c>
    </row>
    <row r="97" spans="1:42" x14ac:dyDescent="0.3">
      <c r="A97" s="1">
        <v>45734</v>
      </c>
      <c r="B97" s="3">
        <f>Data!B94</f>
        <v>231.28741455078099</v>
      </c>
      <c r="C97" s="3">
        <f>Data!H94</f>
        <v>115.65736389160099</v>
      </c>
      <c r="D97" s="3">
        <f>Data!N94</f>
        <v>41.176959991455</v>
      </c>
      <c r="F97" s="1">
        <v>45734</v>
      </c>
      <c r="G97" s="4">
        <f t="shared" si="26"/>
        <v>4.4458251455439246E-3</v>
      </c>
      <c r="H97" s="4">
        <f t="shared" si="27"/>
        <v>1.2716485903827568E-3</v>
      </c>
      <c r="I97" s="4">
        <f t="shared" si="28"/>
        <v>5.0675669384381283E-3</v>
      </c>
      <c r="T97">
        <v>91</v>
      </c>
      <c r="U97" s="4">
        <v>-2.4613835547791372E-2</v>
      </c>
      <c r="V97" s="4"/>
      <c r="W97">
        <v>92</v>
      </c>
      <c r="X97">
        <f t="shared" ca="1" si="29"/>
        <v>-1.3774105725122263</v>
      </c>
      <c r="Y97">
        <f t="shared" ca="1" si="29"/>
        <v>-0.12312713763308035</v>
      </c>
      <c r="Z97">
        <f t="shared" ca="1" si="29"/>
        <v>0.45914708270450211</v>
      </c>
      <c r="AA97" s="4"/>
      <c r="AB97">
        <v>92</v>
      </c>
      <c r="AC97" s="24">
        <f t="shared" ca="1" si="19"/>
        <v>-1.3774105725122263</v>
      </c>
      <c r="AD97" s="24">
        <f t="shared" ca="1" si="20"/>
        <v>-1.2592603071675494</v>
      </c>
      <c r="AE97" s="24">
        <f t="shared" ca="1" si="21"/>
        <v>-0.92524407642383588</v>
      </c>
      <c r="AF97" s="24"/>
      <c r="AG97">
        <v>92</v>
      </c>
      <c r="AH97">
        <f t="shared" ca="1" si="30"/>
        <v>302.27812631434773</v>
      </c>
      <c r="AI97">
        <f t="shared" ca="1" si="31"/>
        <v>160.01610571899124</v>
      </c>
      <c r="AJ97">
        <f t="shared" ca="1" si="32"/>
        <v>52.166561022550987</v>
      </c>
      <c r="AL97">
        <v>92</v>
      </c>
      <c r="AM97" s="4">
        <f t="shared" ca="1" si="22"/>
        <v>-2.3144635698529092E-2</v>
      </c>
      <c r="AN97" s="4">
        <f t="shared" ca="1" si="23"/>
        <v>-2.5836411358623135E-2</v>
      </c>
      <c r="AO97" s="4">
        <f t="shared" ca="1" si="24"/>
        <v>-1.6282062542360531E-2</v>
      </c>
      <c r="AP97" s="4">
        <f t="shared" ca="1" si="25"/>
        <v>-2.2162574015716141E-2</v>
      </c>
    </row>
    <row r="98" spans="1:42" x14ac:dyDescent="0.3">
      <c r="A98" s="1">
        <v>45735</v>
      </c>
      <c r="B98" s="3">
        <f>Data!B95</f>
        <v>235.362533569335</v>
      </c>
      <c r="C98" s="3">
        <f>Data!H95</f>
        <v>117.36122894287099</v>
      </c>
      <c r="D98" s="3">
        <f>Data!N95</f>
        <v>41.730598449707003</v>
      </c>
      <c r="F98" s="1">
        <v>45735</v>
      </c>
      <c r="G98" s="4">
        <f t="shared" si="26"/>
        <v>1.7619285625501524E-2</v>
      </c>
      <c r="H98" s="4">
        <f t="shared" si="27"/>
        <v>1.4732006626633209E-2</v>
      </c>
      <c r="I98" s="4">
        <f t="shared" si="28"/>
        <v>1.3445345609945258E-2</v>
      </c>
      <c r="T98">
        <v>92</v>
      </c>
      <c r="U98" s="4">
        <v>-2.4471352637886232E-2</v>
      </c>
      <c r="V98" s="4"/>
      <c r="W98">
        <v>93</v>
      </c>
      <c r="X98">
        <f t="shared" ca="1" si="29"/>
        <v>-3.1278209051824303E-2</v>
      </c>
      <c r="Y98">
        <f t="shared" ca="1" si="29"/>
        <v>-1.3518042219027884</v>
      </c>
      <c r="Z98">
        <f t="shared" ca="1" si="29"/>
        <v>1.4764397576456385</v>
      </c>
      <c r="AA98" s="4"/>
      <c r="AB98">
        <v>93</v>
      </c>
      <c r="AC98" s="24">
        <f t="shared" ca="1" si="19"/>
        <v>-3.1278209051824303E-2</v>
      </c>
      <c r="AD98" s="24">
        <f t="shared" ca="1" si="20"/>
        <v>-0.69330514972364032</v>
      </c>
      <c r="AE98" s="24">
        <f t="shared" ca="1" si="21"/>
        <v>0.35062496594111975</v>
      </c>
      <c r="AF98" s="24"/>
      <c r="AG98">
        <v>93</v>
      </c>
      <c r="AH98">
        <f t="shared" ca="1" si="30"/>
        <v>309.2771890712263</v>
      </c>
      <c r="AI98">
        <f t="shared" ca="1" si="31"/>
        <v>161.91014687162206</v>
      </c>
      <c r="AJ98">
        <f t="shared" ca="1" si="32"/>
        <v>53.361232485581674</v>
      </c>
      <c r="AL98">
        <v>93</v>
      </c>
      <c r="AM98" s="4">
        <f t="shared" ca="1" si="22"/>
        <v>-5.2615488913898556E-4</v>
      </c>
      <c r="AN98" s="4">
        <f t="shared" ca="1" si="23"/>
        <v>-1.4305660013370858E-2</v>
      </c>
      <c r="AO98" s="4">
        <f t="shared" ca="1" si="24"/>
        <v>6.2461571546215122E-3</v>
      </c>
      <c r="AP98" s="4">
        <f t="shared" ca="1" si="25"/>
        <v>-4.0062633257035851E-3</v>
      </c>
    </row>
    <row r="99" spans="1:42" x14ac:dyDescent="0.3">
      <c r="A99" s="1">
        <v>45736</v>
      </c>
      <c r="B99" s="3">
        <f>Data!B96</f>
        <v>235.26409912109301</v>
      </c>
      <c r="C99" s="3">
        <f>Data!H96</f>
        <v>117.968360900878</v>
      </c>
      <c r="D99" s="3">
        <f>Data!N96</f>
        <v>41.997535705566399</v>
      </c>
      <c r="F99" s="1">
        <v>45736</v>
      </c>
      <c r="G99" s="4">
        <f t="shared" si="26"/>
        <v>-4.1822479877828833E-4</v>
      </c>
      <c r="H99" s="4">
        <f t="shared" si="27"/>
        <v>5.1731901878988573E-3</v>
      </c>
      <c r="I99" s="4">
        <f t="shared" si="28"/>
        <v>6.3966793138876543E-3</v>
      </c>
      <c r="T99">
        <v>93</v>
      </c>
      <c r="U99" s="4">
        <v>-2.4233335302712922E-2</v>
      </c>
      <c r="V99" s="4"/>
      <c r="W99">
        <v>94</v>
      </c>
      <c r="X99">
        <f t="shared" ca="1" si="29"/>
        <v>0.68738946521697408</v>
      </c>
      <c r="Y99">
        <f t="shared" ca="1" si="29"/>
        <v>1.3129586534226134</v>
      </c>
      <c r="Z99">
        <f t="shared" ca="1" si="29"/>
        <v>0.73309626062146849</v>
      </c>
      <c r="AA99" s="4"/>
      <c r="AB99">
        <v>94</v>
      </c>
      <c r="AC99" s="24">
        <f t="shared" ca="1" si="19"/>
        <v>0.68738946521697408</v>
      </c>
      <c r="AD99" s="24">
        <f t="shared" ca="1" si="20"/>
        <v>1.2450971694157049</v>
      </c>
      <c r="AE99" s="24">
        <f t="shared" ca="1" si="21"/>
        <v>1.2955612477385903</v>
      </c>
      <c r="AF99" s="24"/>
      <c r="AG99">
        <v>94</v>
      </c>
      <c r="AH99">
        <f t="shared" ca="1" si="30"/>
        <v>313.07993852671399</v>
      </c>
      <c r="AI99">
        <f t="shared" ca="1" si="31"/>
        <v>168.56877737519611</v>
      </c>
      <c r="AJ99">
        <f t="shared" ca="1" si="32"/>
        <v>54.26363241600427</v>
      </c>
      <c r="AL99">
        <v>94</v>
      </c>
      <c r="AM99" s="4">
        <f t="shared" ca="1" si="22"/>
        <v>1.1762978466228535E-2</v>
      </c>
      <c r="AN99" s="4">
        <f t="shared" ca="1" si="23"/>
        <v>2.6231480655393602E-2</v>
      </c>
      <c r="AO99" s="4">
        <f t="shared" ca="1" si="24"/>
        <v>2.3262939187339571E-2</v>
      </c>
      <c r="AP99" s="4">
        <f t="shared" ca="1" si="25"/>
        <v>2.1000367558227873E-2</v>
      </c>
    </row>
    <row r="100" spans="1:42" x14ac:dyDescent="0.3">
      <c r="A100" s="1">
        <v>45737</v>
      </c>
      <c r="B100" s="3">
        <f>Data!B97</f>
        <v>237.84304809570301</v>
      </c>
      <c r="C100" s="3">
        <f>Data!H97</f>
        <v>117.645210266113</v>
      </c>
      <c r="D100" s="3">
        <f>Data!N97</f>
        <v>41.987648010253899</v>
      </c>
      <c r="F100" s="1">
        <v>45737</v>
      </c>
      <c r="G100" s="4">
        <f t="shared" si="26"/>
        <v>1.0961931651469747E-2</v>
      </c>
      <c r="H100" s="4">
        <f t="shared" si="27"/>
        <v>-2.7392991840966552E-3</v>
      </c>
      <c r="I100" s="4">
        <f t="shared" si="28"/>
        <v>-2.3543513080914735E-4</v>
      </c>
      <c r="T100">
        <v>94</v>
      </c>
      <c r="U100" s="4">
        <v>-2.3994202944599176E-2</v>
      </c>
      <c r="V100" s="4"/>
      <c r="W100">
        <v>95</v>
      </c>
      <c r="X100">
        <f t="shared" ca="1" si="29"/>
        <v>-6.4767068011868031E-2</v>
      </c>
      <c r="Y100">
        <f t="shared" ca="1" si="29"/>
        <v>1.0849192124797309</v>
      </c>
      <c r="Z100">
        <f t="shared" ca="1" si="29"/>
        <v>0.88756024704299641</v>
      </c>
      <c r="AA100" s="4"/>
      <c r="AB100">
        <v>95</v>
      </c>
      <c r="AC100" s="24">
        <f t="shared" ca="1" si="19"/>
        <v>-6.4767068011868031E-2</v>
      </c>
      <c r="AD100" s="24">
        <f t="shared" ca="1" si="20"/>
        <v>0.47822394693414794</v>
      </c>
      <c r="AE100" s="24">
        <f t="shared" ca="1" si="21"/>
        <v>0.69707423363337118</v>
      </c>
      <c r="AF100" s="24"/>
      <c r="AG100">
        <v>95</v>
      </c>
      <c r="AH100">
        <f t="shared" ca="1" si="30"/>
        <v>309.10111722285501</v>
      </c>
      <c r="AI100">
        <f t="shared" ca="1" si="31"/>
        <v>165.9023545479107</v>
      </c>
      <c r="AJ100">
        <f t="shared" ca="1" si="32"/>
        <v>53.690330588986811</v>
      </c>
      <c r="AL100">
        <v>95</v>
      </c>
      <c r="AM100" s="4">
        <f t="shared" ca="1" si="22"/>
        <v>-1.095156462891933E-3</v>
      </c>
      <c r="AN100" s="4">
        <f t="shared" ca="1" si="23"/>
        <v>9.9985394861763499E-3</v>
      </c>
      <c r="AO100" s="4">
        <f t="shared" ca="1" si="24"/>
        <v>1.2452042709603317E-2</v>
      </c>
      <c r="AP100" s="4">
        <f t="shared" ca="1" si="25"/>
        <v>7.4064816684839552E-3</v>
      </c>
    </row>
    <row r="101" spans="1:42" x14ac:dyDescent="0.3">
      <c r="A101" s="1">
        <v>45740</v>
      </c>
      <c r="B101" s="3">
        <f>Data!B98</f>
        <v>244.172271728515</v>
      </c>
      <c r="C101" s="3">
        <f>Data!H98</f>
        <v>121.68943786621</v>
      </c>
      <c r="D101" s="3">
        <f>Data!N98</f>
        <v>42.5808296203613</v>
      </c>
      <c r="F101" s="1">
        <v>45740</v>
      </c>
      <c r="G101" s="4">
        <f t="shared" si="26"/>
        <v>2.6610925496822757E-2</v>
      </c>
      <c r="H101" s="4">
        <f t="shared" si="27"/>
        <v>3.4376474749366892E-2</v>
      </c>
      <c r="I101" s="4">
        <f t="shared" si="28"/>
        <v>1.4127526504045695E-2</v>
      </c>
      <c r="T101">
        <v>95</v>
      </c>
      <c r="U101" s="4">
        <v>-2.3992131412490812E-2</v>
      </c>
      <c r="V101" s="4"/>
      <c r="W101">
        <v>96</v>
      </c>
      <c r="X101">
        <f t="shared" ca="1" si="29"/>
        <v>-0.66036668690719957</v>
      </c>
      <c r="Y101">
        <f t="shared" ca="1" si="29"/>
        <v>-0.45996147498699286</v>
      </c>
      <c r="Z101">
        <f t="shared" ca="1" si="29"/>
        <v>0.27148666631387181</v>
      </c>
      <c r="AA101" s="4"/>
      <c r="AB101">
        <v>96</v>
      </c>
      <c r="AC101" s="24">
        <f t="shared" ca="1" si="19"/>
        <v>-0.66036668690719957</v>
      </c>
      <c r="AD101" s="24">
        <f t="shared" ca="1" si="20"/>
        <v>-0.80127701932025475</v>
      </c>
      <c r="AE101" s="24">
        <f t="shared" ca="1" si="21"/>
        <v>-0.52819614450691321</v>
      </c>
      <c r="AF101" s="24"/>
      <c r="AG101">
        <v>96</v>
      </c>
      <c r="AH101">
        <f t="shared" ca="1" si="30"/>
        <v>305.98636912114927</v>
      </c>
      <c r="AI101">
        <f t="shared" ca="1" si="31"/>
        <v>161.54708277174396</v>
      </c>
      <c r="AJ101">
        <f t="shared" ca="1" si="32"/>
        <v>52.535445374169527</v>
      </c>
      <c r="AL101">
        <v>96</v>
      </c>
      <c r="AM101" s="4">
        <f t="shared" ca="1" si="22"/>
        <v>-1.1160914209567108E-2</v>
      </c>
      <c r="AN101" s="4">
        <f t="shared" ca="1" si="23"/>
        <v>-1.6515961438061222E-2</v>
      </c>
      <c r="AO101" s="4">
        <f t="shared" ca="1" si="24"/>
        <v>-9.3259177166028495E-3</v>
      </c>
      <c r="AP101" s="4">
        <f t="shared" ca="1" si="25"/>
        <v>-1.2752434153075476E-2</v>
      </c>
    </row>
    <row r="102" spans="1:42" x14ac:dyDescent="0.3">
      <c r="A102" s="1">
        <v>45741</v>
      </c>
      <c r="B102" s="3">
        <f>Data!B99</f>
        <v>247.19415283203099</v>
      </c>
      <c r="C102" s="3">
        <f>Data!H99</f>
        <v>122.600135803222</v>
      </c>
      <c r="D102" s="3">
        <f>Data!N99</f>
        <v>42.788448333740199</v>
      </c>
      <c r="F102" s="1">
        <v>45741</v>
      </c>
      <c r="G102" s="4">
        <f t="shared" si="26"/>
        <v>1.2376020758310791E-2</v>
      </c>
      <c r="H102" s="4">
        <f t="shared" si="27"/>
        <v>7.4837878535789493E-3</v>
      </c>
      <c r="I102" s="4">
        <f t="shared" si="28"/>
        <v>4.8758729040736526E-3</v>
      </c>
      <c r="T102">
        <v>96</v>
      </c>
      <c r="U102" s="4">
        <v>-2.3940642262788126E-2</v>
      </c>
      <c r="V102" s="4"/>
      <c r="W102">
        <v>97</v>
      </c>
      <c r="X102">
        <f t="shared" ca="1" si="29"/>
        <v>0.67754786018978108</v>
      </c>
      <c r="Y102">
        <f t="shared" ca="1" si="29"/>
        <v>0.41771167034459988</v>
      </c>
      <c r="Z102">
        <f t="shared" ca="1" si="29"/>
        <v>1.0326402757912012</v>
      </c>
      <c r="AA102" s="4"/>
      <c r="AB102">
        <v>97</v>
      </c>
      <c r="AC102" s="24">
        <f t="shared" ca="1" si="19"/>
        <v>0.67754786018978108</v>
      </c>
      <c r="AD102" s="24">
        <f t="shared" ca="1" si="20"/>
        <v>0.79540952197370041</v>
      </c>
      <c r="AE102" s="24">
        <f t="shared" ca="1" si="21"/>
        <v>1.1924215974397361</v>
      </c>
      <c r="AF102" s="24"/>
      <c r="AG102">
        <v>97</v>
      </c>
      <c r="AH102">
        <f t="shared" ca="1" si="30"/>
        <v>313.02754831339155</v>
      </c>
      <c r="AI102">
        <f t="shared" ca="1" si="31"/>
        <v>167.00005742355864</v>
      </c>
      <c r="AJ102">
        <f t="shared" ca="1" si="32"/>
        <v>54.164398257716094</v>
      </c>
      <c r="AL102">
        <v>97</v>
      </c>
      <c r="AM102" s="4">
        <f t="shared" ca="1" si="22"/>
        <v>1.159367193536931E-2</v>
      </c>
      <c r="AN102" s="4">
        <f t="shared" ca="1" si="23"/>
        <v>1.6681255377794635E-2</v>
      </c>
      <c r="AO102" s="4">
        <f t="shared" ca="1" si="24"/>
        <v>2.1391655752067917E-2</v>
      </c>
      <c r="AP102" s="4">
        <f t="shared" ca="1" si="25"/>
        <v>1.6568100457349022E-2</v>
      </c>
    </row>
    <row r="103" spans="1:42" x14ac:dyDescent="0.3">
      <c r="A103" s="1">
        <v>45742</v>
      </c>
      <c r="B103" s="3">
        <f>Data!B100</f>
        <v>247.09571838378901</v>
      </c>
      <c r="C103" s="3">
        <f>Data!H100</f>
        <v>119.66242980957</v>
      </c>
      <c r="D103" s="3">
        <f>Data!N100</f>
        <v>42.333671569824197</v>
      </c>
      <c r="F103" s="1">
        <v>45742</v>
      </c>
      <c r="G103" s="4">
        <f t="shared" si="26"/>
        <v>-3.9820702518345019E-4</v>
      </c>
      <c r="H103" s="4">
        <f t="shared" si="27"/>
        <v>-2.3961686293456741E-2</v>
      </c>
      <c r="I103" s="4">
        <f t="shared" si="28"/>
        <v>-1.0628493942310024E-2</v>
      </c>
      <c r="T103">
        <v>97</v>
      </c>
      <c r="U103" s="4">
        <v>-2.3865097192099595E-2</v>
      </c>
      <c r="V103" s="4"/>
      <c r="W103">
        <v>98</v>
      </c>
      <c r="X103">
        <f t="shared" ca="1" si="29"/>
        <v>0.26731798105894061</v>
      </c>
      <c r="Y103">
        <f t="shared" ca="1" si="29"/>
        <v>0.15945382763417476</v>
      </c>
      <c r="Z103">
        <f t="shared" ca="1" si="29"/>
        <v>-2.9335894111794998E-2</v>
      </c>
      <c r="AA103" s="4"/>
      <c r="AB103">
        <v>98</v>
      </c>
      <c r="AC103" s="24">
        <f t="shared" ca="1" si="19"/>
        <v>0.26731798105894061</v>
      </c>
      <c r="AD103" s="24">
        <f t="shared" ca="1" si="20"/>
        <v>0.31118312481281252</v>
      </c>
      <c r="AE103" s="24">
        <f t="shared" ca="1" si="21"/>
        <v>0.24732038459447975</v>
      </c>
      <c r="AF103" s="24"/>
      <c r="AG103">
        <v>98</v>
      </c>
      <c r="AH103">
        <f t="shared" ca="1" si="30"/>
        <v>310.85153627595986</v>
      </c>
      <c r="AI103">
        <f t="shared" ca="1" si="31"/>
        <v>165.32716997492653</v>
      </c>
      <c r="AJ103">
        <f t="shared" ca="1" si="32"/>
        <v>53.263492679697372</v>
      </c>
      <c r="AL103">
        <v>98</v>
      </c>
      <c r="AM103" s="4">
        <f t="shared" ca="1" si="22"/>
        <v>4.5615751790886172E-3</v>
      </c>
      <c r="AN103" s="4">
        <f t="shared" ca="1" si="23"/>
        <v>6.4968677936192432E-3</v>
      </c>
      <c r="AO103" s="4">
        <f t="shared" ca="1" si="24"/>
        <v>4.4030530977823279E-3</v>
      </c>
      <c r="AP103" s="4">
        <f t="shared" ca="1" si="25"/>
        <v>5.2881356005089813E-3</v>
      </c>
    </row>
    <row r="104" spans="1:42" x14ac:dyDescent="0.3">
      <c r="A104" s="1">
        <v>45743</v>
      </c>
      <c r="B104" s="3">
        <f>Data!B101</f>
        <v>244.23132324218699</v>
      </c>
      <c r="C104" s="3">
        <f>Data!H101</f>
        <v>116.5288772583</v>
      </c>
      <c r="D104" s="3">
        <f>Data!N101</f>
        <v>42.076625823974602</v>
      </c>
      <c r="F104" s="1">
        <v>45743</v>
      </c>
      <c r="G104" s="4">
        <f t="shared" si="26"/>
        <v>-1.1592249191275106E-2</v>
      </c>
      <c r="H104" s="4">
        <f t="shared" si="27"/>
        <v>-2.6186603065445957E-2</v>
      </c>
      <c r="I104" s="4">
        <f t="shared" si="28"/>
        <v>-6.0718982388671128E-3</v>
      </c>
      <c r="T104">
        <v>98</v>
      </c>
      <c r="U104" s="4">
        <v>-2.3834380488060171E-2</v>
      </c>
      <c r="V104" s="4"/>
      <c r="W104">
        <v>99</v>
      </c>
      <c r="X104">
        <f t="shared" ca="1" si="29"/>
        <v>-0.13311417070864864</v>
      </c>
      <c r="Y104">
        <f t="shared" ca="1" si="29"/>
        <v>-0.42699764637252258</v>
      </c>
      <c r="Z104">
        <f t="shared" ca="1" si="29"/>
        <v>-1.0283094525656389</v>
      </c>
      <c r="AA104" s="4"/>
      <c r="AB104">
        <v>99</v>
      </c>
      <c r="AC104" s="24">
        <f t="shared" ca="1" si="19"/>
        <v>-0.13311417070864864</v>
      </c>
      <c r="AD104" s="24">
        <f t="shared" ca="1" si="20"/>
        <v>-0.32623154226307588</v>
      </c>
      <c r="AE104" s="24">
        <f t="shared" ca="1" si="21"/>
        <v>-0.7484055987430307</v>
      </c>
      <c r="AF104" s="24"/>
      <c r="AG104">
        <v>99</v>
      </c>
      <c r="AH104">
        <f t="shared" ca="1" si="30"/>
        <v>308.74208479810642</v>
      </c>
      <c r="AI104">
        <f t="shared" ca="1" si="31"/>
        <v>163.15057484906512</v>
      </c>
      <c r="AJ104">
        <f t="shared" ca="1" si="32"/>
        <v>52.330534920006542</v>
      </c>
      <c r="AL104">
        <v>99</v>
      </c>
      <c r="AM104" s="4">
        <f t="shared" ca="1" si="22"/>
        <v>-2.2554215285457424E-3</v>
      </c>
      <c r="AN104" s="4">
        <f t="shared" ca="1" si="23"/>
        <v>-6.7540466021610568E-3</v>
      </c>
      <c r="AO104" s="4">
        <f t="shared" ca="1" si="24"/>
        <v>-1.3189965592896202E-2</v>
      </c>
      <c r="AP104" s="4">
        <f t="shared" ca="1" si="25"/>
        <v>-7.3352347772970058E-3</v>
      </c>
    </row>
    <row r="105" spans="1:42" x14ac:dyDescent="0.3">
      <c r="A105" s="1">
        <v>45744</v>
      </c>
      <c r="B105" s="3">
        <f>Data!B102</f>
        <v>239.04393005371</v>
      </c>
      <c r="C105" s="3">
        <f>Data!H102</f>
        <v>112.935096740722</v>
      </c>
      <c r="D105" s="3">
        <f>Data!N102</f>
        <v>40.781501770019503</v>
      </c>
      <c r="F105" s="1">
        <v>45744</v>
      </c>
      <c r="G105" s="4">
        <f t="shared" si="26"/>
        <v>-2.1239671961867934E-2</v>
      </c>
      <c r="H105" s="4">
        <f t="shared" si="27"/>
        <v>-3.0840256957182843E-2</v>
      </c>
      <c r="I105" s="4">
        <f t="shared" si="28"/>
        <v>-3.0780130977545173E-2</v>
      </c>
      <c r="T105">
        <v>99</v>
      </c>
      <c r="U105" s="4">
        <v>-2.3804831332972766E-2</v>
      </c>
      <c r="V105" s="4"/>
      <c r="W105">
        <v>100</v>
      </c>
      <c r="X105">
        <f t="shared" ca="1" si="29"/>
        <v>-1.6682190210746879</v>
      </c>
      <c r="Y105">
        <f t="shared" ca="1" si="29"/>
        <v>2.0494835312406201E-2</v>
      </c>
      <c r="Z105">
        <f t="shared" ca="1" si="29"/>
        <v>0.41095628466793266</v>
      </c>
      <c r="AA105" s="4"/>
      <c r="AB105">
        <v>100</v>
      </c>
      <c r="AC105" s="24">
        <f t="shared" ca="1" si="19"/>
        <v>-1.6682190210746879</v>
      </c>
      <c r="AD105" s="24">
        <f t="shared" ca="1" si="20"/>
        <v>-1.4415468182855009</v>
      </c>
      <c r="AE105" s="24">
        <f t="shared" ca="1" si="21"/>
        <v>-1.1474209609570694</v>
      </c>
      <c r="AF105" s="24"/>
      <c r="AG105">
        <v>100</v>
      </c>
      <c r="AH105">
        <f t="shared" ca="1" si="30"/>
        <v>300.78702995297789</v>
      </c>
      <c r="AI105">
        <f t="shared" ca="1" si="31"/>
        <v>159.41079062903162</v>
      </c>
      <c r="AJ105">
        <f t="shared" ca="1" si="32"/>
        <v>51.961275066180669</v>
      </c>
      <c r="AL105">
        <v>100</v>
      </c>
      <c r="AM105" s="4">
        <f t="shared" ca="1" si="22"/>
        <v>-2.7963328658732856E-2</v>
      </c>
      <c r="AN105" s="4">
        <f t="shared" ca="1" si="23"/>
        <v>-2.9521514915194946E-2</v>
      </c>
      <c r="AO105" s="4">
        <f t="shared" ca="1" si="24"/>
        <v>-2.0153191358046274E-2</v>
      </c>
      <c r="AP105" s="4">
        <f t="shared" ca="1" si="25"/>
        <v>-2.6243561971111717E-2</v>
      </c>
    </row>
    <row r="106" spans="1:42" x14ac:dyDescent="0.3">
      <c r="A106" s="1">
        <v>45747</v>
      </c>
      <c r="B106" s="3">
        <f>Data!B103</f>
        <v>241.45553588867099</v>
      </c>
      <c r="C106" s="3">
        <f>Data!H103</f>
        <v>114.247261047363</v>
      </c>
      <c r="D106" s="3">
        <f>Data!N103</f>
        <v>41.256050109863203</v>
      </c>
      <c r="F106" s="1">
        <v>45747</v>
      </c>
      <c r="G106" s="4">
        <f t="shared" si="26"/>
        <v>1.0088546629982043E-2</v>
      </c>
      <c r="H106" s="4">
        <f t="shared" si="27"/>
        <v>1.1618746913136135E-2</v>
      </c>
      <c r="I106" s="4">
        <f t="shared" si="28"/>
        <v>1.1636362547898127E-2</v>
      </c>
      <c r="T106">
        <v>100</v>
      </c>
      <c r="U106" s="4">
        <v>-2.3804262243076614E-2</v>
      </c>
      <c r="V106" s="4"/>
      <c r="W106">
        <v>101</v>
      </c>
      <c r="X106">
        <f t="shared" ca="1" si="29"/>
        <v>-0.68122484999258137</v>
      </c>
      <c r="Y106">
        <f t="shared" ca="1" si="29"/>
        <v>-0.16713315075112165</v>
      </c>
      <c r="Z106">
        <f t="shared" ca="1" si="29"/>
        <v>1.2159930789639333</v>
      </c>
      <c r="AA106" s="4"/>
      <c r="AB106">
        <v>101</v>
      </c>
      <c r="AC106" s="24">
        <f t="shared" ca="1" si="19"/>
        <v>-0.68122484999258137</v>
      </c>
      <c r="AD106" s="24">
        <f t="shared" ca="1" si="20"/>
        <v>-0.67513917368098519</v>
      </c>
      <c r="AE106" s="24">
        <f t="shared" ca="1" si="21"/>
        <v>1.4964771208613503E-2</v>
      </c>
      <c r="AF106" s="24"/>
      <c r="AG106">
        <v>101</v>
      </c>
      <c r="AH106">
        <f t="shared" ca="1" si="30"/>
        <v>305.87785994711692</v>
      </c>
      <c r="AI106">
        <f t="shared" ca="1" si="31"/>
        <v>161.97131156797857</v>
      </c>
      <c r="AJ106">
        <f t="shared" ca="1" si="32"/>
        <v>53.044307204778676</v>
      </c>
      <c r="AL106">
        <v>101</v>
      </c>
      <c r="AM106" s="4">
        <f t="shared" ca="1" si="22"/>
        <v>-1.1511577256284489E-2</v>
      </c>
      <c r="AN106" s="4">
        <f t="shared" ca="1" si="23"/>
        <v>-1.3933294870292934E-2</v>
      </c>
      <c r="AO106" s="4">
        <f t="shared" ca="1" si="24"/>
        <v>2.6981757139821205E-4</v>
      </c>
      <c r="AP106" s="4">
        <f t="shared" ca="1" si="25"/>
        <v>-8.9458458535830558E-3</v>
      </c>
    </row>
    <row r="107" spans="1:42" x14ac:dyDescent="0.3">
      <c r="A107" s="1">
        <v>45748</v>
      </c>
      <c r="B107" s="3">
        <f>Data!B104</f>
        <v>239.84123229980401</v>
      </c>
      <c r="C107" s="3">
        <f>Data!H104</f>
        <v>113.33657073974599</v>
      </c>
      <c r="D107" s="3">
        <f>Data!N104</f>
        <v>41.018779754638601</v>
      </c>
      <c r="F107" s="1">
        <v>45748</v>
      </c>
      <c r="G107" s="4">
        <f t="shared" si="26"/>
        <v>-6.685717860746454E-3</v>
      </c>
      <c r="H107" s="4">
        <f t="shared" si="27"/>
        <v>-7.9712222355988738E-3</v>
      </c>
      <c r="I107" s="4">
        <f t="shared" si="28"/>
        <v>-5.7511650919745971E-3</v>
      </c>
      <c r="T107">
        <v>101</v>
      </c>
      <c r="U107" s="4">
        <v>-2.3788676668527162E-2</v>
      </c>
      <c r="V107" s="4"/>
      <c r="W107">
        <v>102</v>
      </c>
      <c r="X107">
        <f t="shared" ca="1" si="29"/>
        <v>2.1372017675824697</v>
      </c>
      <c r="Y107">
        <f t="shared" ca="1" si="29"/>
        <v>-0.48976790525565345</v>
      </c>
      <c r="Z107">
        <f t="shared" ca="1" si="29"/>
        <v>-0.21640776138369217</v>
      </c>
      <c r="AA107" s="4"/>
      <c r="AB107">
        <v>102</v>
      </c>
      <c r="AC107" s="24">
        <f t="shared" ca="1" si="19"/>
        <v>2.1372017675824697</v>
      </c>
      <c r="AD107" s="24">
        <f t="shared" ca="1" si="20"/>
        <v>1.6184152470992892</v>
      </c>
      <c r="AE107" s="24">
        <f t="shared" ca="1" si="21"/>
        <v>1.4994124245552434</v>
      </c>
      <c r="AF107" s="24"/>
      <c r="AG107">
        <v>102</v>
      </c>
      <c r="AH107">
        <f t="shared" ca="1" si="30"/>
        <v>320.89435898941571</v>
      </c>
      <c r="AI107">
        <f t="shared" ca="1" si="31"/>
        <v>169.88227324938521</v>
      </c>
      <c r="AJ107">
        <f t="shared" ca="1" si="32"/>
        <v>54.460299639613538</v>
      </c>
      <c r="AL107">
        <v>102</v>
      </c>
      <c r="AM107" s="4">
        <f t="shared" ca="1" si="22"/>
        <v>3.7016405305188682E-2</v>
      </c>
      <c r="AN107" s="4">
        <f t="shared" ca="1" si="23"/>
        <v>3.4227924817787914E-2</v>
      </c>
      <c r="AO107" s="4">
        <f t="shared" ca="1" si="24"/>
        <v>2.6971542395643811E-2</v>
      </c>
      <c r="AP107" s="4">
        <f t="shared" ca="1" si="25"/>
        <v>3.2887554237364912E-2</v>
      </c>
    </row>
    <row r="108" spans="1:42" x14ac:dyDescent="0.3">
      <c r="A108" s="1">
        <v>45749</v>
      </c>
      <c r="B108" s="3">
        <f>Data!B105</f>
        <v>241.96737670898401</v>
      </c>
      <c r="C108" s="3">
        <f>Data!H105</f>
        <v>116.79327392578099</v>
      </c>
      <c r="D108" s="3">
        <f>Data!N105</f>
        <v>41.374687194824197</v>
      </c>
      <c r="F108" s="1">
        <v>45749</v>
      </c>
      <c r="G108" s="4">
        <f t="shared" si="26"/>
        <v>8.8647993874644282E-3</v>
      </c>
      <c r="H108" s="4">
        <f t="shared" si="27"/>
        <v>3.0499451002206523E-2</v>
      </c>
      <c r="I108" s="4">
        <f t="shared" si="28"/>
        <v>8.6766949751924116E-3</v>
      </c>
      <c r="T108">
        <v>102</v>
      </c>
      <c r="U108" s="4">
        <v>-2.3715753076444156E-2</v>
      </c>
      <c r="V108" s="4"/>
      <c r="W108">
        <v>103</v>
      </c>
      <c r="X108">
        <f t="shared" ca="1" si="29"/>
        <v>-0.14257992728713537</v>
      </c>
      <c r="Y108">
        <f t="shared" ca="1" si="29"/>
        <v>0.31716574137579662</v>
      </c>
      <c r="Z108">
        <f t="shared" ca="1" si="29"/>
        <v>1.3710380935038258</v>
      </c>
      <c r="AA108" s="4"/>
      <c r="AB108">
        <v>103</v>
      </c>
      <c r="AC108" s="24">
        <f t="shared" ca="1" si="19"/>
        <v>-0.14257992728713537</v>
      </c>
      <c r="AD108" s="24">
        <f t="shared" ca="1" si="20"/>
        <v>3.221040533101413E-2</v>
      </c>
      <c r="AE108" s="24">
        <f t="shared" ca="1" si="21"/>
        <v>0.66699804189499934</v>
      </c>
      <c r="AF108" s="24"/>
      <c r="AG108">
        <v>103</v>
      </c>
      <c r="AH108">
        <f t="shared" ca="1" si="30"/>
        <v>308.69239336207647</v>
      </c>
      <c r="AI108">
        <f t="shared" ca="1" si="31"/>
        <v>164.37100448103945</v>
      </c>
      <c r="AJ108">
        <f t="shared" ca="1" si="32"/>
        <v>53.661680425402643</v>
      </c>
      <c r="AL108">
        <v>103</v>
      </c>
      <c r="AM108" s="4">
        <f t="shared" ca="1" si="22"/>
        <v>-2.4160065713259016E-3</v>
      </c>
      <c r="AN108" s="4">
        <f t="shared" ca="1" si="23"/>
        <v>6.7581868937560685E-4</v>
      </c>
      <c r="AO108" s="4">
        <f t="shared" ca="1" si="24"/>
        <v>1.1911779382360876E-2</v>
      </c>
      <c r="AP108" s="4">
        <f t="shared" ca="1" si="25"/>
        <v>3.1190593190607353E-3</v>
      </c>
    </row>
    <row r="109" spans="1:42" x14ac:dyDescent="0.3">
      <c r="A109" s="1">
        <v>45750</v>
      </c>
      <c r="B109" s="3">
        <f>Data!B106</f>
        <v>225.10583496093699</v>
      </c>
      <c r="C109" s="3">
        <f>Data!H106</f>
        <v>105.688758850097</v>
      </c>
      <c r="D109" s="3">
        <f>Data!N106</f>
        <v>36.797275543212798</v>
      </c>
      <c r="F109" s="1">
        <v>45750</v>
      </c>
      <c r="G109" s="4">
        <f t="shared" si="26"/>
        <v>-6.9685186397365095E-2</v>
      </c>
      <c r="H109" s="4">
        <f t="shared" si="27"/>
        <v>-9.507837825267762E-2</v>
      </c>
      <c r="I109" s="4">
        <f t="shared" si="28"/>
        <v>-0.11063314219289166</v>
      </c>
      <c r="T109">
        <v>103</v>
      </c>
      <c r="U109" s="4">
        <v>-2.3551265583906703E-2</v>
      </c>
      <c r="V109" s="4"/>
      <c r="W109">
        <v>104</v>
      </c>
      <c r="X109">
        <f t="shared" ca="1" si="29"/>
        <v>1.5303436983101827E-2</v>
      </c>
      <c r="Y109">
        <f t="shared" ca="1" si="29"/>
        <v>-0.32479494892425692</v>
      </c>
      <c r="Z109">
        <f t="shared" ca="1" si="29"/>
        <v>-1.3967147931445345</v>
      </c>
      <c r="AA109" s="4"/>
      <c r="AB109">
        <v>104</v>
      </c>
      <c r="AC109" s="24">
        <f t="shared" ca="1" si="19"/>
        <v>1.5303436983101827E-2</v>
      </c>
      <c r="AD109" s="24">
        <f t="shared" ca="1" si="20"/>
        <v>-0.14672266364763584</v>
      </c>
      <c r="AE109" s="24">
        <f t="shared" ca="1" si="21"/>
        <v>-0.78602187185789885</v>
      </c>
      <c r="AF109" s="24"/>
      <c r="AG109">
        <v>104</v>
      </c>
      <c r="AH109">
        <f t="shared" ca="1" si="30"/>
        <v>309.52226466818774</v>
      </c>
      <c r="AI109">
        <f t="shared" ca="1" si="31"/>
        <v>163.76063301664331</v>
      </c>
      <c r="AJ109">
        <f t="shared" ca="1" si="32"/>
        <v>52.295612038701684</v>
      </c>
      <c r="AL109">
        <v>104</v>
      </c>
      <c r="AM109" s="4">
        <f t="shared" ca="1" si="22"/>
        <v>2.658422509458358E-4</v>
      </c>
      <c r="AN109" s="4">
        <f t="shared" ca="1" si="23"/>
        <v>-3.0400676177479991E-3</v>
      </c>
      <c r="AO109" s="4">
        <f t="shared" ca="1" si="24"/>
        <v>-1.3848515132944383E-2</v>
      </c>
      <c r="AP109" s="4">
        <f t="shared" ca="1" si="25"/>
        <v>-5.2908289116987634E-3</v>
      </c>
    </row>
    <row r="110" spans="1:42" x14ac:dyDescent="0.3">
      <c r="A110" s="1">
        <v>45751</v>
      </c>
      <c r="B110" s="3">
        <f>Data!B107</f>
        <v>208.25930786132801</v>
      </c>
      <c r="C110" s="3">
        <f>Data!H107</f>
        <v>97.7569580078125</v>
      </c>
      <c r="D110" s="3">
        <f>Data!N107</f>
        <v>33.999412536621001</v>
      </c>
      <c r="F110" s="1">
        <v>45751</v>
      </c>
      <c r="G110" s="4">
        <f t="shared" si="26"/>
        <v>-7.4838251538581368E-2</v>
      </c>
      <c r="H110" s="4">
        <f t="shared" si="27"/>
        <v>-7.5048670535856399E-2</v>
      </c>
      <c r="I110" s="4">
        <f t="shared" si="28"/>
        <v>-7.6034515199532415E-2</v>
      </c>
      <c r="T110">
        <v>104</v>
      </c>
      <c r="U110" s="4">
        <v>-2.3433013829660808E-2</v>
      </c>
      <c r="V110" s="4"/>
      <c r="W110">
        <v>105</v>
      </c>
      <c r="X110">
        <f t="shared" ca="1" si="29"/>
        <v>-0.45039552314225645</v>
      </c>
      <c r="Y110">
        <f t="shared" ca="1" si="29"/>
        <v>0.88466823652757298</v>
      </c>
      <c r="Z110">
        <f t="shared" ca="1" si="29"/>
        <v>-0.16095886109002372</v>
      </c>
      <c r="AA110" s="4"/>
      <c r="AB110">
        <v>105</v>
      </c>
      <c r="AC110" s="24">
        <f t="shared" ca="1" si="19"/>
        <v>-0.45039552314225645</v>
      </c>
      <c r="AD110" s="24">
        <f t="shared" ca="1" si="20"/>
        <v>4.3987422336525084E-2</v>
      </c>
      <c r="AE110" s="24">
        <f t="shared" ca="1" si="21"/>
        <v>-0.20510436963374154</v>
      </c>
      <c r="AF110" s="24"/>
      <c r="AG110">
        <v>105</v>
      </c>
      <c r="AH110">
        <f t="shared" ca="1" si="30"/>
        <v>307.08083598711488</v>
      </c>
      <c r="AI110">
        <f t="shared" ca="1" si="31"/>
        <v>164.41125761374695</v>
      </c>
      <c r="AJ110">
        <f t="shared" ca="1" si="32"/>
        <v>52.837543546828392</v>
      </c>
      <c r="AL110">
        <v>105</v>
      </c>
      <c r="AM110" s="4">
        <f t="shared" ca="1" si="22"/>
        <v>-7.6239866716580895E-3</v>
      </c>
      <c r="AN110" s="4">
        <f t="shared" ca="1" si="23"/>
        <v>9.2087612303948241E-4</v>
      </c>
      <c r="AO110" s="4">
        <f t="shared" ca="1" si="24"/>
        <v>-3.629176633953457E-3</v>
      </c>
      <c r="AP110" s="4">
        <f t="shared" ca="1" si="25"/>
        <v>-3.0075985424676708E-3</v>
      </c>
    </row>
    <row r="111" spans="1:42" x14ac:dyDescent="0.3">
      <c r="A111" s="1">
        <v>45754</v>
      </c>
      <c r="B111" s="3">
        <f>Data!B108</f>
        <v>212.37933349609301</v>
      </c>
      <c r="C111" s="3">
        <f>Data!H108</f>
        <v>98.824325561523395</v>
      </c>
      <c r="D111" s="3">
        <f>Data!N108</f>
        <v>35.1759033203125</v>
      </c>
      <c r="F111" s="1">
        <v>45754</v>
      </c>
      <c r="G111" s="4">
        <f t="shared" si="26"/>
        <v>1.9783152441418705E-2</v>
      </c>
      <c r="H111" s="4">
        <f t="shared" si="27"/>
        <v>1.0918583960290551E-2</v>
      </c>
      <c r="I111" s="4">
        <f t="shared" si="28"/>
        <v>3.4603267995418907E-2</v>
      </c>
      <c r="T111">
        <v>105</v>
      </c>
      <c r="U111" s="4">
        <v>-2.3317454329848886E-2</v>
      </c>
      <c r="V111" s="4"/>
      <c r="W111">
        <v>106</v>
      </c>
      <c r="X111">
        <f t="shared" ca="1" si="29"/>
        <v>-0.26098779382853454</v>
      </c>
      <c r="Y111">
        <f t="shared" ca="1" si="29"/>
        <v>1.0908521449404631</v>
      </c>
      <c r="Z111">
        <f t="shared" ca="1" si="29"/>
        <v>-0.45540898794370438</v>
      </c>
      <c r="AA111" s="4"/>
      <c r="AB111">
        <v>106</v>
      </c>
      <c r="AC111" s="24">
        <f t="shared" ca="1" si="19"/>
        <v>-0.26098779382853454</v>
      </c>
      <c r="AD111" s="24">
        <f t="shared" ca="1" si="20"/>
        <v>0.31040062107368815</v>
      </c>
      <c r="AE111" s="24">
        <f t="shared" ca="1" si="21"/>
        <v>-0.14302632628956832</v>
      </c>
      <c r="AF111" s="24"/>
      <c r="AG111">
        <v>106</v>
      </c>
      <c r="AH111">
        <f t="shared" ca="1" si="30"/>
        <v>308.07147475834296</v>
      </c>
      <c r="AI111">
        <f t="shared" ca="1" si="31"/>
        <v>165.32448021745941</v>
      </c>
      <c r="AJ111">
        <f t="shared" ca="1" si="32"/>
        <v>52.895786578614306</v>
      </c>
      <c r="AL111">
        <v>106</v>
      </c>
      <c r="AM111" s="4">
        <f t="shared" ca="1" si="22"/>
        <v>-4.4225945975494563E-3</v>
      </c>
      <c r="AN111" s="4">
        <f t="shared" ca="1" si="23"/>
        <v>6.480492793271786E-3</v>
      </c>
      <c r="AO111" s="4">
        <f t="shared" ca="1" si="24"/>
        <v>-2.5308731618317593E-3</v>
      </c>
      <c r="AP111" s="4">
        <f t="shared" ca="1" si="25"/>
        <v>5.061567894943499E-4</v>
      </c>
    </row>
    <row r="112" spans="1:42" x14ac:dyDescent="0.3">
      <c r="A112" s="1">
        <v>45755</v>
      </c>
      <c r="B112" s="3">
        <f>Data!B109</f>
        <v>214.78596496582</v>
      </c>
      <c r="C112" s="3">
        <f>Data!H109</f>
        <v>98.226989746093693</v>
      </c>
      <c r="D112" s="3">
        <f>Data!N109</f>
        <v>34.632144927978501</v>
      </c>
      <c r="F112" s="1">
        <v>45755</v>
      </c>
      <c r="G112" s="4">
        <f t="shared" si="26"/>
        <v>1.1331759216445914E-2</v>
      </c>
      <c r="H112" s="4">
        <f t="shared" si="27"/>
        <v>-6.0444208653650522E-3</v>
      </c>
      <c r="I112" s="4">
        <f t="shared" si="28"/>
        <v>-1.5458263783093895E-2</v>
      </c>
      <c r="T112">
        <v>106</v>
      </c>
      <c r="U112" s="4">
        <v>-2.3261800955322147E-2</v>
      </c>
      <c r="V112" s="4"/>
      <c r="W112">
        <v>107</v>
      </c>
      <c r="X112">
        <f t="shared" ca="1" si="29"/>
        <v>-1.4936917132392418</v>
      </c>
      <c r="Y112">
        <f t="shared" ca="1" si="29"/>
        <v>-1.2371917523367617</v>
      </c>
      <c r="Z112">
        <f t="shared" ca="1" si="29"/>
        <v>-0.12677208486689492</v>
      </c>
      <c r="AA112" s="4"/>
      <c r="AB112">
        <v>107</v>
      </c>
      <c r="AC112" s="24">
        <f t="shared" ca="1" si="19"/>
        <v>-1.4936917132392418</v>
      </c>
      <c r="AD112" s="24">
        <f t="shared" ca="1" si="20"/>
        <v>-1.9093892954665328</v>
      </c>
      <c r="AE112" s="24">
        <f t="shared" ca="1" si="21"/>
        <v>-1.6250526882309833</v>
      </c>
      <c r="AF112" s="24"/>
      <c r="AG112">
        <v>107</v>
      </c>
      <c r="AH112">
        <f t="shared" ca="1" si="30"/>
        <v>301.6810194778825</v>
      </c>
      <c r="AI112">
        <f t="shared" ca="1" si="31"/>
        <v>157.86769494698873</v>
      </c>
      <c r="AJ112">
        <f t="shared" ca="1" si="32"/>
        <v>51.522686103102437</v>
      </c>
      <c r="AL112">
        <v>107</v>
      </c>
      <c r="AM112" s="4">
        <f t="shared" ca="1" si="22"/>
        <v>-2.5074272564332478E-2</v>
      </c>
      <c r="AN112" s="4">
        <f t="shared" ca="1" si="23"/>
        <v>-3.8915741955539151E-2</v>
      </c>
      <c r="AO112" s="4">
        <f t="shared" ca="1" si="24"/>
        <v>-2.8423773541228603E-2</v>
      </c>
      <c r="AP112" s="4">
        <f t="shared" ca="1" si="25"/>
        <v>-3.1615710613883984E-2</v>
      </c>
    </row>
    <row r="113" spans="1:42" x14ac:dyDescent="0.3">
      <c r="A113" s="1">
        <v>45756</v>
      </c>
      <c r="B113" s="3">
        <f>Data!B110</f>
        <v>232.08808898925699</v>
      </c>
      <c r="C113" s="3">
        <f>Data!H110</f>
        <v>109.380470275878</v>
      </c>
      <c r="D113" s="3">
        <f>Data!N110</f>
        <v>36.728069305419901</v>
      </c>
      <c r="F113" s="1">
        <v>45756</v>
      </c>
      <c r="G113" s="4">
        <f t="shared" si="26"/>
        <v>8.0555189098088231E-2</v>
      </c>
      <c r="H113" s="4">
        <f t="shared" si="27"/>
        <v>0.11354802339575776</v>
      </c>
      <c r="I113" s="4">
        <f t="shared" si="28"/>
        <v>6.0519623656002608E-2</v>
      </c>
      <c r="T113">
        <v>107</v>
      </c>
      <c r="U113" s="4">
        <v>-2.3190223502361565E-2</v>
      </c>
      <c r="V113" s="4"/>
      <c r="W113">
        <v>108</v>
      </c>
      <c r="X113">
        <f t="shared" ca="1" si="29"/>
        <v>0.96367453497322098</v>
      </c>
      <c r="Y113">
        <f t="shared" ca="1" si="29"/>
        <v>1.1346293628215622</v>
      </c>
      <c r="Z113">
        <f t="shared" ca="1" si="29"/>
        <v>1.0964888623312912</v>
      </c>
      <c r="AA113" s="4"/>
      <c r="AB113">
        <v>108</v>
      </c>
      <c r="AC113" s="24">
        <f t="shared" ca="1" si="19"/>
        <v>0.96367453497322098</v>
      </c>
      <c r="AD113" s="24">
        <f t="shared" ca="1" si="20"/>
        <v>1.3976441011239635</v>
      </c>
      <c r="AE113" s="24">
        <f t="shared" ca="1" si="21"/>
        <v>1.6562727229684762</v>
      </c>
      <c r="AF113" s="24"/>
      <c r="AG113">
        <v>108</v>
      </c>
      <c r="AH113">
        <f t="shared" ca="1" si="30"/>
        <v>314.5542816601469</v>
      </c>
      <c r="AI113">
        <f t="shared" ca="1" si="31"/>
        <v>169.10427249714743</v>
      </c>
      <c r="AJ113">
        <f t="shared" ca="1" si="32"/>
        <v>54.612117120029474</v>
      </c>
      <c r="AL113">
        <v>108</v>
      </c>
      <c r="AM113" s="4">
        <f t="shared" ca="1" si="22"/>
        <v>1.6527530953950542E-2</v>
      </c>
      <c r="AN113" s="4">
        <f t="shared" ca="1" si="23"/>
        <v>2.9491526557374081E-2</v>
      </c>
      <c r="AO113" s="4">
        <f t="shared" ca="1" si="24"/>
        <v>2.9834402737160648E-2</v>
      </c>
      <c r="AP113" s="4">
        <f t="shared" ca="1" si="25"/>
        <v>2.570519073028299E-2</v>
      </c>
    </row>
    <row r="114" spans="1:42" x14ac:dyDescent="0.3">
      <c r="A114" s="1">
        <v>45757</v>
      </c>
      <c r="B114" s="3">
        <f>Data!B111</f>
        <v>224.92756652832</v>
      </c>
      <c r="C114" s="3">
        <f>Data!H111</f>
        <v>104.36679077148401</v>
      </c>
      <c r="D114" s="3">
        <f>Data!N111</f>
        <v>35.44282913208</v>
      </c>
      <c r="F114" s="1">
        <v>45757</v>
      </c>
      <c r="G114" s="4">
        <f t="shared" si="26"/>
        <v>-3.0852606405270655E-2</v>
      </c>
      <c r="H114" s="4">
        <f t="shared" si="27"/>
        <v>-4.5837062976128662E-2</v>
      </c>
      <c r="I114" s="4">
        <f t="shared" si="28"/>
        <v>-3.4993404163236042E-2</v>
      </c>
      <c r="T114">
        <v>108</v>
      </c>
      <c r="U114" s="4">
        <v>-2.3030460301791865E-2</v>
      </c>
      <c r="V114" s="4"/>
      <c r="W114">
        <v>109</v>
      </c>
      <c r="X114">
        <f t="shared" ca="1" si="29"/>
        <v>0.18555236196367175</v>
      </c>
      <c r="Y114">
        <f t="shared" ca="1" si="29"/>
        <v>-1.1705490005579546</v>
      </c>
      <c r="Z114">
        <f t="shared" ca="1" si="29"/>
        <v>-0.56194441509036419</v>
      </c>
      <c r="AA114" s="4"/>
      <c r="AB114">
        <v>109</v>
      </c>
      <c r="AC114" s="24">
        <f t="shared" ca="1" si="19"/>
        <v>0.18555236196367175</v>
      </c>
      <c r="AD114" s="24">
        <f t="shared" ca="1" si="20"/>
        <v>-0.41531258448463637</v>
      </c>
      <c r="AE114" s="24">
        <f t="shared" ca="1" si="21"/>
        <v>-0.45686876455360004</v>
      </c>
      <c r="AF114" s="24"/>
      <c r="AG114">
        <v>109</v>
      </c>
      <c r="AH114">
        <f t="shared" ca="1" si="30"/>
        <v>310.41963230356907</v>
      </c>
      <c r="AI114">
        <f t="shared" ca="1" si="31"/>
        <v>162.84867855857391</v>
      </c>
      <c r="AJ114">
        <f t="shared" ca="1" si="32"/>
        <v>52.60198918619745</v>
      </c>
      <c r="AL114">
        <v>109</v>
      </c>
      <c r="AM114" s="4">
        <f t="shared" ca="1" si="22"/>
        <v>3.1658151965938686E-3</v>
      </c>
      <c r="AN114" s="4">
        <f t="shared" ca="1" si="23"/>
        <v>-8.5919639319259611E-3</v>
      </c>
      <c r="AO114" s="4">
        <f t="shared" ca="1" si="24"/>
        <v>-8.0710843475720884E-3</v>
      </c>
      <c r="AP114" s="4">
        <f t="shared" ca="1" si="25"/>
        <v>-4.9083663180638504E-3</v>
      </c>
    </row>
    <row r="115" spans="1:42" x14ac:dyDescent="0.3">
      <c r="A115" s="1">
        <v>45758</v>
      </c>
      <c r="B115" s="3">
        <f>Data!B112</f>
        <v>233.93022155761699</v>
      </c>
      <c r="C115" s="3">
        <f>Data!H112</f>
        <v>105.87480926513599</v>
      </c>
      <c r="D115" s="3">
        <f>Data!N112</f>
        <v>35.541698455810497</v>
      </c>
      <c r="F115" s="1">
        <v>45758</v>
      </c>
      <c r="G115" s="4">
        <f t="shared" si="26"/>
        <v>4.0024685138642102E-2</v>
      </c>
      <c r="H115" s="4">
        <f t="shared" si="27"/>
        <v>1.4449217825944993E-2</v>
      </c>
      <c r="I115" s="4">
        <f t="shared" si="28"/>
        <v>2.7895437850644633E-3</v>
      </c>
      <c r="T115">
        <v>109</v>
      </c>
      <c r="U115" s="4">
        <v>-2.3029920783900037E-2</v>
      </c>
      <c r="V115" s="4"/>
      <c r="W115">
        <v>110</v>
      </c>
      <c r="X115">
        <f t="shared" ca="1" si="29"/>
        <v>-1.0857200629594186</v>
      </c>
      <c r="Y115">
        <f t="shared" ca="1" si="29"/>
        <v>1.0750566325243749</v>
      </c>
      <c r="Z115">
        <f t="shared" ca="1" si="29"/>
        <v>0.46196692708267312</v>
      </c>
      <c r="AA115" s="4"/>
      <c r="AB115">
        <v>110</v>
      </c>
      <c r="AC115" s="24">
        <f t="shared" ca="1" si="19"/>
        <v>-1.0857200629594186</v>
      </c>
      <c r="AD115" s="24">
        <f t="shared" ca="1" si="20"/>
        <v>-0.41504531545799939</v>
      </c>
      <c r="AE115" s="24">
        <f t="shared" ca="1" si="21"/>
        <v>-0.35497276111732801</v>
      </c>
      <c r="AF115" s="24"/>
      <c r="AG115">
        <v>110</v>
      </c>
      <c r="AH115">
        <f t="shared" ca="1" si="30"/>
        <v>303.78117090846763</v>
      </c>
      <c r="AI115">
        <f t="shared" ca="1" si="31"/>
        <v>162.84958349918614</v>
      </c>
      <c r="AJ115">
        <f t="shared" ca="1" si="32"/>
        <v>52.697197776983089</v>
      </c>
      <c r="AL115">
        <v>110</v>
      </c>
      <c r="AM115" s="4">
        <f t="shared" ca="1" si="22"/>
        <v>-1.8287330300838955E-2</v>
      </c>
      <c r="AN115" s="4">
        <f t="shared" ca="1" si="23"/>
        <v>-8.5864547352713094E-3</v>
      </c>
      <c r="AO115" s="4">
        <f t="shared" ca="1" si="24"/>
        <v>-6.2757120493021068E-3</v>
      </c>
      <c r="AP115" s="4">
        <f t="shared" ca="1" si="25"/>
        <v>-1.0803494599150844E-2</v>
      </c>
    </row>
    <row r="116" spans="1:42" x14ac:dyDescent="0.3">
      <c r="A116" s="1">
        <v>45761</v>
      </c>
      <c r="B116" s="3">
        <f>Data!B113</f>
        <v>232.464431762695</v>
      </c>
      <c r="C116" s="3">
        <f>Data!H113</f>
        <v>106.84425354003901</v>
      </c>
      <c r="D116" s="3">
        <f>Data!N113</f>
        <v>36.253517150878899</v>
      </c>
      <c r="F116" s="1">
        <v>45761</v>
      </c>
      <c r="G116" s="4">
        <f t="shared" si="26"/>
        <v>-6.2659274426454248E-3</v>
      </c>
      <c r="H116" s="4">
        <f t="shared" si="27"/>
        <v>9.1565149598078488E-3</v>
      </c>
      <c r="I116" s="4">
        <f t="shared" si="28"/>
        <v>2.0027706215374419E-2</v>
      </c>
      <c r="T116">
        <v>110</v>
      </c>
      <c r="U116" s="4">
        <v>-2.3027069341084814E-2</v>
      </c>
      <c r="V116" s="4"/>
      <c r="W116">
        <v>111</v>
      </c>
      <c r="X116">
        <f t="shared" ca="1" si="29"/>
        <v>0.73658951261203609</v>
      </c>
      <c r="Y116">
        <f t="shared" ca="1" si="29"/>
        <v>0.83671617363934769</v>
      </c>
      <c r="Z116">
        <f t="shared" ca="1" si="29"/>
        <v>-0.25250708149388479</v>
      </c>
      <c r="AA116" s="4"/>
      <c r="AB116">
        <v>111</v>
      </c>
      <c r="AC116" s="24">
        <f t="shared" ca="1" si="19"/>
        <v>0.73658951261203609</v>
      </c>
      <c r="AD116" s="24">
        <f t="shared" ca="1" si="20"/>
        <v>1.0532463408844288</v>
      </c>
      <c r="AE116" s="24">
        <f t="shared" ca="1" si="21"/>
        <v>0.70404555422504567</v>
      </c>
      <c r="AF116" s="24"/>
      <c r="AG116">
        <v>111</v>
      </c>
      <c r="AH116">
        <f t="shared" ca="1" si="30"/>
        <v>313.34197864056449</v>
      </c>
      <c r="AI116">
        <f t="shared" ca="1" si="31"/>
        <v>167.89771802223413</v>
      </c>
      <c r="AJ116">
        <f t="shared" ca="1" si="32"/>
        <v>53.696973555782385</v>
      </c>
      <c r="AL116">
        <v>111</v>
      </c>
      <c r="AM116" s="4">
        <f t="shared" ca="1" si="22"/>
        <v>1.2609798889519297E-2</v>
      </c>
      <c r="AN116" s="4">
        <f t="shared" ca="1" si="23"/>
        <v>2.2146131967925697E-2</v>
      </c>
      <c r="AO116" s="4">
        <f t="shared" ca="1" si="24"/>
        <v>1.2577310802163844E-2</v>
      </c>
      <c r="AP116" s="4">
        <f t="shared" ca="1" si="25"/>
        <v>1.6414585694675222E-2</v>
      </c>
    </row>
    <row r="117" spans="1:42" x14ac:dyDescent="0.3">
      <c r="A117" s="1">
        <v>45762</v>
      </c>
      <c r="B117" s="3">
        <f>Data!B114</f>
        <v>230.88973999023401</v>
      </c>
      <c r="C117" s="3">
        <f>Data!H114</f>
        <v>108.14663696289</v>
      </c>
      <c r="D117" s="3">
        <f>Data!N114</f>
        <v>37.558528900146399</v>
      </c>
      <c r="F117" s="1">
        <v>45762</v>
      </c>
      <c r="G117" s="4">
        <f t="shared" si="26"/>
        <v>-6.7739041216785534E-3</v>
      </c>
      <c r="H117" s="4">
        <f t="shared" si="27"/>
        <v>1.2189550487738066E-2</v>
      </c>
      <c r="I117" s="4">
        <f t="shared" si="28"/>
        <v>3.599683153047839E-2</v>
      </c>
      <c r="T117">
        <v>111</v>
      </c>
      <c r="U117" s="4">
        <v>-2.287325656163243E-2</v>
      </c>
      <c r="V117" s="4"/>
      <c r="W117">
        <v>112</v>
      </c>
      <c r="X117">
        <f t="shared" ca="1" si="29"/>
        <v>-1.3273336207840323</v>
      </c>
      <c r="Y117">
        <f t="shared" ca="1" si="29"/>
        <v>-0.1835651688102162</v>
      </c>
      <c r="Z117">
        <f t="shared" ca="1" si="29"/>
        <v>1.0306386374347558</v>
      </c>
      <c r="AA117" s="4"/>
      <c r="AB117">
        <v>112</v>
      </c>
      <c r="AC117" s="24">
        <f t="shared" ca="1" si="19"/>
        <v>-1.3273336207840323</v>
      </c>
      <c r="AD117" s="24">
        <f t="shared" ca="1" si="20"/>
        <v>-1.2454647232405762</v>
      </c>
      <c r="AE117" s="24">
        <f t="shared" ca="1" si="21"/>
        <v>-0.61101281667561391</v>
      </c>
      <c r="AF117" s="24"/>
      <c r="AG117">
        <v>112</v>
      </c>
      <c r="AH117">
        <f t="shared" ca="1" si="30"/>
        <v>302.5356367675376</v>
      </c>
      <c r="AI117">
        <f t="shared" ca="1" si="31"/>
        <v>160.06200988189335</v>
      </c>
      <c r="AJ117">
        <f t="shared" ca="1" si="32"/>
        <v>52.458288404148654</v>
      </c>
      <c r="AL117">
        <v>112</v>
      </c>
      <c r="AM117" s="4">
        <f t="shared" ca="1" si="22"/>
        <v>-2.2312453526999287E-2</v>
      </c>
      <c r="AN117" s="4">
        <f t="shared" ca="1" si="23"/>
        <v>-2.5556950963899983E-2</v>
      </c>
      <c r="AO117" s="4">
        <f t="shared" ca="1" si="24"/>
        <v>-1.0780886070307472E-2</v>
      </c>
      <c r="AP117" s="4">
        <f t="shared" ca="1" si="25"/>
        <v>-2.0150782264752025E-2</v>
      </c>
    </row>
    <row r="118" spans="1:42" x14ac:dyDescent="0.3">
      <c r="A118" s="1">
        <v>45763</v>
      </c>
      <c r="B118" s="3">
        <f>Data!B115</f>
        <v>227.403549194335</v>
      </c>
      <c r="C118" s="3">
        <f>Data!H115</f>
        <v>105.620216369628</v>
      </c>
      <c r="D118" s="3">
        <f>Data!N115</f>
        <v>36.9060249328613</v>
      </c>
      <c r="F118" s="1">
        <v>45763</v>
      </c>
      <c r="G118" s="4">
        <f t="shared" si="26"/>
        <v>-1.509894201468831E-2</v>
      </c>
      <c r="H118" s="4">
        <f t="shared" si="27"/>
        <v>-2.3361064793248509E-2</v>
      </c>
      <c r="I118" s="4">
        <f t="shared" si="28"/>
        <v>-1.737299054017416E-2</v>
      </c>
      <c r="T118">
        <v>112</v>
      </c>
      <c r="U118" s="4">
        <v>-2.2786225179163601E-2</v>
      </c>
      <c r="V118" s="4"/>
      <c r="W118">
        <v>113</v>
      </c>
      <c r="X118">
        <f t="shared" ca="1" si="29"/>
        <v>0.31937229037437254</v>
      </c>
      <c r="Y118">
        <f t="shared" ca="1" si="29"/>
        <v>-1.9387578049464282</v>
      </c>
      <c r="Z118">
        <f t="shared" ca="1" si="29"/>
        <v>-0.56545133836139716</v>
      </c>
      <c r="AA118" s="4"/>
      <c r="AB118">
        <v>113</v>
      </c>
      <c r="AC118" s="24">
        <f t="shared" ca="1" si="19"/>
        <v>0.31937229037437254</v>
      </c>
      <c r="AD118" s="24">
        <f t="shared" ca="1" si="20"/>
        <v>-0.67739255157266254</v>
      </c>
      <c r="AE118" s="24">
        <f t="shared" ca="1" si="21"/>
        <v>-0.56148260115038195</v>
      </c>
      <c r="AF118" s="24"/>
      <c r="AG118">
        <v>113</v>
      </c>
      <c r="AH118">
        <f t="shared" ca="1" si="30"/>
        <v>311.12681158936431</v>
      </c>
      <c r="AI118">
        <f t="shared" ca="1" si="31"/>
        <v>161.96372320745644</v>
      </c>
      <c r="AJ118">
        <f t="shared" ca="1" si="32"/>
        <v>52.504420087855294</v>
      </c>
      <c r="AL118">
        <v>113</v>
      </c>
      <c r="AM118" s="4">
        <f t="shared" ca="1" si="22"/>
        <v>5.451167058718287E-3</v>
      </c>
      <c r="AN118" s="4">
        <f t="shared" ca="1" si="23"/>
        <v>-1.3979492123281534E-2</v>
      </c>
      <c r="AO118" s="4">
        <f t="shared" ca="1" si="24"/>
        <v>-9.9109693294334722E-3</v>
      </c>
      <c r="AP118" s="4">
        <f t="shared" ca="1" si="25"/>
        <v>-6.9297375305271691E-3</v>
      </c>
    </row>
    <row r="119" spans="1:42" x14ac:dyDescent="0.3">
      <c r="A119" s="1">
        <v>45764</v>
      </c>
      <c r="B119" s="3">
        <f>Data!B116</f>
        <v>229.73097229003901</v>
      </c>
      <c r="C119" s="3">
        <f>Data!H116</f>
        <v>106.912803649902</v>
      </c>
      <c r="D119" s="3">
        <f>Data!N116</f>
        <v>36.985115051269503</v>
      </c>
      <c r="F119" s="1">
        <v>45764</v>
      </c>
      <c r="G119" s="4">
        <f t="shared" si="26"/>
        <v>1.0234770318888087E-2</v>
      </c>
      <c r="H119" s="4">
        <f t="shared" si="27"/>
        <v>1.2238066960121197E-2</v>
      </c>
      <c r="I119" s="4">
        <f t="shared" si="28"/>
        <v>2.1430137369733426E-3</v>
      </c>
      <c r="T119">
        <v>113</v>
      </c>
      <c r="U119" s="4">
        <v>-2.2668964573917594E-2</v>
      </c>
      <c r="V119" s="4"/>
      <c r="W119">
        <v>114</v>
      </c>
      <c r="X119">
        <f t="shared" ca="1" si="29"/>
        <v>0.89644862225873856</v>
      </c>
      <c r="Y119">
        <f t="shared" ca="1" si="29"/>
        <v>1.9672014436041836</v>
      </c>
      <c r="Z119">
        <f t="shared" ca="1" si="29"/>
        <v>-1.918008496038385</v>
      </c>
      <c r="AA119" s="4"/>
      <c r="AB119">
        <v>114</v>
      </c>
      <c r="AC119" s="24">
        <f t="shared" ca="1" si="19"/>
        <v>0.89644862225873856</v>
      </c>
      <c r="AD119" s="24">
        <f t="shared" ca="1" si="20"/>
        <v>1.7493869737627414</v>
      </c>
      <c r="AE119" s="24">
        <f t="shared" ca="1" si="21"/>
        <v>0.30132570516791157</v>
      </c>
      <c r="AF119" s="24"/>
      <c r="AG119">
        <v>114</v>
      </c>
      <c r="AH119">
        <f t="shared" ca="1" si="30"/>
        <v>314.194905357869</v>
      </c>
      <c r="AI119">
        <f t="shared" ca="1" si="31"/>
        <v>170.34551006360169</v>
      </c>
      <c r="AJ119">
        <f t="shared" ca="1" si="32"/>
        <v>53.314566507692334</v>
      </c>
      <c r="AL119">
        <v>114</v>
      </c>
      <c r="AM119" s="4">
        <f t="shared" ca="1" si="22"/>
        <v>1.5366154598461579E-2</v>
      </c>
      <c r="AN119" s="4">
        <f t="shared" ca="1" si="23"/>
        <v>3.7048068673309675E-2</v>
      </c>
      <c r="AO119" s="4">
        <f t="shared" ca="1" si="24"/>
        <v>5.3661650942113948E-3</v>
      </c>
      <c r="AP119" s="4">
        <f t="shared" ca="1" si="25"/>
        <v>2.1038923377125762E-2</v>
      </c>
    </row>
    <row r="120" spans="1:42" x14ac:dyDescent="0.3">
      <c r="A120" s="1">
        <v>45768</v>
      </c>
      <c r="B120" s="3">
        <f>Data!B117</f>
        <v>226.78950500488199</v>
      </c>
      <c r="C120" s="3">
        <f>Data!H117</f>
        <v>104.09261322021401</v>
      </c>
      <c r="D120" s="3">
        <f>Data!N117</f>
        <v>36.500679016113203</v>
      </c>
      <c r="F120" s="1">
        <v>45768</v>
      </c>
      <c r="G120" s="4">
        <f t="shared" si="26"/>
        <v>-1.2803964810819579E-2</v>
      </c>
      <c r="H120" s="4">
        <f t="shared" si="27"/>
        <v>-2.6378416180376507E-2</v>
      </c>
      <c r="I120" s="4">
        <f t="shared" si="28"/>
        <v>-1.3098135141252465E-2</v>
      </c>
      <c r="T120">
        <v>114</v>
      </c>
      <c r="U120" s="4">
        <v>-2.2623653709323569E-2</v>
      </c>
      <c r="V120" s="4"/>
      <c r="W120">
        <v>115</v>
      </c>
      <c r="X120">
        <f t="shared" ca="1" si="29"/>
        <v>-0.15240102490078083</v>
      </c>
      <c r="Y120">
        <f t="shared" ca="1" si="29"/>
        <v>-0.38863241997428166</v>
      </c>
      <c r="Z120">
        <f t="shared" ca="1" si="29"/>
        <v>0.7437853734255212</v>
      </c>
      <c r="AA120" s="4"/>
      <c r="AB120">
        <v>115</v>
      </c>
      <c r="AC120" s="24">
        <f t="shared" ca="1" si="19"/>
        <v>-0.15240102490078083</v>
      </c>
      <c r="AD120" s="24">
        <f t="shared" ca="1" si="20"/>
        <v>-0.32411044536427358</v>
      </c>
      <c r="AE120" s="24">
        <f t="shared" ca="1" si="21"/>
        <v>0.14580813012760796</v>
      </c>
      <c r="AF120" s="24"/>
      <c r="AG120">
        <v>115</v>
      </c>
      <c r="AH120">
        <f t="shared" ca="1" si="30"/>
        <v>308.64084498144354</v>
      </c>
      <c r="AI120">
        <f t="shared" ca="1" si="31"/>
        <v>163.15777007930217</v>
      </c>
      <c r="AJ120">
        <f t="shared" ca="1" si="32"/>
        <v>53.167623048305039</v>
      </c>
      <c r="AL120">
        <v>115</v>
      </c>
      <c r="AM120" s="4">
        <f t="shared" ca="1" si="22"/>
        <v>-2.5825925984273024E-3</v>
      </c>
      <c r="AN120" s="4">
        <f t="shared" ca="1" si="23"/>
        <v>-6.7102426908152157E-3</v>
      </c>
      <c r="AO120" s="4">
        <f t="shared" ca="1" si="24"/>
        <v>2.5952153908397335E-3</v>
      </c>
      <c r="AP120" s="4">
        <f t="shared" ca="1" si="25"/>
        <v>-2.680310238602357E-3</v>
      </c>
    </row>
    <row r="121" spans="1:42" x14ac:dyDescent="0.3">
      <c r="A121" s="1">
        <v>45769</v>
      </c>
      <c r="B121" s="3">
        <f>Data!B118</f>
        <v>233.326080322265</v>
      </c>
      <c r="C121" s="3">
        <f>Data!H118</f>
        <v>108.087882995605</v>
      </c>
      <c r="D121" s="3">
        <f>Data!N118</f>
        <v>37.884780883788999</v>
      </c>
      <c r="F121" s="1">
        <v>45769</v>
      </c>
      <c r="G121" s="4">
        <f t="shared" si="26"/>
        <v>2.8822212550101423E-2</v>
      </c>
      <c r="H121" s="4">
        <f t="shared" si="27"/>
        <v>3.8381876021680528E-2</v>
      </c>
      <c r="I121" s="4">
        <f t="shared" si="28"/>
        <v>3.7919893683752592E-2</v>
      </c>
      <c r="T121">
        <v>115</v>
      </c>
      <c r="U121" s="4">
        <v>-2.2535281769823914E-2</v>
      </c>
      <c r="V121" s="4"/>
      <c r="W121">
        <v>116</v>
      </c>
      <c r="X121">
        <f t="shared" ca="1" si="29"/>
        <v>-0.18645025351479674</v>
      </c>
      <c r="Y121">
        <f t="shared" ca="1" si="29"/>
        <v>0.10423423450745721</v>
      </c>
      <c r="Z121">
        <f t="shared" ca="1" si="29"/>
        <v>-2.7685202649861367</v>
      </c>
      <c r="AA121" s="4"/>
      <c r="AB121">
        <v>116</v>
      </c>
      <c r="AC121" s="24">
        <f t="shared" ca="1" si="19"/>
        <v>-0.18645025351479674</v>
      </c>
      <c r="AD121" s="24">
        <f t="shared" ca="1" si="20"/>
        <v>-0.11088433579595107</v>
      </c>
      <c r="AE121" s="24">
        <f t="shared" ca="1" si="21"/>
        <v>-1.5284791361005254</v>
      </c>
      <c r="AF121" s="24"/>
      <c r="AG121">
        <v>116</v>
      </c>
      <c r="AH121">
        <f t="shared" ca="1" si="30"/>
        <v>308.46219610417148</v>
      </c>
      <c r="AI121">
        <f t="shared" ca="1" si="31"/>
        <v>163.88270192526272</v>
      </c>
      <c r="AJ121">
        <f t="shared" ca="1" si="32"/>
        <v>51.611065901008963</v>
      </c>
      <c r="AL121">
        <v>116</v>
      </c>
      <c r="AM121" s="4">
        <f t="shared" ca="1" si="22"/>
        <v>-3.1599222127710602E-3</v>
      </c>
      <c r="AN121" s="4">
        <f t="shared" ca="1" si="23"/>
        <v>-2.2969231352103492E-3</v>
      </c>
      <c r="AO121" s="4">
        <f t="shared" ca="1" si="24"/>
        <v>-2.6757173504627585E-2</v>
      </c>
      <c r="AP121" s="4">
        <f t="shared" ca="1" si="25"/>
        <v>-9.8938979693037332E-3</v>
      </c>
    </row>
    <row r="122" spans="1:42" x14ac:dyDescent="0.3">
      <c r="A122" s="1">
        <v>45770</v>
      </c>
      <c r="B122" s="3">
        <f>Data!B119</f>
        <v>238.56524658203099</v>
      </c>
      <c r="C122" s="3">
        <f>Data!H119</f>
        <v>109.97779846191401</v>
      </c>
      <c r="D122" s="3">
        <f>Data!N119</f>
        <v>38.3098945617675</v>
      </c>
      <c r="F122" s="1">
        <v>45770</v>
      </c>
      <c r="G122" s="4">
        <f t="shared" si="26"/>
        <v>2.2454267660648064E-2</v>
      </c>
      <c r="H122" s="4">
        <f t="shared" si="27"/>
        <v>1.7484989195188927E-2</v>
      </c>
      <c r="I122" s="4">
        <f t="shared" si="28"/>
        <v>1.1221225728677897E-2</v>
      </c>
      <c r="T122">
        <v>116</v>
      </c>
      <c r="U122" s="4">
        <v>-2.247613328452585E-2</v>
      </c>
      <c r="V122" s="4"/>
      <c r="W122">
        <v>117</v>
      </c>
      <c r="X122">
        <f t="shared" ca="1" si="29"/>
        <v>-0.79516784603566881</v>
      </c>
      <c r="Y122">
        <f t="shared" ca="1" si="29"/>
        <v>-0.49176190008029924</v>
      </c>
      <c r="Z122">
        <f t="shared" ca="1" si="29"/>
        <v>8.8307887600402243E-2</v>
      </c>
      <c r="AA122" s="4"/>
      <c r="AB122">
        <v>117</v>
      </c>
      <c r="AC122" s="24">
        <f t="shared" ca="1" si="19"/>
        <v>-0.79516784603566881</v>
      </c>
      <c r="AD122" s="24">
        <f t="shared" ca="1" si="20"/>
        <v>-0.93424718762096004</v>
      </c>
      <c r="AE122" s="24">
        <f t="shared" ca="1" si="21"/>
        <v>-0.73996893997349122</v>
      </c>
      <c r="AF122" s="24"/>
      <c r="AG122">
        <v>117</v>
      </c>
      <c r="AH122">
        <f t="shared" ca="1" si="30"/>
        <v>305.28578000746444</v>
      </c>
      <c r="AI122">
        <f t="shared" ca="1" si="31"/>
        <v>161.10107837296653</v>
      </c>
      <c r="AJ122">
        <f t="shared" ca="1" si="32"/>
        <v>52.338370700357025</v>
      </c>
      <c r="AL122">
        <v>117</v>
      </c>
      <c r="AM122" s="4">
        <f t="shared" ca="1" si="22"/>
        <v>-1.3424968979982466E-2</v>
      </c>
      <c r="AN122" s="4">
        <f t="shared" ca="1" si="23"/>
        <v>-1.9231195905933363E-2</v>
      </c>
      <c r="AO122" s="4">
        <f t="shared" ca="1" si="24"/>
        <v>-1.3042204315678485E-2</v>
      </c>
      <c r="AP122" s="4">
        <f t="shared" ca="1" si="25"/>
        <v>-1.5632630351071628E-2</v>
      </c>
    </row>
    <row r="123" spans="1:42" x14ac:dyDescent="0.3">
      <c r="A123" s="1">
        <v>45771</v>
      </c>
      <c r="B123" s="3">
        <f>Data!B120</f>
        <v>242.28910827636699</v>
      </c>
      <c r="C123" s="3">
        <f>Data!H120</f>
        <v>113.199485778808</v>
      </c>
      <c r="D123" s="3">
        <f>Data!N120</f>
        <v>39.130474090576101</v>
      </c>
      <c r="F123" s="1">
        <v>45771</v>
      </c>
      <c r="G123" s="4">
        <f t="shared" si="26"/>
        <v>1.5609405593180359E-2</v>
      </c>
      <c r="H123" s="4">
        <f t="shared" si="27"/>
        <v>2.9293978984400892E-2</v>
      </c>
      <c r="I123" s="4">
        <f t="shared" si="28"/>
        <v>2.1419519374702878E-2</v>
      </c>
      <c r="T123">
        <v>117</v>
      </c>
      <c r="U123" s="4">
        <v>-2.2466520831121651E-2</v>
      </c>
      <c r="V123" s="4"/>
      <c r="W123">
        <v>118</v>
      </c>
      <c r="X123">
        <f t="shared" ca="1" si="29"/>
        <v>-0.32280933886562646</v>
      </c>
      <c r="Y123">
        <f t="shared" ca="1" si="29"/>
        <v>-1.2416096360309041</v>
      </c>
      <c r="Z123">
        <f t="shared" ca="1" si="29"/>
        <v>1.4704908369114547</v>
      </c>
      <c r="AA123" s="4"/>
      <c r="AB123">
        <v>118</v>
      </c>
      <c r="AC123" s="24">
        <f t="shared" ca="1" si="19"/>
        <v>-0.32280933886562646</v>
      </c>
      <c r="AD123" s="24">
        <f t="shared" ca="1" si="20"/>
        <v>-0.89269152126574713</v>
      </c>
      <c r="AE123" s="24">
        <f t="shared" ca="1" si="21"/>
        <v>0.14006909992525551</v>
      </c>
      <c r="AF123" s="24"/>
      <c r="AG123">
        <v>118</v>
      </c>
      <c r="AH123">
        <f t="shared" ca="1" si="30"/>
        <v>307.7477854000561</v>
      </c>
      <c r="AI123">
        <f t="shared" ca="1" si="31"/>
        <v>161.24033065774799</v>
      </c>
      <c r="AJ123">
        <f t="shared" ca="1" si="32"/>
        <v>53.162208182208261</v>
      </c>
      <c r="AL123">
        <v>118</v>
      </c>
      <c r="AM123" s="4">
        <f t="shared" ca="1" si="22"/>
        <v>-5.4686434462213329E-3</v>
      </c>
      <c r="AN123" s="4">
        <f t="shared" ca="1" si="23"/>
        <v>-1.838344058243202E-2</v>
      </c>
      <c r="AO123" s="4">
        <f t="shared" ca="1" si="24"/>
        <v>2.4931059014672297E-3</v>
      </c>
      <c r="AP123" s="4">
        <f t="shared" ca="1" si="25"/>
        <v>-8.2460374963990394E-3</v>
      </c>
    </row>
    <row r="124" spans="1:42" x14ac:dyDescent="0.3">
      <c r="A124" s="1">
        <v>45772</v>
      </c>
      <c r="B124" s="3">
        <f>Data!B121</f>
        <v>241.20959472656199</v>
      </c>
      <c r="C124" s="3">
        <f>Data!H121</f>
        <v>113.600982666015</v>
      </c>
      <c r="D124" s="3">
        <f>Data!N121</f>
        <v>39.239219665527301</v>
      </c>
      <c r="F124" s="1">
        <v>45772</v>
      </c>
      <c r="G124" s="4">
        <f t="shared" si="26"/>
        <v>-4.4554770021839607E-3</v>
      </c>
      <c r="H124" s="4">
        <f t="shared" si="27"/>
        <v>3.5468084015111145E-3</v>
      </c>
      <c r="I124" s="4">
        <f t="shared" si="28"/>
        <v>2.7790507904270623E-3</v>
      </c>
      <c r="T124">
        <v>118</v>
      </c>
      <c r="U124" s="4">
        <v>-2.2260116508014006E-2</v>
      </c>
      <c r="V124" s="4"/>
      <c r="W124">
        <v>119</v>
      </c>
      <c r="X124">
        <f t="shared" ca="1" si="29"/>
        <v>-0.62209075588813156</v>
      </c>
      <c r="Y124">
        <f t="shared" ca="1" si="29"/>
        <v>-6.7864778736291806E-2</v>
      </c>
      <c r="Z124">
        <f t="shared" ca="1" si="29"/>
        <v>-8.4557320617624332E-2</v>
      </c>
      <c r="AA124" s="4"/>
      <c r="AB124">
        <v>119</v>
      </c>
      <c r="AC124" s="24">
        <f t="shared" ca="1" si="19"/>
        <v>-0.62209075588813156</v>
      </c>
      <c r="AD124" s="24">
        <f t="shared" ca="1" si="20"/>
        <v>-0.57476859297013738</v>
      </c>
      <c r="AE124" s="24">
        <f t="shared" ca="1" si="21"/>
        <v>-0.5694151774577817</v>
      </c>
      <c r="AF124" s="24"/>
      <c r="AG124">
        <v>119</v>
      </c>
      <c r="AH124">
        <f t="shared" ca="1" si="30"/>
        <v>306.1855898477362</v>
      </c>
      <c r="AI124">
        <f t="shared" ca="1" si="31"/>
        <v>162.30967527249263</v>
      </c>
      <c r="AJ124">
        <f t="shared" ca="1" si="32"/>
        <v>52.497029080443319</v>
      </c>
      <c r="AL124">
        <v>119</v>
      </c>
      <c r="AM124" s="4">
        <f t="shared" ca="1" si="22"/>
        <v>-1.0517103696979446E-2</v>
      </c>
      <c r="AN124" s="4">
        <f t="shared" ca="1" si="23"/>
        <v>-1.1873367220045949E-2</v>
      </c>
      <c r="AO124" s="4">
        <f t="shared" ca="1" si="24"/>
        <v>-1.0050343411690865E-2</v>
      </c>
      <c r="AP124" s="4">
        <f t="shared" ca="1" si="25"/>
        <v>-1.0919581020619473E-2</v>
      </c>
    </row>
    <row r="125" spans="1:42" x14ac:dyDescent="0.3">
      <c r="A125" s="1">
        <v>45775</v>
      </c>
      <c r="B125" s="3">
        <f>Data!B122</f>
        <v>240.88275146484301</v>
      </c>
      <c r="C125" s="3">
        <f>Data!H122</f>
        <v>113.42470550537099</v>
      </c>
      <c r="D125" s="3">
        <f>Data!N122</f>
        <v>39.328197479247997</v>
      </c>
      <c r="F125" s="1">
        <v>45775</v>
      </c>
      <c r="G125" s="4">
        <f t="shared" si="26"/>
        <v>-1.3550176645729106E-3</v>
      </c>
      <c r="H125" s="4">
        <f t="shared" si="27"/>
        <v>-1.5517221462973962E-3</v>
      </c>
      <c r="I125" s="4">
        <f t="shared" si="28"/>
        <v>2.2675734756996135E-3</v>
      </c>
      <c r="T125">
        <v>119</v>
      </c>
      <c r="U125" s="4">
        <v>-2.2102289568175816E-2</v>
      </c>
      <c r="V125" s="4"/>
      <c r="W125">
        <v>120</v>
      </c>
      <c r="X125">
        <f t="shared" ca="1" si="29"/>
        <v>-0.16772449404998885</v>
      </c>
      <c r="Y125">
        <f t="shared" ca="1" si="29"/>
        <v>-1.5393307360193751</v>
      </c>
      <c r="Z125">
        <f t="shared" ca="1" si="29"/>
        <v>1.1686052853066524</v>
      </c>
      <c r="AA125" s="4"/>
      <c r="AB125">
        <v>120</v>
      </c>
      <c r="AC125" s="24">
        <f t="shared" ca="1" si="19"/>
        <v>-0.16772449404998885</v>
      </c>
      <c r="AD125" s="24">
        <f t="shared" ca="1" si="20"/>
        <v>-0.90443929150946623</v>
      </c>
      <c r="AE125" s="24">
        <f t="shared" ca="1" si="21"/>
        <v>3.1257018768958256E-2</v>
      </c>
      <c r="AF125" s="24"/>
      <c r="AG125">
        <v>120</v>
      </c>
      <c r="AH125">
        <f t="shared" ca="1" si="30"/>
        <v>308.56043327991108</v>
      </c>
      <c r="AI125">
        <f t="shared" ca="1" si="31"/>
        <v>161.20095189308367</v>
      </c>
      <c r="AJ125">
        <f t="shared" ca="1" si="32"/>
        <v>53.059646544005041</v>
      </c>
      <c r="AL125">
        <v>120</v>
      </c>
      <c r="AM125" s="4">
        <f t="shared" ca="1" si="22"/>
        <v>-2.8424546101194492E-3</v>
      </c>
      <c r="AN125" s="4">
        <f t="shared" ca="1" si="23"/>
        <v>-1.8623174942478449E-2</v>
      </c>
      <c r="AO125" s="4">
        <f t="shared" ca="1" si="24"/>
        <v>5.5907534208388121E-4</v>
      </c>
      <c r="AP125" s="4">
        <f t="shared" ca="1" si="25"/>
        <v>-8.1342837574020516E-3</v>
      </c>
    </row>
    <row r="126" spans="1:42" x14ac:dyDescent="0.3">
      <c r="A126" s="1">
        <v>45776</v>
      </c>
      <c r="B126" s="3">
        <f>Data!B123</f>
        <v>242.26930236816401</v>
      </c>
      <c r="C126" s="3">
        <f>Data!H123</f>
        <v>113.796813964843</v>
      </c>
      <c r="D126" s="3">
        <f>Data!N123</f>
        <v>39.535812377929602</v>
      </c>
      <c r="F126" s="1">
        <v>45776</v>
      </c>
      <c r="G126" s="4">
        <f t="shared" si="26"/>
        <v>5.7561236530601079E-3</v>
      </c>
      <c r="H126" s="4">
        <f t="shared" si="27"/>
        <v>3.2806649822367806E-3</v>
      </c>
      <c r="I126" s="4">
        <f t="shared" si="28"/>
        <v>5.2790341787507522E-3</v>
      </c>
      <c r="T126">
        <v>120</v>
      </c>
      <c r="U126" s="4">
        <v>-2.2087847962046624E-2</v>
      </c>
      <c r="V126" s="4"/>
      <c r="W126">
        <v>121</v>
      </c>
      <c r="X126">
        <f t="shared" ca="1" si="29"/>
        <v>-0.10507256686214501</v>
      </c>
      <c r="Y126">
        <f t="shared" ca="1" si="29"/>
        <v>-0.24988844239993857</v>
      </c>
      <c r="Z126">
        <f t="shared" ca="1" si="29"/>
        <v>-0.85118848086853149</v>
      </c>
      <c r="AA126" s="4"/>
      <c r="AB126">
        <v>121</v>
      </c>
      <c r="AC126" s="24">
        <f t="shared" ca="1" si="19"/>
        <v>-0.10507256686214501</v>
      </c>
      <c r="AD126" s="24">
        <f t="shared" ca="1" si="20"/>
        <v>-0.21456165766932961</v>
      </c>
      <c r="AE126" s="24">
        <f t="shared" ca="1" si="21"/>
        <v>-0.58673525455194231</v>
      </c>
      <c r="AF126" s="24"/>
      <c r="AG126">
        <v>121</v>
      </c>
      <c r="AH126">
        <f t="shared" ca="1" si="30"/>
        <v>308.8893389553445</v>
      </c>
      <c r="AI126">
        <f t="shared" ca="1" si="31"/>
        <v>163.52981555301284</v>
      </c>
      <c r="AJ126">
        <f t="shared" ca="1" si="32"/>
        <v>52.480895086662464</v>
      </c>
      <c r="AL126">
        <v>121</v>
      </c>
      <c r="AM126" s="4">
        <f t="shared" ca="1" si="22"/>
        <v>-1.779548480212445E-3</v>
      </c>
      <c r="AN126" s="4">
        <f t="shared" ca="1" si="23"/>
        <v>-4.4452634740090868E-3</v>
      </c>
      <c r="AO126" s="4">
        <f t="shared" ca="1" si="24"/>
        <v>-1.0354586182806158E-2</v>
      </c>
      <c r="AP126" s="4">
        <f t="shared" ca="1" si="25"/>
        <v>-5.418345788509216E-3</v>
      </c>
    </row>
    <row r="127" spans="1:42" x14ac:dyDescent="0.3">
      <c r="A127" s="1">
        <v>45777</v>
      </c>
      <c r="B127" s="3">
        <f>Data!B124</f>
        <v>242.26930236816401</v>
      </c>
      <c r="C127" s="3">
        <f>Data!H124</f>
        <v>113.93007659912099</v>
      </c>
      <c r="D127" s="3">
        <f>Data!N124</f>
        <v>39.4270629882812</v>
      </c>
      <c r="F127" s="1">
        <v>45777</v>
      </c>
      <c r="G127" s="4">
        <f t="shared" si="26"/>
        <v>0</v>
      </c>
      <c r="H127" s="4">
        <f t="shared" si="27"/>
        <v>1.1710576916430515E-3</v>
      </c>
      <c r="I127" s="4">
        <f t="shared" si="28"/>
        <v>-2.7506552441327603E-3</v>
      </c>
      <c r="T127">
        <v>121</v>
      </c>
      <c r="U127" s="4">
        <v>-2.2063730010889328E-2</v>
      </c>
      <c r="V127" s="4"/>
      <c r="W127">
        <v>122</v>
      </c>
      <c r="X127">
        <f t="shared" ca="1" si="29"/>
        <v>-0.49931867138684882</v>
      </c>
      <c r="Y127">
        <f t="shared" ca="1" si="29"/>
        <v>-0.2106750896135883</v>
      </c>
      <c r="Z127">
        <f t="shared" ca="1" si="29"/>
        <v>-1.391575105435678</v>
      </c>
      <c r="AA127" s="4"/>
      <c r="AB127">
        <v>122</v>
      </c>
      <c r="AC127" s="24">
        <f t="shared" ca="1" si="19"/>
        <v>-0.49931867138684882</v>
      </c>
      <c r="AD127" s="24">
        <f t="shared" ca="1" si="20"/>
        <v>-0.53830348400984884</v>
      </c>
      <c r="AE127" s="24">
        <f t="shared" ca="1" si="21"/>
        <v>-1.1719593878056995</v>
      </c>
      <c r="AF127" s="24"/>
      <c r="AG127">
        <v>122</v>
      </c>
      <c r="AH127">
        <f t="shared" ca="1" si="30"/>
        <v>306.82547661028661</v>
      </c>
      <c r="AI127">
        <f t="shared" ca="1" si="31"/>
        <v>162.43277938734212</v>
      </c>
      <c r="AJ127">
        <f t="shared" ca="1" si="32"/>
        <v>51.938651761799846</v>
      </c>
      <c r="AL127">
        <v>122</v>
      </c>
      <c r="AM127" s="4">
        <f t="shared" ca="1" si="22"/>
        <v>-8.4492173296646378E-3</v>
      </c>
      <c r="AN127" s="4">
        <f t="shared" ca="1" si="23"/>
        <v>-1.1123920495546114E-2</v>
      </c>
      <c r="AO127" s="4">
        <f t="shared" ca="1" si="24"/>
        <v>-2.0579804688266701E-2</v>
      </c>
      <c r="AP127" s="4">
        <f t="shared" ca="1" si="25"/>
        <v>-1.3158274803597846E-2</v>
      </c>
    </row>
    <row r="128" spans="1:42" x14ac:dyDescent="0.3">
      <c r="A128" s="1">
        <v>45778</v>
      </c>
      <c r="B128" s="3">
        <f>Data!B125</f>
        <v>244.51750183105401</v>
      </c>
      <c r="C128" s="3">
        <f>Data!H125</f>
        <v>115.25277709960901</v>
      </c>
      <c r="D128" s="3">
        <f>Data!N125</f>
        <v>39.713768005371001</v>
      </c>
      <c r="F128" s="1">
        <v>45778</v>
      </c>
      <c r="G128" s="4">
        <f t="shared" si="26"/>
        <v>9.279753732371443E-3</v>
      </c>
      <c r="H128" s="4">
        <f t="shared" si="27"/>
        <v>1.1609756966477924E-2</v>
      </c>
      <c r="I128" s="4">
        <f t="shared" si="28"/>
        <v>7.2717822571521928E-3</v>
      </c>
      <c r="T128">
        <v>122</v>
      </c>
      <c r="U128" s="4">
        <v>-2.1941939822942756E-2</v>
      </c>
      <c r="V128" s="4"/>
      <c r="W128">
        <v>123</v>
      </c>
      <c r="X128">
        <f t="shared" ca="1" si="29"/>
        <v>-0.51195834177916344</v>
      </c>
      <c r="Y128">
        <f t="shared" ca="1" si="29"/>
        <v>0.17223234253261982</v>
      </c>
      <c r="Z128">
        <f t="shared" ca="1" si="29"/>
        <v>0.6945665339880488</v>
      </c>
      <c r="AA128" s="4"/>
      <c r="AB128">
        <v>123</v>
      </c>
      <c r="AC128" s="24">
        <f t="shared" ca="1" si="19"/>
        <v>-0.51195834177916344</v>
      </c>
      <c r="AD128" s="24">
        <f t="shared" ca="1" si="20"/>
        <v>-0.36062854620913098</v>
      </c>
      <c r="AE128" s="24">
        <f t="shared" ca="1" si="21"/>
        <v>-1.7826715331345777E-2</v>
      </c>
      <c r="AF128" s="24"/>
      <c r="AG128">
        <v>123</v>
      </c>
      <c r="AH128">
        <f t="shared" ca="1" si="30"/>
        <v>306.75953708286323</v>
      </c>
      <c r="AI128">
        <f t="shared" ca="1" si="31"/>
        <v>163.03393688264168</v>
      </c>
      <c r="AJ128">
        <f t="shared" ca="1" si="32"/>
        <v>53.013447085042714</v>
      </c>
      <c r="AL128">
        <v>123</v>
      </c>
      <c r="AM128" s="4">
        <f t="shared" ca="1" si="22"/>
        <v>-8.6623104233278791E-3</v>
      </c>
      <c r="AN128" s="4">
        <f t="shared" ca="1" si="23"/>
        <v>-7.4641279994825949E-3</v>
      </c>
      <c r="AO128" s="4">
        <f t="shared" ca="1" si="24"/>
        <v>-3.1211945380138495E-4</v>
      </c>
      <c r="AP128" s="4">
        <f t="shared" ca="1" si="25"/>
        <v>-5.6779801629318173E-3</v>
      </c>
    </row>
    <row r="129" spans="1:42" x14ac:dyDescent="0.3">
      <c r="A129" s="1">
        <v>45779</v>
      </c>
      <c r="B129" s="3">
        <f>Data!B126</f>
        <v>250.08348083496</v>
      </c>
      <c r="C129" s="3">
        <f>Data!H126</f>
        <v>118.66811370849599</v>
      </c>
      <c r="D129" s="3">
        <f>Data!N126</f>
        <v>40.603546142578097</v>
      </c>
      <c r="F129" s="1">
        <v>45779</v>
      </c>
      <c r="G129" s="4">
        <f t="shared" si="26"/>
        <v>2.2763110870287484E-2</v>
      </c>
      <c r="H129" s="4">
        <f t="shared" si="27"/>
        <v>2.9633443070401944E-2</v>
      </c>
      <c r="I129" s="4">
        <f t="shared" si="28"/>
        <v>2.2404777534248632E-2</v>
      </c>
      <c r="T129">
        <v>123</v>
      </c>
      <c r="U129" s="4">
        <v>-2.192858724112845E-2</v>
      </c>
      <c r="V129" s="4"/>
      <c r="W129">
        <v>124</v>
      </c>
      <c r="X129">
        <f t="shared" ca="1" si="29"/>
        <v>-0.31659532249720385</v>
      </c>
      <c r="Y129">
        <f t="shared" ca="1" si="29"/>
        <v>0.32003525279824657</v>
      </c>
      <c r="Z129">
        <f t="shared" ca="1" si="29"/>
        <v>-0.51904094748129193</v>
      </c>
      <c r="AA129" s="4"/>
      <c r="AB129">
        <v>124</v>
      </c>
      <c r="AC129" s="24">
        <f t="shared" ca="1" si="19"/>
        <v>-0.31659532249720385</v>
      </c>
      <c r="AD129" s="24">
        <f t="shared" ca="1" si="20"/>
        <v>-0.11779982679942222</v>
      </c>
      <c r="AE129" s="24">
        <f t="shared" ca="1" si="21"/>
        <v>-0.43349028289984515</v>
      </c>
      <c r="AF129" s="24"/>
      <c r="AG129">
        <v>124</v>
      </c>
      <c r="AH129">
        <f t="shared" ca="1" si="30"/>
        <v>307.78030577990404</v>
      </c>
      <c r="AI129">
        <f t="shared" ca="1" si="31"/>
        <v>163.85913999230351</v>
      </c>
      <c r="AJ129">
        <f t="shared" ca="1" si="32"/>
        <v>52.623818126298403</v>
      </c>
      <c r="AL129">
        <v>124</v>
      </c>
      <c r="AM129" s="4">
        <f t="shared" ca="1" si="22"/>
        <v>-5.3635491481623943E-3</v>
      </c>
      <c r="AN129" s="4">
        <f t="shared" ca="1" si="23"/>
        <v>-2.4403660534324523E-3</v>
      </c>
      <c r="AO129" s="4">
        <f t="shared" ca="1" si="24"/>
        <v>-7.6594505439998573E-3</v>
      </c>
      <c r="AP129" s="4">
        <f t="shared" ca="1" si="25"/>
        <v>-4.8830463290216565E-3</v>
      </c>
    </row>
    <row r="130" spans="1:42" x14ac:dyDescent="0.3">
      <c r="A130" s="1">
        <v>45782</v>
      </c>
      <c r="B130" s="3">
        <f>Data!B127</f>
        <v>250.13301086425699</v>
      </c>
      <c r="C130" s="3">
        <f>Data!H127</f>
        <v>118.056114196777</v>
      </c>
      <c r="D130" s="3">
        <f>Data!N127</f>
        <v>40.652980804443303</v>
      </c>
      <c r="F130" s="1">
        <v>45782</v>
      </c>
      <c r="G130" s="4">
        <f t="shared" si="26"/>
        <v>1.9805398234074012E-4</v>
      </c>
      <c r="H130" s="4">
        <f t="shared" si="27"/>
        <v>-5.1572363678279443E-3</v>
      </c>
      <c r="I130" s="4">
        <f t="shared" si="28"/>
        <v>1.2174961687241304E-3</v>
      </c>
      <c r="T130">
        <v>124</v>
      </c>
      <c r="U130" s="4">
        <v>-2.1874079962057636E-2</v>
      </c>
      <c r="V130" s="4"/>
      <c r="W130">
        <v>125</v>
      </c>
      <c r="X130">
        <f t="shared" ca="1" si="29"/>
        <v>-1.6093729442741147</v>
      </c>
      <c r="Y130">
        <f t="shared" ca="1" si="29"/>
        <v>-2.0822617279887847</v>
      </c>
      <c r="Z130">
        <f t="shared" ca="1" si="29"/>
        <v>2.2763660496487179</v>
      </c>
      <c r="AA130" s="4"/>
      <c r="AB130">
        <v>125</v>
      </c>
      <c r="AC130" s="24">
        <f t="shared" ca="1" si="19"/>
        <v>-1.6093729442741147</v>
      </c>
      <c r="AD130" s="24">
        <f t="shared" ca="1" si="20"/>
        <v>-2.4264519240944691</v>
      </c>
      <c r="AE130" s="24">
        <f t="shared" ca="1" si="21"/>
        <v>-0.73312367605148632</v>
      </c>
      <c r="AF130" s="24"/>
      <c r="AG130">
        <v>125</v>
      </c>
      <c r="AH130">
        <f t="shared" ca="1" si="30"/>
        <v>301.08816358440606</v>
      </c>
      <c r="AI130">
        <f t="shared" ca="1" si="31"/>
        <v>156.17962644478112</v>
      </c>
      <c r="AJ130">
        <f t="shared" ca="1" si="32"/>
        <v>52.344729290883642</v>
      </c>
      <c r="AL130">
        <v>125</v>
      </c>
      <c r="AM130" s="4">
        <f t="shared" ca="1" si="22"/>
        <v>-2.6990171894732407E-2</v>
      </c>
      <c r="AN130" s="4">
        <f t="shared" ca="1" si="23"/>
        <v>-4.9192550421750081E-2</v>
      </c>
      <c r="AO130" s="4">
        <f t="shared" ca="1" si="24"/>
        <v>-1.2922298777813479E-2</v>
      </c>
      <c r="AP130" s="4">
        <f t="shared" ca="1" si="25"/>
        <v>-3.1650761370463798E-2</v>
      </c>
    </row>
    <row r="131" spans="1:42" x14ac:dyDescent="0.3">
      <c r="A131" s="1">
        <v>45783</v>
      </c>
      <c r="B131" s="3">
        <f>Data!B128</f>
        <v>246.85481262207</v>
      </c>
      <c r="C131" s="3">
        <f>Data!H128</f>
        <v>116.802513122558</v>
      </c>
      <c r="D131" s="3">
        <f>Data!N128</f>
        <v>40.3761596679687</v>
      </c>
      <c r="F131" s="1">
        <v>45783</v>
      </c>
      <c r="G131" s="4">
        <f t="shared" si="26"/>
        <v>-1.3105820102913168E-2</v>
      </c>
      <c r="H131" s="4">
        <f t="shared" si="27"/>
        <v>-1.0618688263188902E-2</v>
      </c>
      <c r="I131" s="4">
        <f t="shared" si="28"/>
        <v>-6.8093687350067045E-3</v>
      </c>
      <c r="T131">
        <v>125</v>
      </c>
      <c r="U131" s="4">
        <v>-2.1462370452166313E-2</v>
      </c>
      <c r="V131" s="4"/>
      <c r="W131">
        <v>126</v>
      </c>
      <c r="X131">
        <f t="shared" ca="1" si="29"/>
        <v>1.0539160198709643</v>
      </c>
      <c r="Y131">
        <f t="shared" ca="1" si="29"/>
        <v>-0.34150106403978459</v>
      </c>
      <c r="Z131">
        <f t="shared" ca="1" si="29"/>
        <v>-1.3458336384241334</v>
      </c>
      <c r="AA131" s="4"/>
      <c r="AB131">
        <v>126</v>
      </c>
      <c r="AC131" s="24">
        <f t="shared" ca="1" si="19"/>
        <v>1.0539160198709643</v>
      </c>
      <c r="AD131" s="24">
        <f t="shared" ca="1" si="20"/>
        <v>0.74882211162096302</v>
      </c>
      <c r="AE131" s="24">
        <f t="shared" ca="1" si="21"/>
        <v>8.293292381308015E-2</v>
      </c>
      <c r="AF131" s="24"/>
      <c r="AG131">
        <v>126</v>
      </c>
      <c r="AH131">
        <f t="shared" ca="1" si="30"/>
        <v>315.03734093779588</v>
      </c>
      <c r="AI131">
        <f t="shared" ca="1" si="31"/>
        <v>166.8383757204104</v>
      </c>
      <c r="AJ131">
        <f t="shared" ca="1" si="32"/>
        <v>53.108329359355018</v>
      </c>
      <c r="AL131">
        <v>126</v>
      </c>
      <c r="AM131" s="4">
        <f t="shared" ca="1" si="22"/>
        <v>1.8088606683777764E-2</v>
      </c>
      <c r="AN131" s="4">
        <f t="shared" ca="1" si="23"/>
        <v>1.5696951782548041E-2</v>
      </c>
      <c r="AO131" s="4">
        <f t="shared" ca="1" si="24"/>
        <v>1.4770994128101567E-3</v>
      </c>
      <c r="AP131" s="4">
        <f t="shared" ca="1" si="25"/>
        <v>1.2148492541995591E-2</v>
      </c>
    </row>
    <row r="132" spans="1:42" x14ac:dyDescent="0.3">
      <c r="A132" s="1">
        <v>45784</v>
      </c>
      <c r="B132" s="3">
        <f>Data!B129</f>
        <v>246.99346923828099</v>
      </c>
      <c r="C132" s="3">
        <f>Data!H129</f>
        <v>117.56256866455</v>
      </c>
      <c r="D132" s="3">
        <f>Data!N129</f>
        <v>40.465137481689403</v>
      </c>
      <c r="F132" s="1">
        <v>45784</v>
      </c>
      <c r="G132" s="4">
        <f t="shared" si="26"/>
        <v>5.616929835727813E-4</v>
      </c>
      <c r="H132" s="4">
        <f t="shared" si="27"/>
        <v>6.5071848342381777E-3</v>
      </c>
      <c r="I132" s="4">
        <f t="shared" si="28"/>
        <v>2.2037215637249474E-3</v>
      </c>
      <c r="T132">
        <v>126</v>
      </c>
      <c r="U132" s="4">
        <v>-2.1450281587786581E-2</v>
      </c>
      <c r="V132" s="4"/>
      <c r="W132">
        <v>127</v>
      </c>
      <c r="X132">
        <f t="shared" ca="1" si="29"/>
        <v>-0.1644083324030699</v>
      </c>
      <c r="Y132">
        <f t="shared" ca="1" si="29"/>
        <v>-0.38965610714458498</v>
      </c>
      <c r="Z132">
        <f t="shared" ca="1" si="29"/>
        <v>0.71975216291770749</v>
      </c>
      <c r="AA132" s="4"/>
      <c r="AB132">
        <v>127</v>
      </c>
      <c r="AC132" s="24">
        <f t="shared" ca="1" si="19"/>
        <v>-0.1644083324030699</v>
      </c>
      <c r="AD132" s="24">
        <f t="shared" ca="1" si="20"/>
        <v>-0.33506333669274185</v>
      </c>
      <c r="AE132" s="24">
        <f t="shared" ca="1" si="21"/>
        <v>0.12352763107002313</v>
      </c>
      <c r="AF132" s="24"/>
      <c r="AG132">
        <v>127</v>
      </c>
      <c r="AH132">
        <f t="shared" ca="1" si="30"/>
        <v>308.57783345056851</v>
      </c>
      <c r="AI132">
        <f t="shared" ca="1" si="31"/>
        <v>163.12061885827802</v>
      </c>
      <c r="AJ132">
        <f t="shared" ca="1" si="32"/>
        <v>53.146604129030131</v>
      </c>
      <c r="AL132">
        <v>127</v>
      </c>
      <c r="AM132" s="4">
        <f t="shared" ca="1" si="22"/>
        <v>-2.7862234489245408E-3</v>
      </c>
      <c r="AN132" s="4">
        <f t="shared" ca="1" si="23"/>
        <v>-6.9364159665156189E-3</v>
      </c>
      <c r="AO132" s="4">
        <f t="shared" ca="1" si="24"/>
        <v>2.1988563533374972E-3</v>
      </c>
      <c r="AP132" s="4">
        <f t="shared" ca="1" si="25"/>
        <v>-2.9507765152823611E-3</v>
      </c>
    </row>
    <row r="133" spans="1:42" x14ac:dyDescent="0.3">
      <c r="A133" s="1">
        <v>45785</v>
      </c>
      <c r="B133" s="3">
        <f>Data!B130</f>
        <v>251.034255981445</v>
      </c>
      <c r="C133" s="3">
        <f>Data!H130</f>
        <v>120.306678771972</v>
      </c>
      <c r="D133" s="3">
        <f>Data!N130</f>
        <v>41.127529144287102</v>
      </c>
      <c r="F133" s="1">
        <v>45785</v>
      </c>
      <c r="G133" s="4">
        <f t="shared" si="26"/>
        <v>1.6359893059624708E-2</v>
      </c>
      <c r="H133" s="4">
        <f t="shared" si="27"/>
        <v>2.3341699135989158E-2</v>
      </c>
      <c r="I133" s="4">
        <f t="shared" si="28"/>
        <v>1.6369440556020187E-2</v>
      </c>
      <c r="T133">
        <v>127</v>
      </c>
      <c r="U133" s="4">
        <v>-2.0717617842397118E-2</v>
      </c>
      <c r="V133" s="4"/>
      <c r="W133">
        <v>128</v>
      </c>
      <c r="X133">
        <f t="shared" ca="1" si="29"/>
        <v>-0.47609078033483332</v>
      </c>
      <c r="Y133">
        <f t="shared" ca="1" si="29"/>
        <v>1.4474186110723302</v>
      </c>
      <c r="Z133">
        <f t="shared" ca="1" si="29"/>
        <v>1.4116295346986008</v>
      </c>
      <c r="AA133" s="4"/>
      <c r="AB133">
        <v>128</v>
      </c>
      <c r="AC133" s="24">
        <f t="shared" ca="1" si="19"/>
        <v>-0.47609078033483332</v>
      </c>
      <c r="AD133" s="24">
        <f t="shared" ca="1" si="20"/>
        <v>0.29891744557606725</v>
      </c>
      <c r="AE133" s="24">
        <f t="shared" ca="1" si="21"/>
        <v>0.72738078765490011</v>
      </c>
      <c r="AF133" s="24"/>
      <c r="AG133">
        <v>128</v>
      </c>
      <c r="AH133">
        <f t="shared" ca="1" si="30"/>
        <v>306.94669047673557</v>
      </c>
      <c r="AI133">
        <f t="shared" ca="1" si="31"/>
        <v>165.28501328919512</v>
      </c>
      <c r="AJ133">
        <f t="shared" ca="1" si="32"/>
        <v>53.71921566512502</v>
      </c>
      <c r="AL133">
        <v>128</v>
      </c>
      <c r="AM133" s="4">
        <f t="shared" ca="1" si="22"/>
        <v>-8.0574972369403808E-3</v>
      </c>
      <c r="AN133" s="4">
        <f t="shared" ca="1" si="23"/>
        <v>6.2402217011974237E-3</v>
      </c>
      <c r="AO133" s="4">
        <f t="shared" ca="1" si="24"/>
        <v>1.2996735841851459E-2</v>
      </c>
      <c r="AP133" s="4">
        <f t="shared" ca="1" si="25"/>
        <v>3.9778602619522929E-3</v>
      </c>
    </row>
    <row r="134" spans="1:42" x14ac:dyDescent="0.3">
      <c r="A134" s="1">
        <v>45786</v>
      </c>
      <c r="B134" s="3">
        <f>Data!B131</f>
        <v>250.64801025390599</v>
      </c>
      <c r="C134" s="3">
        <f>Data!H131</f>
        <v>120.129005432128</v>
      </c>
      <c r="D134" s="3">
        <f>Data!N131</f>
        <v>41.3153686523437</v>
      </c>
      <c r="F134" s="1">
        <v>45786</v>
      </c>
      <c r="G134" s="4">
        <f t="shared" si="26"/>
        <v>-1.5386176122813566E-3</v>
      </c>
      <c r="H134" s="4">
        <f t="shared" si="27"/>
        <v>-1.4768368776996166E-3</v>
      </c>
      <c r="I134" s="4">
        <f t="shared" si="28"/>
        <v>4.5672451509937151E-3</v>
      </c>
      <c r="T134">
        <v>128</v>
      </c>
      <c r="U134" s="4">
        <v>-2.0542762631674674E-2</v>
      </c>
      <c r="V134" s="4"/>
      <c r="W134">
        <v>129</v>
      </c>
      <c r="X134">
        <f t="shared" ca="1" si="29"/>
        <v>0.94540820617931287</v>
      </c>
      <c r="Y134">
        <f t="shared" ca="1" si="29"/>
        <v>0.47930226578083124</v>
      </c>
      <c r="Z134">
        <f t="shared" ca="1" si="29"/>
        <v>1.7859832135518006</v>
      </c>
      <c r="AA134" s="4"/>
      <c r="AB134">
        <v>129</v>
      </c>
      <c r="AC134" s="24">
        <f t="shared" ref="AC134:AC197" ca="1" si="33">SUMPRODUCT($Q$24:$S$24,X134:Z134)</f>
        <v>0.94540820617931287</v>
      </c>
      <c r="AD134" s="24">
        <f t="shared" ref="AD134:AD197" ca="1" si="34">SUMPRODUCT($Q$25:$S$25,X134:Z134)</f>
        <v>1.0588435024955682</v>
      </c>
      <c r="AE134" s="24">
        <f t="shared" ref="AE134:AE197" ca="1" si="35">SUMPRODUCT($Q$26:$S$26,X134:Z134)</f>
        <v>1.8103914974686433</v>
      </c>
      <c r="AF134" s="24"/>
      <c r="AG134">
        <v>129</v>
      </c>
      <c r="AH134">
        <f t="shared" ca="1" si="30"/>
        <v>314.45659286342931</v>
      </c>
      <c r="AI134">
        <f t="shared" ca="1" si="31"/>
        <v>167.91725799311854</v>
      </c>
      <c r="AJ134">
        <f t="shared" ca="1" si="32"/>
        <v>54.761693392521877</v>
      </c>
      <c r="AL134">
        <v>129</v>
      </c>
      <c r="AM134" s="4">
        <f t="shared" ref="AM134:AM197" ca="1" si="36">AH134/$AH$2-1</f>
        <v>1.6211835517204065E-2</v>
      </c>
      <c r="AN134" s="4">
        <f t="shared" ref="AN134:AN197" ca="1" si="37">AI134/$AI$2-1</f>
        <v>2.2265089544559524E-2</v>
      </c>
      <c r="AO134" s="4">
        <f t="shared" ref="AO134:AO197" ca="1" si="38">AJ134/$AJ$2-1</f>
        <v>3.2655000058215089E-2</v>
      </c>
      <c r="AP134" s="4">
        <f t="shared" ref="AP134:AP197" ca="1" si="39">SUMPRODUCT($P$6:$R$6,AM134:AO134)</f>
        <v>2.3566086490449556E-2</v>
      </c>
    </row>
    <row r="135" spans="1:42" x14ac:dyDescent="0.3">
      <c r="A135" s="1">
        <v>45789</v>
      </c>
      <c r="B135" s="3">
        <f>Data!B132</f>
        <v>257.551025390625</v>
      </c>
      <c r="C135" s="3">
        <f>Data!H132</f>
        <v>125.41981506347599</v>
      </c>
      <c r="D135" s="3">
        <f>Data!N132</f>
        <v>42.867542266845703</v>
      </c>
      <c r="F135" s="1">
        <v>45789</v>
      </c>
      <c r="G135" s="4">
        <f t="shared" ref="G135:G198" si="40">B135/B134-1</f>
        <v>2.754067399029525E-2</v>
      </c>
      <c r="H135" s="4">
        <f t="shared" ref="H135:H198" si="41">C135/C134-1</f>
        <v>4.4042732330263679E-2</v>
      </c>
      <c r="I135" s="4">
        <f t="shared" ref="I135:I198" si="42">D135/D134-1</f>
        <v>3.7568916002252761E-2</v>
      </c>
      <c r="T135">
        <v>129</v>
      </c>
      <c r="U135" s="4">
        <v>-2.044468397148318E-2</v>
      </c>
      <c r="V135" s="4"/>
      <c r="W135">
        <v>130</v>
      </c>
      <c r="X135">
        <f t="shared" ref="X135:Z198" ca="1" si="43">_xlfn.NORM.S.INV(RAND())</f>
        <v>2.002549968304808</v>
      </c>
      <c r="Y135">
        <f t="shared" ca="1" si="43"/>
        <v>-0.13300083805303103</v>
      </c>
      <c r="Z135">
        <f t="shared" ca="1" si="43"/>
        <v>0.26422319666292732</v>
      </c>
      <c r="AA135" s="4"/>
      <c r="AB135">
        <v>130</v>
      </c>
      <c r="AC135" s="24">
        <f t="shared" ca="1" si="33"/>
        <v>2.002549968304808</v>
      </c>
      <c r="AD135" s="24">
        <f t="shared" ca="1" si="34"/>
        <v>1.6770376698314662</v>
      </c>
      <c r="AE135" s="24">
        <f t="shared" ca="1" si="35"/>
        <v>1.731918009395246</v>
      </c>
      <c r="AF135" s="24"/>
      <c r="AG135">
        <v>130</v>
      </c>
      <c r="AH135">
        <f t="shared" ref="AH135:AH198" ca="1" si="44">$L$21*EXP(($L$19-(($L$20^2)/2))*(1/252)+$L$20*AC135)</f>
        <v>320.16044955135516</v>
      </c>
      <c r="AI135">
        <f t="shared" ref="AI135:AI198" ca="1" si="45">$M$21*EXP(($M$19-(($M$20^2)/2))*(1/252)+$M$20*AD135)</f>
        <v>170.0894602602252</v>
      </c>
      <c r="AJ135">
        <f t="shared" ref="AJ135:AJ198" ca="1" si="46">$N$21*EXP(($N$19-(($N$20^2)/2))*(1/252)+$N$20*AE135)</f>
        <v>54.685481713351102</v>
      </c>
      <c r="AL135">
        <v>130</v>
      </c>
      <c r="AM135" s="4">
        <f t="shared" ca="1" si="36"/>
        <v>3.4644671100592772E-2</v>
      </c>
      <c r="AN135" s="4">
        <f t="shared" ca="1" si="37"/>
        <v>3.5489260613287277E-2</v>
      </c>
      <c r="AO135" s="4">
        <f t="shared" ca="1" si="38"/>
        <v>3.1217857291383044E-2</v>
      </c>
      <c r="AP135" s="4">
        <f t="shared" ca="1" si="39"/>
        <v>3.3954462762907658E-2</v>
      </c>
    </row>
    <row r="136" spans="1:42" x14ac:dyDescent="0.3">
      <c r="A136" s="1">
        <v>45790</v>
      </c>
      <c r="B136" s="3">
        <f>Data!B133</f>
        <v>260.48260498046801</v>
      </c>
      <c r="C136" s="3">
        <f>Data!H133</f>
        <v>127.68026733398401</v>
      </c>
      <c r="D136" s="3">
        <f>Data!N133</f>
        <v>43.777088165283203</v>
      </c>
      <c r="F136" s="1">
        <v>45790</v>
      </c>
      <c r="G136" s="4">
        <f t="shared" si="40"/>
        <v>1.1382519581883743E-2</v>
      </c>
      <c r="H136" s="4">
        <f t="shared" si="41"/>
        <v>1.8023087255901071E-2</v>
      </c>
      <c r="I136" s="4">
        <f t="shared" si="42"/>
        <v>2.1217589120824165E-2</v>
      </c>
      <c r="T136">
        <v>130</v>
      </c>
      <c r="U136" s="4">
        <v>-2.0419862084229003E-2</v>
      </c>
      <c r="V136" s="4"/>
      <c r="W136">
        <v>131</v>
      </c>
      <c r="X136">
        <f t="shared" ca="1" si="43"/>
        <v>-1.9872863287336646</v>
      </c>
      <c r="Y136">
        <f t="shared" ca="1" si="43"/>
        <v>0.53948007461280112</v>
      </c>
      <c r="Z136">
        <f t="shared" ca="1" si="43"/>
        <v>0.979031414719015</v>
      </c>
      <c r="AA136" s="4"/>
      <c r="AB136">
        <v>131</v>
      </c>
      <c r="AC136" s="24">
        <f t="shared" ca="1" si="33"/>
        <v>-1.9872863287336646</v>
      </c>
      <c r="AD136" s="24">
        <f t="shared" ca="1" si="34"/>
        <v>-1.4634671565885264</v>
      </c>
      <c r="AE136" s="24">
        <f t="shared" ca="1" si="35"/>
        <v>-0.97628121808614465</v>
      </c>
      <c r="AF136" s="24"/>
      <c r="AG136">
        <v>131</v>
      </c>
      <c r="AH136">
        <f t="shared" ca="1" si="44"/>
        <v>299.15949948670925</v>
      </c>
      <c r="AI136">
        <f t="shared" ca="1" si="45"/>
        <v>159.3381546144432</v>
      </c>
      <c r="AJ136">
        <f t="shared" ca="1" si="46"/>
        <v>52.119332325230587</v>
      </c>
      <c r="AL136">
        <v>131</v>
      </c>
      <c r="AM136" s="4">
        <f t="shared" ca="1" si="36"/>
        <v>-3.3222928107504268E-2</v>
      </c>
      <c r="AN136" s="4">
        <f t="shared" ca="1" si="37"/>
        <v>-2.9963716406839369E-2</v>
      </c>
      <c r="AO136" s="4">
        <f t="shared" ca="1" si="38"/>
        <v>-1.7172665944351073E-2</v>
      </c>
      <c r="AP136" s="4">
        <f t="shared" ca="1" si="39"/>
        <v>-2.7104164778292351E-2</v>
      </c>
    </row>
    <row r="137" spans="1:42" x14ac:dyDescent="0.3">
      <c r="A137" s="1">
        <v>45791</v>
      </c>
      <c r="B137" s="3">
        <f>Data!B134</f>
        <v>263.08734130859301</v>
      </c>
      <c r="C137" s="3">
        <f>Data!H134</f>
        <v>129.34841918945301</v>
      </c>
      <c r="D137" s="3">
        <f>Data!N134</f>
        <v>44.231868743896399</v>
      </c>
      <c r="F137" s="1">
        <v>45791</v>
      </c>
      <c r="G137" s="4">
        <f t="shared" si="40"/>
        <v>9.9996555559642708E-3</v>
      </c>
      <c r="H137" s="4">
        <f t="shared" si="41"/>
        <v>1.3065071763246561E-2</v>
      </c>
      <c r="I137" s="4">
        <f t="shared" si="42"/>
        <v>1.038855249796744E-2</v>
      </c>
      <c r="T137">
        <v>131</v>
      </c>
      <c r="U137" s="4">
        <v>-2.0387132158525209E-2</v>
      </c>
      <c r="V137" s="4"/>
      <c r="W137">
        <v>132</v>
      </c>
      <c r="X137">
        <f t="shared" ca="1" si="43"/>
        <v>0.23514657050955937</v>
      </c>
      <c r="Y137">
        <f t="shared" ca="1" si="43"/>
        <v>1.1869752366996624</v>
      </c>
      <c r="Z137">
        <f t="shared" ca="1" si="43"/>
        <v>1.0593259541344868</v>
      </c>
      <c r="AA137" s="4"/>
      <c r="AB137">
        <v>132</v>
      </c>
      <c r="AC137" s="24">
        <f t="shared" ca="1" si="33"/>
        <v>0.23514657050955937</v>
      </c>
      <c r="AD137" s="24">
        <f t="shared" ca="1" si="34"/>
        <v>0.78948888037410214</v>
      </c>
      <c r="AE137" s="24">
        <f t="shared" ca="1" si="35"/>
        <v>1.0572177792395654</v>
      </c>
      <c r="AF137" s="24"/>
      <c r="AG137">
        <v>132</v>
      </c>
      <c r="AH137">
        <f t="shared" ca="1" si="44"/>
        <v>310.68152815447775</v>
      </c>
      <c r="AI137">
        <f t="shared" ca="1" si="45"/>
        <v>166.97950113696368</v>
      </c>
      <c r="AJ137">
        <f t="shared" ca="1" si="46"/>
        <v>54.034588891225319</v>
      </c>
      <c r="AL137">
        <v>132</v>
      </c>
      <c r="AM137" s="4">
        <f t="shared" ca="1" si="36"/>
        <v>4.0121694133803398E-3</v>
      </c>
      <c r="AN137" s="4">
        <f t="shared" ca="1" si="37"/>
        <v>1.6556110562974125E-2</v>
      </c>
      <c r="AO137" s="4">
        <f t="shared" ca="1" si="38"/>
        <v>1.8943807939907353E-2</v>
      </c>
      <c r="AP137" s="4">
        <f t="shared" ca="1" si="39"/>
        <v>1.3509237431175958E-2</v>
      </c>
    </row>
    <row r="138" spans="1:42" x14ac:dyDescent="0.3">
      <c r="A138" s="1">
        <v>45792</v>
      </c>
      <c r="B138" s="3">
        <f>Data!B135</f>
        <v>264.91952514648398</v>
      </c>
      <c r="C138" s="3">
        <f>Data!H135</f>
        <v>130.79946899414</v>
      </c>
      <c r="D138" s="3">
        <f>Data!N135</f>
        <v>43.875957489013601</v>
      </c>
      <c r="F138" s="1">
        <v>45792</v>
      </c>
      <c r="G138" s="4">
        <f t="shared" si="40"/>
        <v>6.9641656978922661E-3</v>
      </c>
      <c r="H138" s="4">
        <f t="shared" si="41"/>
        <v>1.1218148731772848E-2</v>
      </c>
      <c r="I138" s="4">
        <f t="shared" si="42"/>
        <v>-8.0464892167123603E-3</v>
      </c>
      <c r="T138">
        <v>132</v>
      </c>
      <c r="U138" s="4">
        <v>-2.031853067014432E-2</v>
      </c>
      <c r="V138" s="4"/>
      <c r="W138">
        <v>133</v>
      </c>
      <c r="X138">
        <f t="shared" ca="1" si="43"/>
        <v>0.79884207405314145</v>
      </c>
      <c r="Y138">
        <f t="shared" ca="1" si="43"/>
        <v>-0.95813799785795783</v>
      </c>
      <c r="Z138">
        <f t="shared" ca="1" si="43"/>
        <v>-0.97360308401130546</v>
      </c>
      <c r="AA138" s="4"/>
      <c r="AB138">
        <v>133</v>
      </c>
      <c r="AC138" s="24">
        <f t="shared" ca="1" si="33"/>
        <v>0.79884207405314145</v>
      </c>
      <c r="AD138" s="24">
        <f t="shared" ca="1" si="34"/>
        <v>0.22302120468102338</v>
      </c>
      <c r="AE138" s="24">
        <f t="shared" ca="1" si="35"/>
        <v>-0.10657304445637722</v>
      </c>
      <c r="AF138" s="24"/>
      <c r="AG138">
        <v>133</v>
      </c>
      <c r="AH138">
        <f t="shared" ca="1" si="44"/>
        <v>313.67385095914284</v>
      </c>
      <c r="AI138">
        <f t="shared" ca="1" si="45"/>
        <v>165.02439965529118</v>
      </c>
      <c r="AJ138">
        <f t="shared" ca="1" si="46"/>
        <v>52.930017791181712</v>
      </c>
      <c r="AL138">
        <v>133</v>
      </c>
      <c r="AM138" s="4">
        <f t="shared" ca="1" si="36"/>
        <v>1.3682292154643116E-2</v>
      </c>
      <c r="AN138" s="4">
        <f t="shared" ca="1" si="37"/>
        <v>4.6536294534234024E-3</v>
      </c>
      <c r="AO138" s="4">
        <f t="shared" ca="1" si="38"/>
        <v>-1.8853665928070251E-3</v>
      </c>
      <c r="AP138" s="4">
        <f t="shared" ca="1" si="39"/>
        <v>5.4005294499201882E-3</v>
      </c>
    </row>
    <row r="139" spans="1:42" x14ac:dyDescent="0.3">
      <c r="A139" s="1">
        <v>45793</v>
      </c>
      <c r="B139" s="3">
        <f>Data!B136</f>
        <v>264.98886108398398</v>
      </c>
      <c r="C139" s="3">
        <f>Data!H136</f>
        <v>130.473709106445</v>
      </c>
      <c r="D139" s="3">
        <f>Data!N136</f>
        <v>44.182430267333899</v>
      </c>
      <c r="F139" s="1">
        <v>45793</v>
      </c>
      <c r="G139" s="4">
        <f t="shared" si="40"/>
        <v>2.617245273319746E-4</v>
      </c>
      <c r="H139" s="4">
        <f t="shared" si="41"/>
        <v>-2.4905291298208398E-3</v>
      </c>
      <c r="I139" s="4">
        <f t="shared" si="42"/>
        <v>6.9849821145677726E-3</v>
      </c>
      <c r="T139">
        <v>133</v>
      </c>
      <c r="U139" s="4">
        <v>-2.0252016566459675E-2</v>
      </c>
      <c r="V139" s="4"/>
      <c r="W139">
        <v>134</v>
      </c>
      <c r="X139">
        <f t="shared" ca="1" si="43"/>
        <v>0.33111298794138178</v>
      </c>
      <c r="Y139">
        <f t="shared" ca="1" si="43"/>
        <v>1.4763842176417229E-2</v>
      </c>
      <c r="Z139">
        <f t="shared" ca="1" si="43"/>
        <v>-0.5311932677363127</v>
      </c>
      <c r="AA139" s="4"/>
      <c r="AB139">
        <v>134</v>
      </c>
      <c r="AC139" s="24">
        <f t="shared" ca="1" si="33"/>
        <v>0.33111298794138178</v>
      </c>
      <c r="AD139" s="24">
        <f t="shared" ca="1" si="34"/>
        <v>0.29540156070663154</v>
      </c>
      <c r="AE139" s="24">
        <f t="shared" ca="1" si="35"/>
        <v>4.7500078706078086E-3</v>
      </c>
      <c r="AF139" s="24"/>
      <c r="AG139">
        <v>134</v>
      </c>
      <c r="AH139">
        <f t="shared" ca="1" si="44"/>
        <v>311.18893281670051</v>
      </c>
      <c r="AI139">
        <f t="shared" ca="1" si="45"/>
        <v>165.27293130535767</v>
      </c>
      <c r="AJ139">
        <f t="shared" ca="1" si="46"/>
        <v>53.034692148971168</v>
      </c>
      <c r="AL139">
        <v>134</v>
      </c>
      <c r="AM139" s="4">
        <f t="shared" ca="1" si="36"/>
        <v>5.651920764916829E-3</v>
      </c>
      <c r="AN139" s="4">
        <f t="shared" ca="1" si="37"/>
        <v>6.1666676756191308E-3</v>
      </c>
      <c r="AO139" s="4">
        <f t="shared" ca="1" si="38"/>
        <v>8.850405020566221E-5</v>
      </c>
      <c r="AP139" s="4">
        <f t="shared" ca="1" si="39"/>
        <v>4.1887945147844E-3</v>
      </c>
    </row>
    <row r="140" spans="1:42" x14ac:dyDescent="0.3">
      <c r="A140" s="1">
        <v>45796</v>
      </c>
      <c r="B140" s="3">
        <f>Data!B137</f>
        <v>262.33462524414</v>
      </c>
      <c r="C140" s="3">
        <f>Data!H137</f>
        <v>129.15101623535099</v>
      </c>
      <c r="D140" s="3">
        <f>Data!N137</f>
        <v>44.261524200439403</v>
      </c>
      <c r="F140" s="1">
        <v>45796</v>
      </c>
      <c r="G140" s="4">
        <f t="shared" si="40"/>
        <v>-1.0016405327327171E-2</v>
      </c>
      <c r="H140" s="4">
        <f t="shared" si="41"/>
        <v>-1.0137619909424855E-2</v>
      </c>
      <c r="I140" s="4">
        <f t="shared" si="42"/>
        <v>1.7901671009705744E-3</v>
      </c>
      <c r="T140">
        <v>134</v>
      </c>
      <c r="U140" s="4">
        <v>-2.014685097844221E-2</v>
      </c>
      <c r="V140" s="4"/>
      <c r="W140">
        <v>135</v>
      </c>
      <c r="X140">
        <f t="shared" ca="1" si="43"/>
        <v>2.8200082119394505</v>
      </c>
      <c r="Y140">
        <f t="shared" ca="1" si="43"/>
        <v>0.36870142974241416</v>
      </c>
      <c r="Z140">
        <f t="shared" ca="1" si="43"/>
        <v>-1.3878984468574811</v>
      </c>
      <c r="AA140" s="4"/>
      <c r="AB140">
        <v>135</v>
      </c>
      <c r="AC140" s="24">
        <f t="shared" ca="1" si="33"/>
        <v>2.8200082119394505</v>
      </c>
      <c r="AD140" s="24">
        <f t="shared" ca="1" si="34"/>
        <v>2.6355794572037063</v>
      </c>
      <c r="AE140" s="24">
        <f t="shared" ca="1" si="35"/>
        <v>1.6991652597693996</v>
      </c>
      <c r="AF140" s="24"/>
      <c r="AG140">
        <v>135</v>
      </c>
      <c r="AH140">
        <f t="shared" ca="1" si="44"/>
        <v>324.64192012431891</v>
      </c>
      <c r="AI140">
        <f t="shared" ca="1" si="45"/>
        <v>173.51326733393918</v>
      </c>
      <c r="AJ140">
        <f t="shared" ca="1" si="46"/>
        <v>54.653704363393437</v>
      </c>
      <c r="AL140">
        <v>135</v>
      </c>
      <c r="AM140" s="4">
        <f t="shared" ca="1" si="36"/>
        <v>4.9127189642494518E-2</v>
      </c>
      <c r="AN140" s="4">
        <f t="shared" ca="1" si="37"/>
        <v>5.6333088618964577E-2</v>
      </c>
      <c r="AO140" s="4">
        <f t="shared" ca="1" si="38"/>
        <v>3.0618623825624969E-2</v>
      </c>
      <c r="AP140" s="4">
        <f t="shared" ca="1" si="39"/>
        <v>4.6456979488021674E-2</v>
      </c>
    </row>
    <row r="141" spans="1:42" x14ac:dyDescent="0.3">
      <c r="A141" s="1">
        <v>45797</v>
      </c>
      <c r="B141" s="3">
        <f>Data!B138</f>
        <v>263.12692260742102</v>
      </c>
      <c r="C141" s="3">
        <f>Data!H138</f>
        <v>127.46310424804599</v>
      </c>
      <c r="D141" s="3">
        <f>Data!N138</f>
        <v>44.182430267333899</v>
      </c>
      <c r="F141" s="1">
        <v>45797</v>
      </c>
      <c r="G141" s="4">
        <f t="shared" si="40"/>
        <v>3.0201783792118686E-3</v>
      </c>
      <c r="H141" s="4">
        <f t="shared" si="41"/>
        <v>-1.3069289243757276E-2</v>
      </c>
      <c r="I141" s="4">
        <f t="shared" si="42"/>
        <v>-1.7869681294147011E-3</v>
      </c>
      <c r="T141">
        <v>135</v>
      </c>
      <c r="U141" s="4">
        <v>-1.9995366640683288E-2</v>
      </c>
      <c r="V141" s="4"/>
      <c r="W141">
        <v>136</v>
      </c>
      <c r="X141">
        <f t="shared" ca="1" si="43"/>
        <v>0.5267660925291715</v>
      </c>
      <c r="Y141">
        <f t="shared" ca="1" si="43"/>
        <v>3.9611508624944287E-2</v>
      </c>
      <c r="Z141">
        <f t="shared" ca="1" si="43"/>
        <v>-2.2245387802611072</v>
      </c>
      <c r="AA141" s="4"/>
      <c r="AB141">
        <v>136</v>
      </c>
      <c r="AC141" s="24">
        <f t="shared" ca="1" si="33"/>
        <v>0.5267660925291715</v>
      </c>
      <c r="AD141" s="24">
        <f t="shared" ca="1" si="34"/>
        <v>0.47789777819724577</v>
      </c>
      <c r="AE141" s="24">
        <f t="shared" ca="1" si="35"/>
        <v>-0.68809264821768135</v>
      </c>
      <c r="AF141" s="24"/>
      <c r="AG141">
        <v>136</v>
      </c>
      <c r="AH141">
        <f t="shared" ca="1" si="44"/>
        <v>312.22598084419877</v>
      </c>
      <c r="AI141">
        <f t="shared" ca="1" si="45"/>
        <v>165.90122947825748</v>
      </c>
      <c r="AJ141">
        <f t="shared" ca="1" si="46"/>
        <v>52.386578036849706</v>
      </c>
      <c r="AL141">
        <v>136</v>
      </c>
      <c r="AM141" s="4">
        <f t="shared" ca="1" si="36"/>
        <v>9.0032910445063674E-3</v>
      </c>
      <c r="AN141" s="4">
        <f t="shared" ca="1" si="37"/>
        <v>9.9916901638164024E-3</v>
      </c>
      <c r="AO141" s="4">
        <f t="shared" ca="1" si="38"/>
        <v>-1.2133146469131884E-2</v>
      </c>
      <c r="AP141" s="4">
        <f t="shared" ca="1" si="39"/>
        <v>3.0577194381389066E-3</v>
      </c>
    </row>
    <row r="142" spans="1:42" x14ac:dyDescent="0.3">
      <c r="A142" s="1">
        <v>45798</v>
      </c>
      <c r="B142" s="3">
        <f>Data!B139</f>
        <v>258.53152465820301</v>
      </c>
      <c r="C142" s="3">
        <f>Data!H139</f>
        <v>123.68253326416</v>
      </c>
      <c r="D142" s="3">
        <f>Data!N139</f>
        <v>42.7587890625</v>
      </c>
      <c r="F142" s="1">
        <v>45798</v>
      </c>
      <c r="G142" s="4">
        <f t="shared" si="40"/>
        <v>-1.7464567683460608E-2</v>
      </c>
      <c r="H142" s="4">
        <f t="shared" si="41"/>
        <v>-2.9660120128009115E-2</v>
      </c>
      <c r="I142" s="4">
        <f t="shared" si="42"/>
        <v>-3.2221885401502282E-2</v>
      </c>
      <c r="T142">
        <v>136</v>
      </c>
      <c r="U142" s="4">
        <v>-1.9911054572387409E-2</v>
      </c>
      <c r="V142" s="4"/>
      <c r="W142">
        <v>137</v>
      </c>
      <c r="X142">
        <f t="shared" ca="1" si="43"/>
        <v>1.8294517664045189</v>
      </c>
      <c r="Y142">
        <f t="shared" ca="1" si="43"/>
        <v>-1.2450620840495477</v>
      </c>
      <c r="Z142">
        <f t="shared" ca="1" si="43"/>
        <v>-0.64461459760639539</v>
      </c>
      <c r="AA142" s="4"/>
      <c r="AB142">
        <v>137</v>
      </c>
      <c r="AC142" s="24">
        <f t="shared" ca="1" si="33"/>
        <v>1.8294517664045189</v>
      </c>
      <c r="AD142" s="24">
        <f t="shared" ca="1" si="34"/>
        <v>0.97845493410092377</v>
      </c>
      <c r="AE142" s="24">
        <f t="shared" ca="1" si="35"/>
        <v>0.82240060193197451</v>
      </c>
      <c r="AF142" s="24"/>
      <c r="AG142">
        <v>137</v>
      </c>
      <c r="AH142">
        <f t="shared" ca="1" si="44"/>
        <v>319.21945617692893</v>
      </c>
      <c r="AI142">
        <f t="shared" ca="1" si="45"/>
        <v>167.63683556807655</v>
      </c>
      <c r="AJ142">
        <f t="shared" ca="1" si="46"/>
        <v>53.80987951418534</v>
      </c>
      <c r="AL142">
        <v>137</v>
      </c>
      <c r="AM142" s="4">
        <f t="shared" ca="1" si="36"/>
        <v>3.1603715286858236E-2</v>
      </c>
      <c r="AN142" s="4">
        <f t="shared" ca="1" si="37"/>
        <v>2.0557903166744884E-2</v>
      </c>
      <c r="AO142" s="4">
        <f t="shared" ca="1" si="38"/>
        <v>1.4706406804463557E-2</v>
      </c>
      <c r="AP142" s="4">
        <f t="shared" ca="1" si="39"/>
        <v>2.211619789409449E-2</v>
      </c>
    </row>
    <row r="143" spans="1:42" x14ac:dyDescent="0.3">
      <c r="A143" s="1">
        <v>45799</v>
      </c>
      <c r="B143" s="3">
        <f>Data!B140</f>
        <v>258.16510009765602</v>
      </c>
      <c r="C143" s="3">
        <f>Data!H140</f>
        <v>124.63014221191401</v>
      </c>
      <c r="D143" s="3">
        <f>Data!N140</f>
        <v>42.818107604980398</v>
      </c>
      <c r="F143" s="1">
        <v>45799</v>
      </c>
      <c r="G143" s="4">
        <f t="shared" si="40"/>
        <v>-1.4173302889518569E-3</v>
      </c>
      <c r="H143" s="4">
        <f t="shared" si="41"/>
        <v>7.6616230501207472E-3</v>
      </c>
      <c r="I143" s="4">
        <f t="shared" si="42"/>
        <v>1.3872830307166684E-3</v>
      </c>
      <c r="T143">
        <v>137</v>
      </c>
      <c r="U143" s="4">
        <v>-1.9876447680206168E-2</v>
      </c>
      <c r="V143" s="4"/>
      <c r="W143">
        <v>138</v>
      </c>
      <c r="X143">
        <f t="shared" ca="1" si="43"/>
        <v>-0.18385609285691792</v>
      </c>
      <c r="Y143">
        <f t="shared" ca="1" si="43"/>
        <v>0.99997585725757043</v>
      </c>
      <c r="Z143">
        <f t="shared" ca="1" si="43"/>
        <v>0.94404405361585819</v>
      </c>
      <c r="AA143" s="4"/>
      <c r="AB143">
        <v>138</v>
      </c>
      <c r="AC143" s="24">
        <f t="shared" ca="1" si="33"/>
        <v>-0.18385609285691792</v>
      </c>
      <c r="AD143" s="24">
        <f t="shared" ca="1" si="34"/>
        <v>0.33274048251849342</v>
      </c>
      <c r="AE143" s="24">
        <f t="shared" ca="1" si="35"/>
        <v>0.60508865442789439</v>
      </c>
      <c r="AF143" s="24"/>
      <c r="AG143">
        <v>138</v>
      </c>
      <c r="AH143">
        <f t="shared" ca="1" si="44"/>
        <v>308.47580345959977</v>
      </c>
      <c r="AI143">
        <f t="shared" ca="1" si="45"/>
        <v>165.40128787265792</v>
      </c>
      <c r="AJ143">
        <f t="shared" ca="1" si="46"/>
        <v>53.602754515180088</v>
      </c>
      <c r="AL143">
        <v>138</v>
      </c>
      <c r="AM143" s="4">
        <f t="shared" ca="1" si="36"/>
        <v>-3.1159480810462048E-3</v>
      </c>
      <c r="AN143" s="4">
        <f t="shared" ca="1" si="37"/>
        <v>6.9480908558987586E-3</v>
      </c>
      <c r="AO143" s="4">
        <f t="shared" ca="1" si="38"/>
        <v>1.0800598700124731E-2</v>
      </c>
      <c r="AP143" s="4">
        <f t="shared" ca="1" si="39"/>
        <v>5.0846315280830608E-3</v>
      </c>
    </row>
    <row r="144" spans="1:42" x14ac:dyDescent="0.3">
      <c r="A144" s="1">
        <v>45800</v>
      </c>
      <c r="B144" s="3">
        <f>Data!B141</f>
        <v>258.20468139648398</v>
      </c>
      <c r="C144" s="3">
        <f>Data!H141</f>
        <v>124.44259643554599</v>
      </c>
      <c r="D144" s="3">
        <f>Data!N141</f>
        <v>42.709358215332003</v>
      </c>
      <c r="F144" s="1">
        <v>45800</v>
      </c>
      <c r="G144" s="4">
        <f t="shared" si="40"/>
        <v>1.533177753809678E-4</v>
      </c>
      <c r="H144" s="4">
        <f t="shared" si="41"/>
        <v>-1.504818762455673E-3</v>
      </c>
      <c r="I144" s="4">
        <f t="shared" si="42"/>
        <v>-2.5397990647243462E-3</v>
      </c>
      <c r="T144">
        <v>138</v>
      </c>
      <c r="U144" s="4">
        <v>-1.9836235635117383E-2</v>
      </c>
      <c r="V144" s="4"/>
      <c r="W144">
        <v>139</v>
      </c>
      <c r="X144">
        <f t="shared" ca="1" si="43"/>
        <v>0.98903222926179746</v>
      </c>
      <c r="Y144">
        <f t="shared" ca="1" si="43"/>
        <v>-0.12188752764776975</v>
      </c>
      <c r="Z144">
        <f t="shared" ca="1" si="43"/>
        <v>1.8776873275426642</v>
      </c>
      <c r="AA144" s="4"/>
      <c r="AB144">
        <v>139</v>
      </c>
      <c r="AC144" s="24">
        <f t="shared" ca="1" si="33"/>
        <v>0.98903222926179746</v>
      </c>
      <c r="AD144" s="24">
        <f t="shared" ca="1" si="34"/>
        <v>0.80057404788552544</v>
      </c>
      <c r="AE144" s="24">
        <f t="shared" ca="1" si="35"/>
        <v>1.7265834494756502</v>
      </c>
      <c r="AF144" s="24"/>
      <c r="AG144">
        <v>139</v>
      </c>
      <c r="AH144">
        <f t="shared" ca="1" si="44"/>
        <v>314.68994557152962</v>
      </c>
      <c r="AI144">
        <f t="shared" ca="1" si="45"/>
        <v>167.01799056607572</v>
      </c>
      <c r="AJ144">
        <f t="shared" ca="1" si="46"/>
        <v>54.680304761035323</v>
      </c>
      <c r="AL144">
        <v>139</v>
      </c>
      <c r="AM144" s="4">
        <f t="shared" ca="1" si="36"/>
        <v>1.6965948451082014E-2</v>
      </c>
      <c r="AN144" s="4">
        <f t="shared" ca="1" si="37"/>
        <v>1.6790430728560457E-2</v>
      </c>
      <c r="AO144" s="4">
        <f t="shared" ca="1" si="38"/>
        <v>3.1120234201906349E-2</v>
      </c>
      <c r="AP144" s="4">
        <f t="shared" ca="1" si="39"/>
        <v>2.1142027087320693E-2</v>
      </c>
    </row>
    <row r="145" spans="1:42" x14ac:dyDescent="0.3">
      <c r="A145" s="1">
        <v>45804</v>
      </c>
      <c r="B145" s="3">
        <f>Data!B142</f>
        <v>262.74069213867102</v>
      </c>
      <c r="C145" s="3">
        <f>Data!H142</f>
        <v>127.542068481445</v>
      </c>
      <c r="D145" s="3">
        <f>Data!N142</f>
        <v>43.7177734375</v>
      </c>
      <c r="F145" s="1">
        <v>45804</v>
      </c>
      <c r="G145" s="4">
        <f t="shared" si="40"/>
        <v>1.7567500006794301E-2</v>
      </c>
      <c r="H145" s="4">
        <f t="shared" si="41"/>
        <v>2.4906841665782498E-2</v>
      </c>
      <c r="I145" s="4">
        <f t="shared" si="42"/>
        <v>2.3611106893336453E-2</v>
      </c>
      <c r="T145">
        <v>139</v>
      </c>
      <c r="U145" s="4">
        <v>-1.9799153513067224E-2</v>
      </c>
      <c r="V145" s="4"/>
      <c r="W145">
        <v>140</v>
      </c>
      <c r="X145">
        <f t="shared" ca="1" si="43"/>
        <v>-4.5231248872160566E-3</v>
      </c>
      <c r="Y145">
        <f t="shared" ca="1" si="43"/>
        <v>-1.8456720547360947</v>
      </c>
      <c r="Z145">
        <f t="shared" ca="1" si="43"/>
        <v>1.3137452495405264</v>
      </c>
      <c r="AA145" s="4"/>
      <c r="AB145">
        <v>140</v>
      </c>
      <c r="AC145" s="24">
        <f t="shared" ca="1" si="33"/>
        <v>-4.5231248872160566E-3</v>
      </c>
      <c r="AD145" s="24">
        <f t="shared" ca="1" si="34"/>
        <v>-0.91337177463765695</v>
      </c>
      <c r="AE145" s="24">
        <f t="shared" ca="1" si="35"/>
        <v>0.15356265749415399</v>
      </c>
      <c r="AF145" s="24"/>
      <c r="AG145">
        <v>140</v>
      </c>
      <c r="AH145">
        <f t="shared" ca="1" si="44"/>
        <v>309.41792932918025</v>
      </c>
      <c r="AI145">
        <f t="shared" ca="1" si="45"/>
        <v>161.17101646450567</v>
      </c>
      <c r="AJ145">
        <f t="shared" ca="1" si="46"/>
        <v>53.17494044406746</v>
      </c>
      <c r="AL145">
        <v>140</v>
      </c>
      <c r="AM145" s="4">
        <f t="shared" ca="1" si="36"/>
        <v>-7.1332445875205153E-5</v>
      </c>
      <c r="AN145" s="4">
        <f t="shared" ca="1" si="37"/>
        <v>-1.8805419125962453E-2</v>
      </c>
      <c r="AO145" s="4">
        <f t="shared" ca="1" si="38"/>
        <v>2.7332013597414218E-3</v>
      </c>
      <c r="AP145" s="4">
        <f t="shared" ca="1" si="39"/>
        <v>-6.7236069762251164E-3</v>
      </c>
    </row>
    <row r="146" spans="1:42" x14ac:dyDescent="0.3">
      <c r="A146" s="1">
        <v>45805</v>
      </c>
      <c r="B146" s="3">
        <f>Data!B143</f>
        <v>260.95797729492102</v>
      </c>
      <c r="C146" s="3">
        <f>Data!H143</f>
        <v>125.864013671875</v>
      </c>
      <c r="D146" s="3">
        <f>Data!N143</f>
        <v>43.5595893859863</v>
      </c>
      <c r="F146" s="1">
        <v>45805</v>
      </c>
      <c r="G146" s="4">
        <f t="shared" si="40"/>
        <v>-6.7850732569780803E-3</v>
      </c>
      <c r="H146" s="4">
        <f t="shared" si="41"/>
        <v>-1.3156873097241006E-2</v>
      </c>
      <c r="I146" s="4">
        <f t="shared" si="42"/>
        <v>-3.6183007293325575E-3</v>
      </c>
      <c r="T146">
        <v>140</v>
      </c>
      <c r="U146" s="4">
        <v>-1.947864985133424E-2</v>
      </c>
      <c r="V146" s="4"/>
      <c r="W146">
        <v>141</v>
      </c>
      <c r="X146">
        <f t="shared" ca="1" si="43"/>
        <v>-0.19902655800529417</v>
      </c>
      <c r="Y146">
        <f t="shared" ca="1" si="43"/>
        <v>0.14807028673052289</v>
      </c>
      <c r="Z146">
        <f t="shared" ca="1" si="43"/>
        <v>0.38414825662785146</v>
      </c>
      <c r="AA146" s="4"/>
      <c r="AB146">
        <v>141</v>
      </c>
      <c r="AC146" s="24">
        <f t="shared" ca="1" si="33"/>
        <v>-0.19902655800529417</v>
      </c>
      <c r="AD146" s="24">
        <f t="shared" ca="1" si="34"/>
        <v>-0.10022818148038012</v>
      </c>
      <c r="AE146" s="24">
        <f t="shared" ca="1" si="35"/>
        <v>7.3384672025832848E-2</v>
      </c>
      <c r="AF146" s="24"/>
      <c r="AG146">
        <v>141</v>
      </c>
      <c r="AH146">
        <f t="shared" ca="1" si="44"/>
        <v>308.396237130732</v>
      </c>
      <c r="AI146">
        <f t="shared" ca="1" si="45"/>
        <v>163.91901539350141</v>
      </c>
      <c r="AJ146">
        <f t="shared" ca="1" si="46"/>
        <v>53.09933078333669</v>
      </c>
      <c r="AL146">
        <v>141</v>
      </c>
      <c r="AM146" s="4">
        <f t="shared" ca="1" si="36"/>
        <v>-3.3730781490400874E-3</v>
      </c>
      <c r="AN146" s="4">
        <f t="shared" ca="1" si="37"/>
        <v>-2.0758500227479049E-3</v>
      </c>
      <c r="AO146" s="4">
        <f t="shared" ca="1" si="38"/>
        <v>1.3074110057675892E-3</v>
      </c>
      <c r="AP146" s="4">
        <f t="shared" ca="1" si="39"/>
        <v>-1.4500401520809113E-3</v>
      </c>
    </row>
    <row r="147" spans="1:42" x14ac:dyDescent="0.3">
      <c r="A147" s="1">
        <v>45806</v>
      </c>
      <c r="B147" s="3">
        <f>Data!B144</f>
        <v>261.829498291015</v>
      </c>
      <c r="C147" s="3">
        <f>Data!H144</f>
        <v>126.50562286376901</v>
      </c>
      <c r="D147" s="3">
        <f>Data!N144</f>
        <v>43.737548828125</v>
      </c>
      <c r="F147" s="1">
        <v>45806</v>
      </c>
      <c r="G147" s="4">
        <f t="shared" si="40"/>
        <v>3.3396986178699795E-3</v>
      </c>
      <c r="H147" s="4">
        <f t="shared" si="41"/>
        <v>5.0976381030296558E-3</v>
      </c>
      <c r="I147" s="4">
        <f t="shared" si="42"/>
        <v>4.0854251531570185E-3</v>
      </c>
      <c r="T147">
        <v>141</v>
      </c>
      <c r="U147" s="4">
        <v>-1.9456594730440389E-2</v>
      </c>
      <c r="V147" s="4"/>
      <c r="W147">
        <v>142</v>
      </c>
      <c r="X147">
        <f t="shared" ca="1" si="43"/>
        <v>0.9501626324683341</v>
      </c>
      <c r="Y147">
        <f t="shared" ca="1" si="43"/>
        <v>0.93266799850948578</v>
      </c>
      <c r="Z147">
        <f t="shared" ca="1" si="43"/>
        <v>-1.6889709601091196</v>
      </c>
      <c r="AA147" s="4"/>
      <c r="AB147">
        <v>142</v>
      </c>
      <c r="AC147" s="24">
        <f t="shared" ca="1" si="33"/>
        <v>0.9501626324683341</v>
      </c>
      <c r="AD147" s="24">
        <f t="shared" ca="1" si="34"/>
        <v>1.2863719795736686</v>
      </c>
      <c r="AE147" s="24">
        <f t="shared" ca="1" si="35"/>
        <v>0.17582916818210836</v>
      </c>
      <c r="AF147" s="24"/>
      <c r="AG147">
        <v>142</v>
      </c>
      <c r="AH147">
        <f t="shared" ca="1" si="44"/>
        <v>314.48201673663414</v>
      </c>
      <c r="AI147">
        <f t="shared" ca="1" si="45"/>
        <v>168.71349938480213</v>
      </c>
      <c r="AJ147">
        <f t="shared" ca="1" si="46"/>
        <v>53.195957364098362</v>
      </c>
      <c r="AL147">
        <v>142</v>
      </c>
      <c r="AM147" s="4">
        <f t="shared" ca="1" si="36"/>
        <v>1.6293996430480462E-2</v>
      </c>
      <c r="AN147" s="4">
        <f t="shared" ca="1" si="37"/>
        <v>2.7112535169248497E-2</v>
      </c>
      <c r="AO147" s="4">
        <f t="shared" ca="1" si="38"/>
        <v>3.129522696997622E-3</v>
      </c>
      <c r="AP147" s="4">
        <f t="shared" ca="1" si="39"/>
        <v>1.6672069805942824E-2</v>
      </c>
    </row>
    <row r="148" spans="1:42" x14ac:dyDescent="0.3">
      <c r="A148" s="1">
        <v>45807</v>
      </c>
      <c r="B148" s="3">
        <f>Data!B145</f>
        <v>261.46307373046801</v>
      </c>
      <c r="C148" s="3">
        <f>Data!H145</f>
        <v>126.37728881835901</v>
      </c>
      <c r="D148" s="3">
        <f>Data!N145</f>
        <v>43.628795623779297</v>
      </c>
      <c r="F148" s="1">
        <v>45807</v>
      </c>
      <c r="G148" s="4">
        <f t="shared" si="40"/>
        <v>-1.3994777629666721E-3</v>
      </c>
      <c r="H148" s="4">
        <f t="shared" si="41"/>
        <v>-1.0144532907300219E-3</v>
      </c>
      <c r="I148" s="4">
        <f t="shared" si="42"/>
        <v>-2.4864951799898893E-3</v>
      </c>
      <c r="T148">
        <v>142</v>
      </c>
      <c r="U148" s="4">
        <v>-1.9449693061385241E-2</v>
      </c>
      <c r="V148" s="4"/>
      <c r="W148">
        <v>143</v>
      </c>
      <c r="X148">
        <f t="shared" ca="1" si="43"/>
        <v>-3.5212689557434881E-2</v>
      </c>
      <c r="Y148">
        <f t="shared" ca="1" si="43"/>
        <v>-0.32227550262437021</v>
      </c>
      <c r="Z148">
        <f t="shared" ca="1" si="43"/>
        <v>-0.39817485819157933</v>
      </c>
      <c r="AA148" s="4"/>
      <c r="AB148">
        <v>143</v>
      </c>
      <c r="AC148" s="24">
        <f t="shared" ca="1" si="33"/>
        <v>-3.5212689557434881E-2</v>
      </c>
      <c r="AD148" s="24">
        <f t="shared" ca="1" si="34"/>
        <v>-0.18943919223455502</v>
      </c>
      <c r="AE148" s="24">
        <f t="shared" ca="1" si="35"/>
        <v>-0.31978451515204531</v>
      </c>
      <c r="AF148" s="24"/>
      <c r="AG148">
        <v>143</v>
      </c>
      <c r="AH148">
        <f t="shared" ca="1" si="44"/>
        <v>309.25649785141786</v>
      </c>
      <c r="AI148">
        <f t="shared" ca="1" si="45"/>
        <v>163.61525504041975</v>
      </c>
      <c r="AJ148">
        <f t="shared" ca="1" si="46"/>
        <v>52.730116640680173</v>
      </c>
      <c r="AL148">
        <v>143</v>
      </c>
      <c r="AM148" s="4">
        <f t="shared" ca="1" si="36"/>
        <v>-5.9302155035012571E-4</v>
      </c>
      <c r="AN148" s="4">
        <f t="shared" ca="1" si="37"/>
        <v>-3.9251155970811968E-3</v>
      </c>
      <c r="AO148" s="4">
        <f t="shared" ca="1" si="38"/>
        <v>-5.6549527723862569E-3</v>
      </c>
      <c r="AP148" s="4">
        <f t="shared" ca="1" si="39"/>
        <v>-3.4444385356533934E-3</v>
      </c>
    </row>
    <row r="149" spans="1:42" x14ac:dyDescent="0.3">
      <c r="A149" s="1">
        <v>45810</v>
      </c>
      <c r="B149" s="3">
        <f>Data!B146</f>
        <v>262.11672973632801</v>
      </c>
      <c r="C149" s="3">
        <f>Data!H146</f>
        <v>126.74251556396401</v>
      </c>
      <c r="D149" s="3">
        <f>Data!N146</f>
        <v>43.5793647766113</v>
      </c>
      <c r="F149" s="1">
        <v>45810</v>
      </c>
      <c r="G149" s="4">
        <f t="shared" si="40"/>
        <v>2.499993580484805E-3</v>
      </c>
      <c r="H149" s="4">
        <f t="shared" si="41"/>
        <v>2.8899713628920409E-3</v>
      </c>
      <c r="I149" s="4">
        <f t="shared" si="42"/>
        <v>-1.1329867455945886E-3</v>
      </c>
      <c r="T149">
        <v>143</v>
      </c>
      <c r="U149" s="4">
        <v>-1.940691095335173E-2</v>
      </c>
      <c r="V149" s="4"/>
      <c r="W149">
        <v>144</v>
      </c>
      <c r="X149">
        <f t="shared" ca="1" si="43"/>
        <v>-0.4859874304068097</v>
      </c>
      <c r="Y149">
        <f t="shared" ca="1" si="43"/>
        <v>-0.33691254616442684</v>
      </c>
      <c r="Z149">
        <f t="shared" ca="1" si="43"/>
        <v>1.3803741192454484</v>
      </c>
      <c r="AA149" s="4"/>
      <c r="AB149">
        <v>144</v>
      </c>
      <c r="AC149" s="24">
        <f t="shared" ca="1" si="33"/>
        <v>-0.4859874304068097</v>
      </c>
      <c r="AD149" s="24">
        <f t="shared" ca="1" si="34"/>
        <v>-0.58890515167718127</v>
      </c>
      <c r="AE149" s="24">
        <f t="shared" ca="1" si="35"/>
        <v>0.21088169548750713</v>
      </c>
      <c r="AF149" s="24"/>
      <c r="AG149">
        <v>144</v>
      </c>
      <c r="AH149">
        <f t="shared" ca="1" si="44"/>
        <v>306.89503933071467</v>
      </c>
      <c r="AI149">
        <f t="shared" ca="1" si="45"/>
        <v>162.26197616103065</v>
      </c>
      <c r="AJ149">
        <f t="shared" ca="1" si="46"/>
        <v>53.229059585366606</v>
      </c>
      <c r="AL149">
        <v>144</v>
      </c>
      <c r="AM149" s="4">
        <f t="shared" ca="1" si="36"/>
        <v>-8.2244153652153429E-3</v>
      </c>
      <c r="AN149" s="4">
        <f t="shared" ca="1" si="37"/>
        <v>-1.2163755099366069E-2</v>
      </c>
      <c r="AO149" s="4">
        <f t="shared" ca="1" si="38"/>
        <v>3.7537395936642071E-3</v>
      </c>
      <c r="AP149" s="4">
        <f t="shared" ca="1" si="39"/>
        <v>-6.2067047712117684E-3</v>
      </c>
    </row>
    <row r="150" spans="1:42" x14ac:dyDescent="0.3">
      <c r="A150" s="1">
        <v>45811</v>
      </c>
      <c r="B150" s="3">
        <f>Data!B147</f>
        <v>263.71124267578102</v>
      </c>
      <c r="C150" s="3">
        <f>Data!H147</f>
        <v>127.018898010253</v>
      </c>
      <c r="D150" s="3">
        <f>Data!N147</f>
        <v>44.142887115478501</v>
      </c>
      <c r="F150" s="1">
        <v>45811</v>
      </c>
      <c r="G150" s="4">
        <f t="shared" si="40"/>
        <v>6.0832169738154196E-3</v>
      </c>
      <c r="H150" s="4">
        <f t="shared" si="41"/>
        <v>2.1806608860426291E-3</v>
      </c>
      <c r="I150" s="4">
        <f t="shared" si="42"/>
        <v>1.293094430714703E-2</v>
      </c>
      <c r="T150">
        <v>144</v>
      </c>
      <c r="U150" s="4">
        <v>-1.938640239659779E-2</v>
      </c>
      <c r="V150" s="4"/>
      <c r="W150">
        <v>145</v>
      </c>
      <c r="X150">
        <f t="shared" ca="1" si="43"/>
        <v>-0.44964566127773431</v>
      </c>
      <c r="Y150">
        <f t="shared" ca="1" si="43"/>
        <v>0.84678971295647409</v>
      </c>
      <c r="Z150">
        <f t="shared" ca="1" si="43"/>
        <v>0.90494626929571953</v>
      </c>
      <c r="AA150" s="4"/>
      <c r="AB150">
        <v>145</v>
      </c>
      <c r="AC150" s="24">
        <f t="shared" ca="1" si="33"/>
        <v>-0.44964566127773431</v>
      </c>
      <c r="AD150" s="24">
        <f t="shared" ca="1" si="34"/>
        <v>2.5975683151840623E-2</v>
      </c>
      <c r="AE150" s="24">
        <f t="shared" ca="1" si="35"/>
        <v>0.3260148217122788</v>
      </c>
      <c r="AF150" s="24"/>
      <c r="AG150">
        <v>145</v>
      </c>
      <c r="AH150">
        <f t="shared" ca="1" si="44"/>
        <v>307.08475162106595</v>
      </c>
      <c r="AI150">
        <f t="shared" ca="1" si="45"/>
        <v>164.34969856710433</v>
      </c>
      <c r="AJ150">
        <f t="shared" ca="1" si="46"/>
        <v>53.337931770103999</v>
      </c>
      <c r="AL150">
        <v>145</v>
      </c>
      <c r="AM150" s="4">
        <f t="shared" ca="1" si="36"/>
        <v>-7.6113327357734128E-3</v>
      </c>
      <c r="AN150" s="4">
        <f t="shared" ca="1" si="37"/>
        <v>5.4611021106287794E-4</v>
      </c>
      <c r="AO150" s="4">
        <f t="shared" ca="1" si="38"/>
        <v>5.8067697132857532E-3</v>
      </c>
      <c r="AP150" s="4">
        <f t="shared" ca="1" si="39"/>
        <v>-3.2292482232114655E-4</v>
      </c>
    </row>
    <row r="151" spans="1:42" x14ac:dyDescent="0.3">
      <c r="A151" s="1">
        <v>45812</v>
      </c>
      <c r="B151" s="3">
        <f>Data!B148</f>
        <v>261.68096923828102</v>
      </c>
      <c r="C151" s="3">
        <f>Data!H148</f>
        <v>126.50562286376901</v>
      </c>
      <c r="D151" s="3">
        <f>Data!N148</f>
        <v>43.856182098388601</v>
      </c>
      <c r="F151" s="1">
        <v>45812</v>
      </c>
      <c r="G151" s="4">
        <f t="shared" si="40"/>
        <v>-7.698850518846112E-3</v>
      </c>
      <c r="H151" s="4">
        <f t="shared" si="41"/>
        <v>-4.0409352822645683E-3</v>
      </c>
      <c r="I151" s="4">
        <f t="shared" si="42"/>
        <v>-6.4949312522281089E-3</v>
      </c>
      <c r="T151">
        <v>145</v>
      </c>
      <c r="U151" s="4">
        <v>-1.9371324501382313E-2</v>
      </c>
      <c r="V151" s="4"/>
      <c r="W151">
        <v>146</v>
      </c>
      <c r="X151">
        <f t="shared" ca="1" si="43"/>
        <v>-0.97745188137319272</v>
      </c>
      <c r="Y151">
        <f t="shared" ca="1" si="43"/>
        <v>-1.2499516348610043E-3</v>
      </c>
      <c r="Z151">
        <f t="shared" ca="1" si="43"/>
        <v>0.91106988694781466</v>
      </c>
      <c r="AA151" s="4"/>
      <c r="AB151">
        <v>146</v>
      </c>
      <c r="AC151" s="24">
        <f t="shared" ca="1" si="33"/>
        <v>-0.97745188137319272</v>
      </c>
      <c r="AD151" s="24">
        <f t="shared" ca="1" si="34"/>
        <v>-0.85117182023997007</v>
      </c>
      <c r="AE151" s="24">
        <f t="shared" ca="1" si="35"/>
        <v>-0.33578543862411731</v>
      </c>
      <c r="AF151" s="24"/>
      <c r="AG151">
        <v>146</v>
      </c>
      <c r="AH151">
        <f t="shared" ca="1" si="44"/>
        <v>304.3409631437242</v>
      </c>
      <c r="AI151">
        <f t="shared" ca="1" si="45"/>
        <v>161.37958263377683</v>
      </c>
      <c r="AJ151">
        <f t="shared" ca="1" si="46"/>
        <v>52.715145110108971</v>
      </c>
      <c r="AL151">
        <v>146</v>
      </c>
      <c r="AM151" s="4">
        <f t="shared" ca="1" si="36"/>
        <v>-1.6478280950916635E-2</v>
      </c>
      <c r="AN151" s="4">
        <f t="shared" ca="1" si="37"/>
        <v>-1.7535687138588774E-2</v>
      </c>
      <c r="AO151" s="4">
        <f t="shared" ca="1" si="38"/>
        <v>-5.9372746829242651E-3</v>
      </c>
      <c r="AP151" s="4">
        <f t="shared" ca="1" si="39"/>
        <v>-1.3738941545587781E-2</v>
      </c>
    </row>
    <row r="152" spans="1:42" x14ac:dyDescent="0.3">
      <c r="A152" s="1">
        <v>45813</v>
      </c>
      <c r="B152" s="3">
        <f>Data!B149</f>
        <v>259.43280029296801</v>
      </c>
      <c r="C152" s="3">
        <f>Data!H149</f>
        <v>128.93385314941401</v>
      </c>
      <c r="D152" s="3">
        <f>Data!N149</f>
        <v>43.875957489013601</v>
      </c>
      <c r="F152" s="1">
        <v>45813</v>
      </c>
      <c r="G152" s="4">
        <f t="shared" si="40"/>
        <v>-8.591258859431572E-3</v>
      </c>
      <c r="H152" s="4">
        <f t="shared" si="41"/>
        <v>1.919464313661301E-2</v>
      </c>
      <c r="I152" s="4">
        <f t="shared" si="42"/>
        <v>4.5091455021406546E-4</v>
      </c>
      <c r="T152">
        <v>146</v>
      </c>
      <c r="U152" s="4">
        <v>-1.933887792909654E-2</v>
      </c>
      <c r="V152" s="4"/>
      <c r="W152">
        <v>147</v>
      </c>
      <c r="X152">
        <f t="shared" ca="1" si="43"/>
        <v>1.3132321520742078</v>
      </c>
      <c r="Y152">
        <f t="shared" ca="1" si="43"/>
        <v>1.1224532279931381</v>
      </c>
      <c r="Z152">
        <f t="shared" ca="1" si="43"/>
        <v>-0.81725869075522628</v>
      </c>
      <c r="AA152" s="4"/>
      <c r="AB152">
        <v>147</v>
      </c>
      <c r="AC152" s="24">
        <f t="shared" ca="1" si="33"/>
        <v>1.3132321520742078</v>
      </c>
      <c r="AD152" s="24">
        <f t="shared" ca="1" si="34"/>
        <v>1.6958213539972826</v>
      </c>
      <c r="AE152" s="24">
        <f t="shared" ca="1" si="35"/>
        <v>0.96697331779428275</v>
      </c>
      <c r="AF152" s="24"/>
      <c r="AG152">
        <v>147</v>
      </c>
      <c r="AH152">
        <f t="shared" ca="1" si="44"/>
        <v>316.42958308902325</v>
      </c>
      <c r="AI152">
        <f t="shared" ca="1" si="45"/>
        <v>170.15590016319828</v>
      </c>
      <c r="AJ152">
        <f t="shared" ca="1" si="46"/>
        <v>53.94811823342188</v>
      </c>
      <c r="AL152">
        <v>147</v>
      </c>
      <c r="AM152" s="4">
        <f t="shared" ca="1" si="36"/>
        <v>2.2587838005659E-2</v>
      </c>
      <c r="AN152" s="4">
        <f t="shared" ca="1" si="37"/>
        <v>3.5893740737449997E-2</v>
      </c>
      <c r="AO152" s="4">
        <f t="shared" ca="1" si="38"/>
        <v>1.7313209037514099E-2</v>
      </c>
      <c r="AP152" s="4">
        <f t="shared" ca="1" si="39"/>
        <v>2.6327810407931928E-2</v>
      </c>
    </row>
    <row r="153" spans="1:42" x14ac:dyDescent="0.3">
      <c r="A153" s="1">
        <v>45814</v>
      </c>
      <c r="B153" s="3">
        <f>Data!B150</f>
        <v>263.17645263671801</v>
      </c>
      <c r="C153" s="3">
        <f>Data!H150</f>
        <v>130.11837768554599</v>
      </c>
      <c r="D153" s="3">
        <f>Data!N150</f>
        <v>44.7212524414062</v>
      </c>
      <c r="F153" s="1">
        <v>45814</v>
      </c>
      <c r="G153" s="4">
        <f t="shared" si="40"/>
        <v>1.443014275574428E-2</v>
      </c>
      <c r="H153" s="4">
        <f t="shared" si="41"/>
        <v>9.1870715657531576E-3</v>
      </c>
      <c r="I153" s="4">
        <f t="shared" si="42"/>
        <v>1.9265561386421215E-2</v>
      </c>
      <c r="T153">
        <v>147</v>
      </c>
      <c r="U153" s="4">
        <v>-1.9307991166598336E-2</v>
      </c>
      <c r="V153" s="4"/>
      <c r="W153">
        <v>148</v>
      </c>
      <c r="X153">
        <f t="shared" ca="1" si="43"/>
        <v>-1.6851106213455203</v>
      </c>
      <c r="Y153">
        <f t="shared" ca="1" si="43"/>
        <v>1.5996871066274154</v>
      </c>
      <c r="Z153">
        <f t="shared" ca="1" si="43"/>
        <v>-0.85261198989054388</v>
      </c>
      <c r="AA153" s="4"/>
      <c r="AB153">
        <v>148</v>
      </c>
      <c r="AC153" s="24">
        <f t="shared" ca="1" si="33"/>
        <v>-1.6851106213455203</v>
      </c>
      <c r="AD153" s="24">
        <f t="shared" ca="1" si="34"/>
        <v>-0.67811480302037164</v>
      </c>
      <c r="AE153" s="24">
        <f t="shared" ca="1" si="35"/>
        <v>-1.3665581416399697</v>
      </c>
      <c r="AF153" s="24"/>
      <c r="AG153">
        <v>148</v>
      </c>
      <c r="AH153">
        <f t="shared" ca="1" si="44"/>
        <v>300.70064604145722</v>
      </c>
      <c r="AI153">
        <f t="shared" ca="1" si="45"/>
        <v>161.96129106553491</v>
      </c>
      <c r="AJ153">
        <f t="shared" ca="1" si="46"/>
        <v>51.759589073979861</v>
      </c>
      <c r="AL153">
        <v>148</v>
      </c>
      <c r="AM153" s="4">
        <f t="shared" ca="1" si="36"/>
        <v>-2.8242490728404235E-2</v>
      </c>
      <c r="AN153" s="4">
        <f t="shared" ca="1" si="37"/>
        <v>-1.3994298783471804E-2</v>
      </c>
      <c r="AO153" s="4">
        <f t="shared" ca="1" si="38"/>
        <v>-2.3956434745627586E-2</v>
      </c>
      <c r="AP153" s="4">
        <f t="shared" ca="1" si="39"/>
        <v>-2.1257397155598268E-2</v>
      </c>
    </row>
    <row r="154" spans="1:42" x14ac:dyDescent="0.3">
      <c r="A154" s="1">
        <v>45817</v>
      </c>
      <c r="B154" s="3">
        <f>Data!B151</f>
        <v>264.17672729492102</v>
      </c>
      <c r="C154" s="3">
        <f>Data!H151</f>
        <v>130.24668884277301</v>
      </c>
      <c r="D154" s="3">
        <f>Data!N151</f>
        <v>44.621803283691399</v>
      </c>
      <c r="F154" s="1">
        <v>45817</v>
      </c>
      <c r="G154" s="4">
        <f t="shared" si="40"/>
        <v>3.8007756703970497E-3</v>
      </c>
      <c r="H154" s="4">
        <f t="shared" si="41"/>
        <v>9.8611095149903072E-4</v>
      </c>
      <c r="I154" s="4">
        <f t="shared" si="42"/>
        <v>-2.2237560954961877E-3</v>
      </c>
      <c r="T154">
        <v>148</v>
      </c>
      <c r="U154" s="4">
        <v>-1.9296132004931865E-2</v>
      </c>
      <c r="V154" s="4"/>
      <c r="W154">
        <v>149</v>
      </c>
      <c r="X154">
        <f t="shared" ca="1" si="43"/>
        <v>-0.52525939642691943</v>
      </c>
      <c r="Y154">
        <f t="shared" ca="1" si="43"/>
        <v>-0.37288784292748928</v>
      </c>
      <c r="Z154">
        <f t="shared" ca="1" si="43"/>
        <v>0.66641939923701854</v>
      </c>
      <c r="AA154" s="4"/>
      <c r="AB154">
        <v>149</v>
      </c>
      <c r="AC154" s="24">
        <f t="shared" ca="1" si="33"/>
        <v>-0.52525939642691943</v>
      </c>
      <c r="AD154" s="24">
        <f t="shared" ca="1" si="34"/>
        <v>-0.64080516035181301</v>
      </c>
      <c r="AE154" s="24">
        <f t="shared" ca="1" si="35"/>
        <v>-0.19344708149152229</v>
      </c>
      <c r="AF154" s="24"/>
      <c r="AG154">
        <v>149</v>
      </c>
      <c r="AH154">
        <f t="shared" ca="1" si="44"/>
        <v>306.69016250183137</v>
      </c>
      <c r="AI154">
        <f t="shared" ca="1" si="45"/>
        <v>162.08697702893565</v>
      </c>
      <c r="AJ154">
        <f t="shared" ca="1" si="46"/>
        <v>52.848475786828871</v>
      </c>
      <c r="AL154">
        <v>149</v>
      </c>
      <c r="AM154" s="4">
        <f t="shared" ca="1" si="36"/>
        <v>-8.8865043881821704E-3</v>
      </c>
      <c r="AN154" s="4">
        <f t="shared" ca="1" si="37"/>
        <v>-1.3229133998351239E-2</v>
      </c>
      <c r="AO154" s="4">
        <f t="shared" ca="1" si="38"/>
        <v>-3.4230246397590758E-3</v>
      </c>
      <c r="AP154" s="4">
        <f t="shared" ca="1" si="39"/>
        <v>-8.9845123077228698E-3</v>
      </c>
    </row>
    <row r="155" spans="1:42" x14ac:dyDescent="0.3">
      <c r="A155" s="1">
        <v>45818</v>
      </c>
      <c r="B155" s="3">
        <f>Data!B152</f>
        <v>266.01885986328102</v>
      </c>
      <c r="C155" s="3">
        <f>Data!H152</f>
        <v>130.11837768554599</v>
      </c>
      <c r="D155" s="3">
        <f>Data!N152</f>
        <v>44.840587615966797</v>
      </c>
      <c r="F155" s="1">
        <v>45818</v>
      </c>
      <c r="G155" s="4">
        <f t="shared" si="40"/>
        <v>6.9731069319496353E-3</v>
      </c>
      <c r="H155" s="4">
        <f t="shared" si="41"/>
        <v>-9.8513949465472983E-4</v>
      </c>
      <c r="I155" s="4">
        <f t="shared" si="42"/>
        <v>4.9030813677437557E-3</v>
      </c>
      <c r="T155">
        <v>149</v>
      </c>
      <c r="U155" s="4">
        <v>-1.9235478016445384E-2</v>
      </c>
      <c r="V155" s="4"/>
      <c r="W155">
        <v>150</v>
      </c>
      <c r="X155">
        <f t="shared" ca="1" si="43"/>
        <v>2.58325320239285E-2</v>
      </c>
      <c r="Y155">
        <f t="shared" ca="1" si="43"/>
        <v>1.0783683206400676</v>
      </c>
      <c r="Z155">
        <f t="shared" ca="1" si="43"/>
        <v>0.20573684134141251</v>
      </c>
      <c r="AA155" s="4"/>
      <c r="AB155">
        <v>150</v>
      </c>
      <c r="AC155" s="24">
        <f t="shared" ca="1" si="33"/>
        <v>2.58325320239285E-2</v>
      </c>
      <c r="AD155" s="24">
        <f t="shared" ca="1" si="34"/>
        <v>0.5538337297737923</v>
      </c>
      <c r="AE155" s="24">
        <f t="shared" ca="1" si="35"/>
        <v>0.42317976454142203</v>
      </c>
      <c r="AF155" s="24"/>
      <c r="AG155">
        <v>150</v>
      </c>
      <c r="AH155">
        <f t="shared" ca="1" si="44"/>
        <v>309.57768730119619</v>
      </c>
      <c r="AI155">
        <f t="shared" ca="1" si="45"/>
        <v>166.16336503144365</v>
      </c>
      <c r="AJ155">
        <f t="shared" ca="1" si="46"/>
        <v>53.429986127877008</v>
      </c>
      <c r="AL155">
        <v>150</v>
      </c>
      <c r="AM155" s="4">
        <f t="shared" ca="1" si="36"/>
        <v>4.4494848340193016E-4</v>
      </c>
      <c r="AN155" s="4">
        <f t="shared" ca="1" si="37"/>
        <v>1.1587547718622693E-2</v>
      </c>
      <c r="AO155" s="4">
        <f t="shared" ca="1" si="38"/>
        <v>7.5426618477760776E-3</v>
      </c>
      <c r="AP155" s="4">
        <f t="shared" ca="1" si="39"/>
        <v>7.0313021868024794E-3</v>
      </c>
    </row>
    <row r="156" spans="1:42" x14ac:dyDescent="0.3">
      <c r="A156" s="1">
        <v>45819</v>
      </c>
      <c r="B156" s="3">
        <f>Data!B153</f>
        <v>265.57318115234301</v>
      </c>
      <c r="C156" s="3">
        <f>Data!H153</f>
        <v>130.10848999023401</v>
      </c>
      <c r="D156" s="3">
        <f>Data!N153</f>
        <v>44.482578277587798</v>
      </c>
      <c r="F156" s="1">
        <v>45819</v>
      </c>
      <c r="G156" s="4">
        <f t="shared" si="40"/>
        <v>-1.675365089404024E-3</v>
      </c>
      <c r="H156" s="4">
        <f t="shared" si="41"/>
        <v>-7.5989998398862113E-5</v>
      </c>
      <c r="I156" s="4">
        <f t="shared" si="42"/>
        <v>-7.9840465393794524E-3</v>
      </c>
      <c r="T156">
        <v>150</v>
      </c>
      <c r="U156" s="4">
        <v>-1.9192507419701233E-2</v>
      </c>
      <c r="V156" s="4"/>
      <c r="W156">
        <v>151</v>
      </c>
      <c r="X156">
        <f t="shared" ca="1" si="43"/>
        <v>0.12089422528159675</v>
      </c>
      <c r="Y156">
        <f t="shared" ca="1" si="43"/>
        <v>-0.36519810196095642</v>
      </c>
      <c r="Z156">
        <f t="shared" ca="1" si="43"/>
        <v>-0.20762804305612007</v>
      </c>
      <c r="AA156" s="4"/>
      <c r="AB156">
        <v>151</v>
      </c>
      <c r="AC156" s="24">
        <f t="shared" ca="1" si="33"/>
        <v>0.12089422528159675</v>
      </c>
      <c r="AD156" s="24">
        <f t="shared" ca="1" si="34"/>
        <v>-7.4748249377543569E-2</v>
      </c>
      <c r="AE156" s="24">
        <f t="shared" ca="1" si="35"/>
        <v>-0.10750903475180575</v>
      </c>
      <c r="AF156" s="24"/>
      <c r="AG156">
        <v>151</v>
      </c>
      <c r="AH156">
        <f t="shared" ca="1" si="44"/>
        <v>310.07851875271677</v>
      </c>
      <c r="AI156">
        <f t="shared" ca="1" si="45"/>
        <v>164.00587715794575</v>
      </c>
      <c r="AJ156">
        <f t="shared" ca="1" si="46"/>
        <v>52.929138578666311</v>
      </c>
      <c r="AL156">
        <v>151</v>
      </c>
      <c r="AM156" s="4">
        <f t="shared" ca="1" si="36"/>
        <v>2.0634575564666413E-3</v>
      </c>
      <c r="AN156" s="4">
        <f t="shared" ca="1" si="37"/>
        <v>-1.5470434517680376E-3</v>
      </c>
      <c r="AO156" s="4">
        <f t="shared" ca="1" si="38"/>
        <v>-1.9019461239335733E-3</v>
      </c>
      <c r="AP156" s="4">
        <f t="shared" ca="1" si="39"/>
        <v>-5.7036395094729471E-4</v>
      </c>
    </row>
    <row r="157" spans="1:42" x14ac:dyDescent="0.3">
      <c r="A157" s="1">
        <v>45820</v>
      </c>
      <c r="B157" s="3">
        <f>Data!B154</f>
        <v>265.66229248046801</v>
      </c>
      <c r="C157" s="3">
        <f>Data!H154</f>
        <v>130.21707153320301</v>
      </c>
      <c r="D157" s="3">
        <f>Data!N154</f>
        <v>44.3731880187988</v>
      </c>
      <c r="F157" s="1">
        <v>45820</v>
      </c>
      <c r="G157" s="4">
        <f t="shared" si="40"/>
        <v>3.3554339989572135E-4</v>
      </c>
      <c r="H157" s="4">
        <f t="shared" si="41"/>
        <v>8.3454617740286174E-4</v>
      </c>
      <c r="I157" s="4">
        <f t="shared" si="42"/>
        <v>-2.4591708265281342E-3</v>
      </c>
      <c r="T157">
        <v>151</v>
      </c>
      <c r="U157" s="4">
        <v>-1.9190218404645309E-2</v>
      </c>
      <c r="V157" s="4"/>
      <c r="W157">
        <v>152</v>
      </c>
      <c r="X157">
        <f t="shared" ca="1" si="43"/>
        <v>-0.81316929015898232</v>
      </c>
      <c r="Y157">
        <f t="shared" ca="1" si="43"/>
        <v>3.0229449315492724E-2</v>
      </c>
      <c r="Z157">
        <f t="shared" ca="1" si="43"/>
        <v>1.1873670880958367</v>
      </c>
      <c r="AA157" s="4"/>
      <c r="AB157">
        <v>152</v>
      </c>
      <c r="AC157" s="24">
        <f t="shared" ca="1" si="33"/>
        <v>-0.81316929015898232</v>
      </c>
      <c r="AD157" s="24">
        <f t="shared" ca="1" si="34"/>
        <v>-0.69270577597017036</v>
      </c>
      <c r="AE157" s="24">
        <f t="shared" ca="1" si="35"/>
        <v>-5.2778681585390008E-2</v>
      </c>
      <c r="AF157" s="24"/>
      <c r="AG157">
        <v>152</v>
      </c>
      <c r="AH157">
        <f t="shared" ca="1" si="44"/>
        <v>305.19234431923934</v>
      </c>
      <c r="AI157">
        <f t="shared" ca="1" si="45"/>
        <v>161.9121645897491</v>
      </c>
      <c r="AJ157">
        <f t="shared" ca="1" si="46"/>
        <v>52.980573501294892</v>
      </c>
      <c r="AL157">
        <v>152</v>
      </c>
      <c r="AM157" s="4">
        <f t="shared" ca="1" si="36"/>
        <v>-1.3726919883187971E-2</v>
      </c>
      <c r="AN157" s="4">
        <f t="shared" ca="1" si="37"/>
        <v>-1.4293376327783824E-2</v>
      </c>
      <c r="AO157" s="4">
        <f t="shared" ca="1" si="38"/>
        <v>-9.3202487534660428E-4</v>
      </c>
      <c r="AP157" s="4">
        <f t="shared" ca="1" si="39"/>
        <v>-1.0115033958673903E-2</v>
      </c>
    </row>
    <row r="158" spans="1:42" x14ac:dyDescent="0.3">
      <c r="A158" s="1">
        <v>45821</v>
      </c>
      <c r="B158" s="3">
        <f>Data!B155</f>
        <v>262.40396118164</v>
      </c>
      <c r="C158" s="3">
        <f>Data!H155</f>
        <v>127.81845092773401</v>
      </c>
      <c r="D158" s="3">
        <f>Data!N155</f>
        <v>43.846118927001903</v>
      </c>
      <c r="F158" s="1">
        <v>45821</v>
      </c>
      <c r="G158" s="4">
        <f t="shared" si="40"/>
        <v>-1.2264937068807269E-2</v>
      </c>
      <c r="H158" s="4">
        <f t="shared" si="41"/>
        <v>-1.8420170083900289E-2</v>
      </c>
      <c r="I158" s="4">
        <f t="shared" si="42"/>
        <v>-1.1878098359162315E-2</v>
      </c>
      <c r="T158">
        <v>152</v>
      </c>
      <c r="U158" s="4">
        <v>-1.9180606418025117E-2</v>
      </c>
      <c r="V158" s="4"/>
      <c r="W158">
        <v>153</v>
      </c>
      <c r="X158">
        <f t="shared" ca="1" si="43"/>
        <v>1.1040542422646842</v>
      </c>
      <c r="Y158">
        <f t="shared" ca="1" si="43"/>
        <v>0.75511200117797794</v>
      </c>
      <c r="Z158">
        <f t="shared" ca="1" si="43"/>
        <v>-0.59876097513510285</v>
      </c>
      <c r="AA158" s="4"/>
      <c r="AB158">
        <v>153</v>
      </c>
      <c r="AC158" s="24">
        <f t="shared" ca="1" si="33"/>
        <v>1.1040542422646842</v>
      </c>
      <c r="AD158" s="24">
        <f t="shared" ca="1" si="34"/>
        <v>1.3327959980893465</v>
      </c>
      <c r="AE158" s="24">
        <f t="shared" ca="1" si="35"/>
        <v>0.8057243644108244</v>
      </c>
      <c r="AF158" s="24"/>
      <c r="AG158">
        <v>153</v>
      </c>
      <c r="AH158">
        <f t="shared" ca="1" si="44"/>
        <v>315.30604946506469</v>
      </c>
      <c r="AI158">
        <f t="shared" ca="1" si="45"/>
        <v>168.87642455325386</v>
      </c>
      <c r="AJ158">
        <f t="shared" ca="1" si="46"/>
        <v>53.793956696928511</v>
      </c>
      <c r="AL158">
        <v>153</v>
      </c>
      <c r="AM158" s="4">
        <f t="shared" ca="1" si="36"/>
        <v>1.8956977046849177E-2</v>
      </c>
      <c r="AN158" s="4">
        <f t="shared" ca="1" si="37"/>
        <v>2.8104408868872666E-2</v>
      </c>
      <c r="AO158" s="4">
        <f t="shared" ca="1" si="38"/>
        <v>1.4406146242077034E-2</v>
      </c>
      <c r="AP158" s="4">
        <f t="shared" ca="1" si="39"/>
        <v>2.1250700534226931E-2</v>
      </c>
    </row>
    <row r="159" spans="1:42" x14ac:dyDescent="0.3">
      <c r="A159" s="1">
        <v>45824</v>
      </c>
      <c r="B159" s="3">
        <f>Data!B156</f>
        <v>267.76193237304602</v>
      </c>
      <c r="C159" s="3">
        <f>Data!H156</f>
        <v>129.21023559570301</v>
      </c>
      <c r="D159" s="3">
        <f>Data!N156</f>
        <v>44.164348602294901</v>
      </c>
      <c r="F159" s="1">
        <v>45824</v>
      </c>
      <c r="G159" s="4">
        <f t="shared" si="40"/>
        <v>2.0418789286862804E-2</v>
      </c>
      <c r="H159" s="4">
        <f t="shared" si="41"/>
        <v>1.0888761816992165E-2</v>
      </c>
      <c r="I159" s="4">
        <f t="shared" si="42"/>
        <v>7.257875567568739E-3</v>
      </c>
      <c r="T159">
        <v>153</v>
      </c>
      <c r="U159" s="4">
        <v>-1.9173422429038613E-2</v>
      </c>
      <c r="V159" s="4"/>
      <c r="W159">
        <v>154</v>
      </c>
      <c r="X159">
        <f t="shared" ca="1" si="43"/>
        <v>-1.62840922590976</v>
      </c>
      <c r="Y159">
        <f t="shared" ca="1" si="43"/>
        <v>-1.4554317650035893</v>
      </c>
      <c r="Z159">
        <f t="shared" ca="1" si="43"/>
        <v>1.7224371958340163</v>
      </c>
      <c r="AA159" s="4"/>
      <c r="AB159">
        <v>154</v>
      </c>
      <c r="AC159" s="24">
        <f t="shared" ca="1" si="33"/>
        <v>-1.62840922590976</v>
      </c>
      <c r="AD159" s="24">
        <f t="shared" ca="1" si="34"/>
        <v>-2.1341528591622887</v>
      </c>
      <c r="AE159" s="24">
        <f t="shared" ca="1" si="35"/>
        <v>-0.85675478968393115</v>
      </c>
      <c r="AF159" s="24"/>
      <c r="AG159">
        <v>154</v>
      </c>
      <c r="AH159">
        <f t="shared" ca="1" si="44"/>
        <v>300.99071605121622</v>
      </c>
      <c r="AI159">
        <f t="shared" ca="1" si="45"/>
        <v>157.13167292768878</v>
      </c>
      <c r="AJ159">
        <f t="shared" ca="1" si="46"/>
        <v>52.230006825491301</v>
      </c>
      <c r="AL159">
        <v>154</v>
      </c>
      <c r="AM159" s="4">
        <f t="shared" ca="1" si="36"/>
        <v>-2.7305087653590299E-2</v>
      </c>
      <c r="AN159" s="4">
        <f t="shared" ca="1" si="37"/>
        <v>-4.3396577484054455E-2</v>
      </c>
      <c r="AO159" s="4">
        <f t="shared" ca="1" si="38"/>
        <v>-1.5085649108440458E-2</v>
      </c>
      <c r="AP159" s="4">
        <f t="shared" ca="1" si="39"/>
        <v>-3.0075852022231009E-2</v>
      </c>
    </row>
    <row r="160" spans="1:42" x14ac:dyDescent="0.3">
      <c r="A160" s="1">
        <v>45825</v>
      </c>
      <c r="B160" s="3">
        <f>Data!B157</f>
        <v>266.93002319335898</v>
      </c>
      <c r="C160" s="3">
        <f>Data!H157</f>
        <v>128.41069030761699</v>
      </c>
      <c r="D160" s="3">
        <f>Data!N157</f>
        <v>43.985343933105398</v>
      </c>
      <c r="F160" s="1">
        <v>45825</v>
      </c>
      <c r="G160" s="4">
        <f t="shared" si="40"/>
        <v>-3.1068986256345132E-3</v>
      </c>
      <c r="H160" s="4">
        <f t="shared" si="41"/>
        <v>-6.1879407958653765E-3</v>
      </c>
      <c r="I160" s="4">
        <f t="shared" si="42"/>
        <v>-4.0531486335609879E-3</v>
      </c>
      <c r="T160">
        <v>154</v>
      </c>
      <c r="U160" s="4">
        <v>-1.9161969303224648E-2</v>
      </c>
      <c r="V160" s="4"/>
      <c r="W160">
        <v>155</v>
      </c>
      <c r="X160">
        <f t="shared" ca="1" si="43"/>
        <v>0.97117991874164855</v>
      </c>
      <c r="Y160">
        <f t="shared" ca="1" si="43"/>
        <v>-4.0054639255043434E-2</v>
      </c>
      <c r="Z160">
        <f t="shared" ca="1" si="43"/>
        <v>0.77558981156283602</v>
      </c>
      <c r="AA160" s="4"/>
      <c r="AB160">
        <v>155</v>
      </c>
      <c r="AC160" s="24">
        <f t="shared" ca="1" si="33"/>
        <v>0.97117991874164855</v>
      </c>
      <c r="AD160" s="24">
        <f t="shared" ca="1" si="34"/>
        <v>0.82536169319439967</v>
      </c>
      <c r="AE160" s="24">
        <f t="shared" ca="1" si="35"/>
        <v>1.175270037139561</v>
      </c>
      <c r="AF160" s="24"/>
      <c r="AG160">
        <v>155</v>
      </c>
      <c r="AH160">
        <f t="shared" ca="1" si="44"/>
        <v>314.59442944180682</v>
      </c>
      <c r="AI160">
        <f t="shared" ca="1" si="45"/>
        <v>167.10408923661251</v>
      </c>
      <c r="AJ160">
        <f t="shared" ca="1" si="46"/>
        <v>54.14791376660979</v>
      </c>
      <c r="AL160">
        <v>155</v>
      </c>
      <c r="AM160" s="4">
        <f t="shared" ca="1" si="36"/>
        <v>1.6657274301103975E-2</v>
      </c>
      <c r="AN160" s="4">
        <f t="shared" ca="1" si="37"/>
        <v>1.7314591652803024E-2</v>
      </c>
      <c r="AO160" s="4">
        <f t="shared" ca="1" si="38"/>
        <v>2.1080803564895279E-2</v>
      </c>
      <c r="AP160" s="4">
        <f t="shared" ca="1" si="39"/>
        <v>1.8247260020920988E-2</v>
      </c>
    </row>
    <row r="161" spans="1:42" x14ac:dyDescent="0.3">
      <c r="A161" s="1">
        <v>45826</v>
      </c>
      <c r="B161" s="3">
        <f>Data!B158</f>
        <v>271.32736206054602</v>
      </c>
      <c r="C161" s="3">
        <f>Data!H158</f>
        <v>130.80934143066401</v>
      </c>
      <c r="D161" s="3">
        <f>Data!N158</f>
        <v>44.810756683349602</v>
      </c>
      <c r="F161" s="1">
        <v>45826</v>
      </c>
      <c r="G161" s="4">
        <f t="shared" si="40"/>
        <v>1.6473751489549437E-2</v>
      </c>
      <c r="H161" s="4">
        <f t="shared" si="41"/>
        <v>1.8679528295509229E-2</v>
      </c>
      <c r="I161" s="4">
        <f t="shared" si="42"/>
        <v>1.8765631377113401E-2</v>
      </c>
      <c r="T161">
        <v>155</v>
      </c>
      <c r="U161" s="4">
        <v>-1.9109039356683122E-2</v>
      </c>
      <c r="V161" s="4"/>
      <c r="W161">
        <v>156</v>
      </c>
      <c r="X161">
        <f t="shared" ca="1" si="43"/>
        <v>-1.8009979467155768</v>
      </c>
      <c r="Y161">
        <f t="shared" ca="1" si="43"/>
        <v>0.28743703425301959</v>
      </c>
      <c r="Z161">
        <f t="shared" ca="1" si="43"/>
        <v>1.303174728643306</v>
      </c>
      <c r="AA161" s="4"/>
      <c r="AB161">
        <v>156</v>
      </c>
      <c r="AC161" s="24">
        <f t="shared" ca="1" si="33"/>
        <v>-1.8009979467155768</v>
      </c>
      <c r="AD161" s="24">
        <f t="shared" ca="1" si="34"/>
        <v>-1.4255549412095887</v>
      </c>
      <c r="AE161" s="24">
        <f t="shared" ca="1" si="35"/>
        <v>-0.72929550950005395</v>
      </c>
      <c r="AF161" s="24"/>
      <c r="AG161">
        <v>156</v>
      </c>
      <c r="AH161">
        <f t="shared" ca="1" si="44"/>
        <v>300.10866500745487</v>
      </c>
      <c r="AI161">
        <f t="shared" ca="1" si="45"/>
        <v>159.46380277225043</v>
      </c>
      <c r="AJ161">
        <f t="shared" ca="1" si="46"/>
        <v>52.348285625506108</v>
      </c>
      <c r="AL161">
        <v>156</v>
      </c>
      <c r="AM161" s="4">
        <f t="shared" ca="1" si="36"/>
        <v>-3.0155562824228155E-2</v>
      </c>
      <c r="AN161" s="4">
        <f t="shared" ca="1" si="37"/>
        <v>-2.9198781778755012E-2</v>
      </c>
      <c r="AO161" s="4">
        <f t="shared" ca="1" si="38"/>
        <v>-1.285523608303063E-2</v>
      </c>
      <c r="AP161" s="4">
        <f t="shared" ca="1" si="39"/>
        <v>-2.458275238367964E-2</v>
      </c>
    </row>
    <row r="162" spans="1:42" x14ac:dyDescent="0.3">
      <c r="A162" s="1">
        <v>45828</v>
      </c>
      <c r="B162" s="3">
        <f>Data!B159</f>
        <v>272.35736083984301</v>
      </c>
      <c r="C162" s="3">
        <f>Data!H159</f>
        <v>130.99688720703099</v>
      </c>
      <c r="D162" s="3">
        <f>Data!N159</f>
        <v>45.248321533203097</v>
      </c>
      <c r="F162" s="1">
        <v>45828</v>
      </c>
      <c r="G162" s="4">
        <f t="shared" si="40"/>
        <v>3.7961478395500681E-3</v>
      </c>
      <c r="H162" s="4">
        <f t="shared" si="41"/>
        <v>1.433733816834426E-3</v>
      </c>
      <c r="I162" s="4">
        <f t="shared" si="42"/>
        <v>9.7647279858605884E-3</v>
      </c>
      <c r="T162">
        <v>156</v>
      </c>
      <c r="U162" s="4">
        <v>-1.8952673760047768E-2</v>
      </c>
      <c r="V162" s="4"/>
      <c r="W162">
        <v>157</v>
      </c>
      <c r="X162">
        <f t="shared" ca="1" si="43"/>
        <v>0.50569662978081431</v>
      </c>
      <c r="Y162">
        <f t="shared" ca="1" si="43"/>
        <v>-1.2296170067243388</v>
      </c>
      <c r="Z162">
        <f t="shared" ca="1" si="43"/>
        <v>-1.286763779285194</v>
      </c>
      <c r="AA162" s="4"/>
      <c r="AB162">
        <v>157</v>
      </c>
      <c r="AC162" s="24">
        <f t="shared" ca="1" si="33"/>
        <v>0.50569662978081431</v>
      </c>
      <c r="AD162" s="24">
        <f t="shared" ca="1" si="34"/>
        <v>-0.16583563048842032</v>
      </c>
      <c r="AE162" s="24">
        <f t="shared" ca="1" si="35"/>
        <v>-0.57972099694909029</v>
      </c>
      <c r="AF162" s="24"/>
      <c r="AG162">
        <v>157</v>
      </c>
      <c r="AH162">
        <f t="shared" ca="1" si="44"/>
        <v>312.11413752720301</v>
      </c>
      <c r="AI162">
        <f t="shared" ca="1" si="45"/>
        <v>163.69556953076039</v>
      </c>
      <c r="AJ162">
        <f t="shared" ca="1" si="46"/>
        <v>52.48742840859768</v>
      </c>
      <c r="AL162">
        <v>157</v>
      </c>
      <c r="AM162" s="4">
        <f t="shared" ca="1" si="36"/>
        <v>8.6418532339023191E-3</v>
      </c>
      <c r="AN162" s="4">
        <f t="shared" ca="1" si="37"/>
        <v>-3.4361682390724457E-3</v>
      </c>
      <c r="AO162" s="4">
        <f t="shared" ca="1" si="38"/>
        <v>-1.0231385690903316E-2</v>
      </c>
      <c r="AP162" s="4">
        <f t="shared" ca="1" si="39"/>
        <v>-1.8513270327292772E-3</v>
      </c>
    </row>
    <row r="163" spans="1:42" x14ac:dyDescent="0.3">
      <c r="A163" s="1">
        <v>45831</v>
      </c>
      <c r="B163" s="3">
        <f>Data!B160</f>
        <v>275.59591674804602</v>
      </c>
      <c r="C163" s="3">
        <f>Data!H160</f>
        <v>132.27023315429599</v>
      </c>
      <c r="D163" s="3">
        <f>Data!N160</f>
        <v>46.043895721435497</v>
      </c>
      <c r="F163" s="1">
        <v>45831</v>
      </c>
      <c r="G163" s="4">
        <f t="shared" si="40"/>
        <v>1.1890833051901195E-2</v>
      </c>
      <c r="H163" s="4">
        <f t="shared" si="41"/>
        <v>9.7204290454060427E-3</v>
      </c>
      <c r="I163" s="4">
        <f t="shared" si="42"/>
        <v>1.7582402203551561E-2</v>
      </c>
      <c r="T163">
        <v>157</v>
      </c>
      <c r="U163" s="4">
        <v>-1.8715448637376363E-2</v>
      </c>
      <c r="V163" s="4"/>
      <c r="W163">
        <v>158</v>
      </c>
      <c r="X163">
        <f t="shared" ca="1" si="43"/>
        <v>-1.857375566729569</v>
      </c>
      <c r="Y163">
        <f t="shared" ca="1" si="43"/>
        <v>-1.5514807063201967</v>
      </c>
      <c r="Z163">
        <f t="shared" ca="1" si="43"/>
        <v>-1.2458461503053526</v>
      </c>
      <c r="AA163" s="4"/>
      <c r="AB163">
        <v>158</v>
      </c>
      <c r="AC163" s="24">
        <f t="shared" ca="1" si="33"/>
        <v>-1.857375566729569</v>
      </c>
      <c r="AD163" s="24">
        <f t="shared" ca="1" si="34"/>
        <v>-2.3807211742526566</v>
      </c>
      <c r="AE163" s="24">
        <f t="shared" ca="1" si="35"/>
        <v>-2.5766070500444096</v>
      </c>
      <c r="AF163" s="24"/>
      <c r="AG163">
        <v>158</v>
      </c>
      <c r="AH163">
        <f t="shared" ca="1" si="44"/>
        <v>299.82109575349455</v>
      </c>
      <c r="AI163">
        <f t="shared" ca="1" si="45"/>
        <v>156.32819441373064</v>
      </c>
      <c r="AJ163">
        <f t="shared" ca="1" si="46"/>
        <v>50.659917494966919</v>
      </c>
      <c r="AL163">
        <v>158</v>
      </c>
      <c r="AM163" s="4">
        <f t="shared" ca="1" si="36"/>
        <v>-3.1084884345981889E-2</v>
      </c>
      <c r="AN163" s="4">
        <f t="shared" ca="1" si="37"/>
        <v>-4.8288082055027104E-2</v>
      </c>
      <c r="AO163" s="4">
        <f t="shared" ca="1" si="38"/>
        <v>-4.4693217780257033E-2</v>
      </c>
      <c r="AP163" s="4">
        <f t="shared" ca="1" si="39"/>
        <v>-4.2048663459882514E-2</v>
      </c>
    </row>
    <row r="164" spans="1:42" x14ac:dyDescent="0.3">
      <c r="A164" s="1">
        <v>45832</v>
      </c>
      <c r="B164" s="3">
        <f>Data!B161</f>
        <v>278.55722045898398</v>
      </c>
      <c r="C164" s="3">
        <f>Data!H161</f>
        <v>134.14569091796801</v>
      </c>
      <c r="D164" s="3">
        <f>Data!N161</f>
        <v>46.401905059814403</v>
      </c>
      <c r="F164" s="1">
        <v>45832</v>
      </c>
      <c r="G164" s="4">
        <f t="shared" si="40"/>
        <v>1.0745092836935033E-2</v>
      </c>
      <c r="H164" s="4">
        <f t="shared" si="41"/>
        <v>1.4178985845471725E-2</v>
      </c>
      <c r="I164" s="4">
        <f t="shared" si="42"/>
        <v>7.7753919986451869E-3</v>
      </c>
      <c r="T164">
        <v>158</v>
      </c>
      <c r="U164" s="4">
        <v>-1.8711657147895733E-2</v>
      </c>
      <c r="V164" s="4"/>
      <c r="W164">
        <v>159</v>
      </c>
      <c r="X164">
        <f t="shared" ca="1" si="43"/>
        <v>0.74234864756800956</v>
      </c>
      <c r="Y164">
        <f t="shared" ca="1" si="43"/>
        <v>-1.0502137988782363</v>
      </c>
      <c r="Z164">
        <f t="shared" ca="1" si="43"/>
        <v>0.30282056039321409</v>
      </c>
      <c r="AA164" s="4"/>
      <c r="AB164">
        <v>159</v>
      </c>
      <c r="AC164" s="24">
        <f t="shared" ca="1" si="33"/>
        <v>0.74234864756800956</v>
      </c>
      <c r="AD164" s="24">
        <f t="shared" ca="1" si="34"/>
        <v>0.12849253671134042</v>
      </c>
      <c r="AE164" s="24">
        <f t="shared" ca="1" si="35"/>
        <v>0.46970307076681045</v>
      </c>
      <c r="AF164" s="24"/>
      <c r="AG164">
        <v>159</v>
      </c>
      <c r="AH164">
        <f t="shared" ca="1" si="44"/>
        <v>313.37266620616441</v>
      </c>
      <c r="AI164">
        <f t="shared" ca="1" si="45"/>
        <v>164.70038027181295</v>
      </c>
      <c r="AJ164">
        <f t="shared" ca="1" si="46"/>
        <v>53.474118677099746</v>
      </c>
      <c r="AL164">
        <v>159</v>
      </c>
      <c r="AM164" s="4">
        <f t="shared" ca="1" si="36"/>
        <v>1.270897018397954E-2</v>
      </c>
      <c r="AN164" s="4">
        <f t="shared" ca="1" si="37"/>
        <v>2.6810287331382465E-3</v>
      </c>
      <c r="AO164" s="4">
        <f t="shared" ca="1" si="38"/>
        <v>8.3748804078105366E-3</v>
      </c>
      <c r="AP164" s="4">
        <f t="shared" ca="1" si="39"/>
        <v>7.3975666707923205E-3</v>
      </c>
    </row>
    <row r="165" spans="1:42" x14ac:dyDescent="0.3">
      <c r="A165" s="1">
        <v>45833</v>
      </c>
      <c r="B165" s="3">
        <f>Data!B162</f>
        <v>281.33029174804602</v>
      </c>
      <c r="C165" s="3">
        <f>Data!H162</f>
        <v>135.94219970703099</v>
      </c>
      <c r="D165" s="3">
        <f>Data!N162</f>
        <v>46.590850830078097</v>
      </c>
      <c r="F165" s="1">
        <v>45833</v>
      </c>
      <c r="G165" s="4">
        <f t="shared" si="40"/>
        <v>9.9551226297160955E-3</v>
      </c>
      <c r="H165" s="4">
        <f t="shared" si="41"/>
        <v>1.3392221373413893E-2</v>
      </c>
      <c r="I165" s="4">
        <f t="shared" si="42"/>
        <v>4.0719399347963758E-3</v>
      </c>
      <c r="T165">
        <v>159</v>
      </c>
      <c r="U165" s="4">
        <v>-1.8656735511780133E-2</v>
      </c>
      <c r="V165" s="4"/>
      <c r="W165">
        <v>160</v>
      </c>
      <c r="X165">
        <f t="shared" ca="1" si="43"/>
        <v>4.15884317941696E-2</v>
      </c>
      <c r="Y165">
        <f t="shared" ca="1" si="43"/>
        <v>-1.3798155469073361</v>
      </c>
      <c r="Z165">
        <f t="shared" ca="1" si="43"/>
        <v>-9.3361678619938118E-2</v>
      </c>
      <c r="AA165" s="4"/>
      <c r="AB165">
        <v>160</v>
      </c>
      <c r="AC165" s="24">
        <f t="shared" ca="1" si="33"/>
        <v>4.15884317941696E-2</v>
      </c>
      <c r="AD165" s="24">
        <f t="shared" ca="1" si="34"/>
        <v>-0.64370058296368415</v>
      </c>
      <c r="AE165" s="24">
        <f t="shared" ca="1" si="35"/>
        <v>-0.39433031223369874</v>
      </c>
      <c r="AF165" s="24"/>
      <c r="AG165">
        <v>160</v>
      </c>
      <c r="AH165">
        <f t="shared" ca="1" si="44"/>
        <v>309.66064111848237</v>
      </c>
      <c r="AI165">
        <f t="shared" ca="1" si="45"/>
        <v>162.07721965354639</v>
      </c>
      <c r="AJ165">
        <f t="shared" ca="1" si="46"/>
        <v>52.660402844601897</v>
      </c>
      <c r="AL165">
        <v>160</v>
      </c>
      <c r="AM165" s="4">
        <f t="shared" ca="1" si="36"/>
        <v>7.1302570881459637E-4</v>
      </c>
      <c r="AN165" s="4">
        <f t="shared" ca="1" si="37"/>
        <v>-1.3288536017805441E-2</v>
      </c>
      <c r="AO165" s="4">
        <f t="shared" ca="1" si="38"/>
        <v>-6.9695633264693635E-3</v>
      </c>
      <c r="AP165" s="4">
        <f t="shared" ca="1" si="39"/>
        <v>-7.1923756924186077E-3</v>
      </c>
    </row>
    <row r="166" spans="1:42" x14ac:dyDescent="0.3">
      <c r="A166" s="1">
        <v>45834</v>
      </c>
      <c r="B166" s="3">
        <f>Data!B163</f>
        <v>285.97525024414</v>
      </c>
      <c r="C166" s="3">
        <f>Data!H163</f>
        <v>137.94599914550699</v>
      </c>
      <c r="D166" s="3">
        <f>Data!N163</f>
        <v>47.197479248046797</v>
      </c>
      <c r="F166" s="1">
        <v>45834</v>
      </c>
      <c r="G166" s="4">
        <f t="shared" si="40"/>
        <v>1.6510694483813149E-2</v>
      </c>
      <c r="H166" s="4">
        <f t="shared" si="41"/>
        <v>1.4740083967998086E-2</v>
      </c>
      <c r="I166" s="4">
        <f t="shared" si="42"/>
        <v>1.3020333545337825E-2</v>
      </c>
      <c r="T166">
        <v>160</v>
      </c>
      <c r="U166" s="4">
        <v>-1.8616993967469197E-2</v>
      </c>
      <c r="V166" s="4"/>
      <c r="W166">
        <v>161</v>
      </c>
      <c r="X166">
        <f t="shared" ca="1" si="43"/>
        <v>0.17363015962679013</v>
      </c>
      <c r="Y166">
        <f t="shared" ca="1" si="43"/>
        <v>-0.22382738494050353</v>
      </c>
      <c r="Z166">
        <f t="shared" ca="1" si="43"/>
        <v>1.339679566569915</v>
      </c>
      <c r="AA166" s="4"/>
      <c r="AB166">
        <v>161</v>
      </c>
      <c r="AC166" s="24">
        <f t="shared" ca="1" si="33"/>
        <v>0.17363015962679013</v>
      </c>
      <c r="AD166" s="24">
        <f t="shared" ca="1" si="34"/>
        <v>4.0800297327858406E-2</v>
      </c>
      <c r="AE166" s="24">
        <f t="shared" ca="1" si="35"/>
        <v>0.75984294965746479</v>
      </c>
      <c r="AF166" s="24"/>
      <c r="AG166">
        <v>161</v>
      </c>
      <c r="AH166">
        <f t="shared" ca="1" si="44"/>
        <v>310.356706759193</v>
      </c>
      <c r="AI166">
        <f t="shared" ca="1" si="45"/>
        <v>164.40036324021125</v>
      </c>
      <c r="AJ166">
        <f t="shared" ca="1" si="46"/>
        <v>53.750172481573344</v>
      </c>
      <c r="AL166">
        <v>161</v>
      </c>
      <c r="AM166" s="4">
        <f t="shared" ca="1" si="36"/>
        <v>2.9624622238701992E-3</v>
      </c>
      <c r="AN166" s="4">
        <f t="shared" ca="1" si="37"/>
        <v>8.5455216163676795E-4</v>
      </c>
      <c r="AO166" s="4">
        <f t="shared" ca="1" si="38"/>
        <v>1.3580496301231371E-2</v>
      </c>
      <c r="AP166" s="4">
        <f t="shared" ca="1" si="39"/>
        <v>5.3047084221851774E-3</v>
      </c>
    </row>
    <row r="167" spans="1:42" x14ac:dyDescent="0.3">
      <c r="A167" s="1">
        <v>45835</v>
      </c>
      <c r="B167" s="3">
        <f>Data!B164</f>
        <v>284.350982666015</v>
      </c>
      <c r="C167" s="3">
        <f>Data!H164</f>
        <v>138.87388610839801</v>
      </c>
      <c r="D167" s="3">
        <f>Data!N164</f>
        <v>46.859359741210902</v>
      </c>
      <c r="F167" s="1">
        <v>45835</v>
      </c>
      <c r="G167" s="4">
        <f t="shared" si="40"/>
        <v>-5.6797487780441136E-3</v>
      </c>
      <c r="H167" s="4">
        <f t="shared" si="41"/>
        <v>6.7264507027295917E-3</v>
      </c>
      <c r="I167" s="4">
        <f t="shared" si="42"/>
        <v>-7.1639314688588529E-3</v>
      </c>
      <c r="T167">
        <v>161</v>
      </c>
      <c r="U167" s="4">
        <v>-1.8608312671859795E-2</v>
      </c>
      <c r="V167" s="4"/>
      <c r="W167">
        <v>162</v>
      </c>
      <c r="X167">
        <f t="shared" ca="1" si="43"/>
        <v>0.16961661846928175</v>
      </c>
      <c r="Y167">
        <f t="shared" ca="1" si="43"/>
        <v>0.76594202000684286</v>
      </c>
      <c r="Z167">
        <f t="shared" ca="1" si="43"/>
        <v>-2.0409563039664511</v>
      </c>
      <c r="AA167" s="4"/>
      <c r="AB167">
        <v>162</v>
      </c>
      <c r="AC167" s="24">
        <f t="shared" ca="1" si="33"/>
        <v>0.16961661846928175</v>
      </c>
      <c r="AD167" s="24">
        <f t="shared" ca="1" si="34"/>
        <v>0.52500646627960812</v>
      </c>
      <c r="AE167" s="24">
        <f t="shared" ca="1" si="35"/>
        <v>-0.68593561263313929</v>
      </c>
      <c r="AF167" s="24"/>
      <c r="AG167">
        <v>162</v>
      </c>
      <c r="AH167">
        <f t="shared" ca="1" si="44"/>
        <v>310.33552610494809</v>
      </c>
      <c r="AI167">
        <f t="shared" ca="1" si="45"/>
        <v>166.06380281537432</v>
      </c>
      <c r="AJ167">
        <f t="shared" ca="1" si="46"/>
        <v>52.388583477139058</v>
      </c>
      <c r="AL167">
        <v>162</v>
      </c>
      <c r="AM167" s="4">
        <f t="shared" ca="1" si="36"/>
        <v>2.8940138846840213E-3</v>
      </c>
      <c r="AN167" s="4">
        <f t="shared" ca="1" si="37"/>
        <v>1.0981421946073766E-2</v>
      </c>
      <c r="AO167" s="4">
        <f t="shared" ca="1" si="38"/>
        <v>-1.2095329378135844E-2</v>
      </c>
      <c r="AP167" s="4">
        <f t="shared" ca="1" si="39"/>
        <v>1.6321741303939601E-3</v>
      </c>
    </row>
    <row r="168" spans="1:42" x14ac:dyDescent="0.3">
      <c r="A168" s="1">
        <v>45838</v>
      </c>
      <c r="B168" s="3">
        <f>Data!B165</f>
        <v>287.12408447265602</v>
      </c>
      <c r="C168" s="3">
        <f>Data!H165</f>
        <v>139.04167175292901</v>
      </c>
      <c r="D168" s="3">
        <f>Data!N165</f>
        <v>47.058254241943303</v>
      </c>
      <c r="F168" s="1">
        <v>45838</v>
      </c>
      <c r="G168" s="4">
        <f t="shared" si="40"/>
        <v>9.7523904459235755E-3</v>
      </c>
      <c r="H168" s="4">
        <f t="shared" si="41"/>
        <v>1.2081871490225993E-3</v>
      </c>
      <c r="I168" s="4">
        <f t="shared" si="42"/>
        <v>4.2444988969296826E-3</v>
      </c>
      <c r="T168">
        <v>162</v>
      </c>
      <c r="U168" s="4">
        <v>-1.8561612312691156E-2</v>
      </c>
      <c r="V168" s="4"/>
      <c r="W168">
        <v>163</v>
      </c>
      <c r="X168">
        <f t="shared" ca="1" si="43"/>
        <v>-0.72790148925548881</v>
      </c>
      <c r="Y168">
        <f t="shared" ca="1" si="43"/>
        <v>0.55891868384843901</v>
      </c>
      <c r="Z168">
        <f t="shared" ca="1" si="43"/>
        <v>1.3999109085003842</v>
      </c>
      <c r="AA168" s="4"/>
      <c r="AB168">
        <v>163</v>
      </c>
      <c r="AC168" s="24">
        <f t="shared" ca="1" si="33"/>
        <v>-0.72790148925548881</v>
      </c>
      <c r="AD168" s="24">
        <f t="shared" ca="1" si="34"/>
        <v>-0.35800155262438016</v>
      </c>
      <c r="AE168" s="24">
        <f t="shared" ca="1" si="35"/>
        <v>0.27063134314512638</v>
      </c>
      <c r="AF168" s="24"/>
      <c r="AG168">
        <v>163</v>
      </c>
      <c r="AH168">
        <f t="shared" ca="1" si="44"/>
        <v>305.63517624281849</v>
      </c>
      <c r="AI168">
        <f t="shared" ca="1" si="45"/>
        <v>163.04284190245517</v>
      </c>
      <c r="AJ168">
        <f t="shared" ca="1" si="46"/>
        <v>53.285532278916982</v>
      </c>
      <c r="AL168">
        <v>163</v>
      </c>
      <c r="AM168" s="4">
        <f t="shared" ca="1" si="36"/>
        <v>-1.2295844650233922E-2</v>
      </c>
      <c r="AN168" s="4">
        <f t="shared" ca="1" si="37"/>
        <v>-7.4099150437337835E-3</v>
      </c>
      <c r="AO168" s="4">
        <f t="shared" ca="1" si="38"/>
        <v>4.8186593532404398E-3</v>
      </c>
      <c r="AP168" s="4">
        <f t="shared" ca="1" si="39"/>
        <v>-5.2071216065915586E-3</v>
      </c>
    </row>
    <row r="169" spans="1:42" x14ac:dyDescent="0.3">
      <c r="A169" s="1">
        <v>45839</v>
      </c>
      <c r="B169" s="3">
        <f>Data!B166</f>
        <v>287.61929321289</v>
      </c>
      <c r="C169" s="3">
        <f>Data!H166</f>
        <v>139.24897766113199</v>
      </c>
      <c r="D169" s="3">
        <f>Data!N166</f>
        <v>47.883663177490199</v>
      </c>
      <c r="F169" s="1">
        <v>45839</v>
      </c>
      <c r="G169" s="4">
        <f t="shared" si="40"/>
        <v>1.7247203108841092E-3</v>
      </c>
      <c r="H169" s="4">
        <f t="shared" si="41"/>
        <v>1.4909624257923859E-3</v>
      </c>
      <c r="I169" s="4">
        <f t="shared" si="42"/>
        <v>1.7540152069882797E-2</v>
      </c>
      <c r="T169">
        <v>163</v>
      </c>
      <c r="U169" s="4">
        <v>-1.8558709015023721E-2</v>
      </c>
      <c r="V169" s="4"/>
      <c r="W169">
        <v>164</v>
      </c>
      <c r="X169">
        <f t="shared" ca="1" si="43"/>
        <v>0.23160371519961179</v>
      </c>
      <c r="Y169">
        <f t="shared" ca="1" si="43"/>
        <v>-0.43860754937972557</v>
      </c>
      <c r="Z169">
        <f t="shared" ca="1" si="43"/>
        <v>-1.2754026175168269</v>
      </c>
      <c r="AA169" s="4"/>
      <c r="AB169">
        <v>164</v>
      </c>
      <c r="AC169" s="24">
        <f t="shared" ca="1" si="33"/>
        <v>0.23160371519961179</v>
      </c>
      <c r="AD169" s="24">
        <f t="shared" ca="1" si="34"/>
        <v>-1.4583170783818211E-2</v>
      </c>
      <c r="AE169" s="24">
        <f t="shared" ca="1" si="35"/>
        <v>-0.57932154866129038</v>
      </c>
      <c r="AF169" s="24"/>
      <c r="AG169">
        <v>164</v>
      </c>
      <c r="AH169">
        <f t="shared" ca="1" si="44"/>
        <v>310.66281180689771</v>
      </c>
      <c r="AI169">
        <f t="shared" ca="1" si="45"/>
        <v>164.21116421269892</v>
      </c>
      <c r="AJ169">
        <f t="shared" ca="1" si="46"/>
        <v>52.487800493014042</v>
      </c>
      <c r="AL169">
        <v>164</v>
      </c>
      <c r="AM169" s="4">
        <f t="shared" ca="1" si="36"/>
        <v>3.9516848366210056E-3</v>
      </c>
      <c r="AN169" s="4">
        <f t="shared" ca="1" si="37"/>
        <v>-2.9727441719873404E-4</v>
      </c>
      <c r="AO169" s="4">
        <f t="shared" ca="1" si="38"/>
        <v>-1.0224369201653261E-2</v>
      </c>
      <c r="AP169" s="4">
        <f t="shared" ca="1" si="39"/>
        <v>-2.0007150763891703E-3</v>
      </c>
    </row>
    <row r="170" spans="1:42" x14ac:dyDescent="0.3">
      <c r="A170" s="1">
        <v>45840</v>
      </c>
      <c r="B170" s="3">
        <f>Data!B167</f>
        <v>289.19403076171801</v>
      </c>
      <c r="C170" s="3">
        <f>Data!H167</f>
        <v>141.015853881835</v>
      </c>
      <c r="D170" s="3">
        <f>Data!N167</f>
        <v>48.440563201904297</v>
      </c>
      <c r="F170" s="1">
        <v>45840</v>
      </c>
      <c r="G170" s="4">
        <f t="shared" si="40"/>
        <v>5.4750762065964853E-3</v>
      </c>
      <c r="H170" s="4">
        <f t="shared" si="41"/>
        <v>1.2688611797228244E-2</v>
      </c>
      <c r="I170" s="4">
        <f t="shared" si="42"/>
        <v>1.1630271943686488E-2</v>
      </c>
      <c r="T170">
        <v>164</v>
      </c>
      <c r="U170" s="4">
        <v>-1.8400864450647002E-2</v>
      </c>
      <c r="V170" s="4"/>
      <c r="W170">
        <v>165</v>
      </c>
      <c r="X170">
        <f t="shared" ca="1" si="43"/>
        <v>1.0403145811247807</v>
      </c>
      <c r="Y170">
        <f t="shared" ca="1" si="43"/>
        <v>-1.4681698129239871</v>
      </c>
      <c r="Z170">
        <f t="shared" ca="1" si="43"/>
        <v>-3.1838787224561962</v>
      </c>
      <c r="AA170" s="4"/>
      <c r="AB170">
        <v>165</v>
      </c>
      <c r="AC170" s="24">
        <f t="shared" ca="1" si="33"/>
        <v>1.0403145811247807</v>
      </c>
      <c r="AD170" s="24">
        <f t="shared" ca="1" si="34"/>
        <v>0.1818320575449166</v>
      </c>
      <c r="AE170" s="24">
        <f t="shared" ca="1" si="35"/>
        <v>-1.1720183926887358</v>
      </c>
      <c r="AF170" s="24"/>
      <c r="AG170">
        <v>165</v>
      </c>
      <c r="AH170">
        <f t="shared" ca="1" si="44"/>
        <v>314.96448549603332</v>
      </c>
      <c r="AI170">
        <f t="shared" ca="1" si="45"/>
        <v>164.88313581309276</v>
      </c>
      <c r="AJ170">
        <f t="shared" ca="1" si="46"/>
        <v>51.938597373875965</v>
      </c>
      <c r="AL170">
        <v>165</v>
      </c>
      <c r="AM170" s="4">
        <f t="shared" ca="1" si="36"/>
        <v>1.7853163815410023E-2</v>
      </c>
      <c r="AN170" s="4">
        <f t="shared" ca="1" si="37"/>
        <v>3.7936279501813441E-3</v>
      </c>
      <c r="AO170" s="4">
        <f t="shared" ca="1" si="38"/>
        <v>-2.058083029500124E-2</v>
      </c>
      <c r="AP170" s="4">
        <f t="shared" ca="1" si="39"/>
        <v>6.9915123619517308E-4</v>
      </c>
    </row>
    <row r="171" spans="1:42" x14ac:dyDescent="0.3">
      <c r="A171" s="1">
        <v>45841</v>
      </c>
      <c r="B171" s="3">
        <f>Data!B168</f>
        <v>294.56787109375</v>
      </c>
      <c r="C171" s="3">
        <f>Data!H168</f>
        <v>142.27932739257801</v>
      </c>
      <c r="D171" s="3">
        <f>Data!N168</f>
        <v>48.659347534179602</v>
      </c>
      <c r="F171" s="1">
        <v>45841</v>
      </c>
      <c r="G171" s="4">
        <f t="shared" si="40"/>
        <v>1.8582127431460593E-2</v>
      </c>
      <c r="H171" s="4">
        <f t="shared" si="41"/>
        <v>8.9597976111377431E-3</v>
      </c>
      <c r="I171" s="4">
        <f t="shared" si="42"/>
        <v>4.5165521995149671E-3</v>
      </c>
      <c r="T171">
        <v>165</v>
      </c>
      <c r="U171" s="4">
        <v>-1.8354419639193265E-2</v>
      </c>
      <c r="V171" s="4"/>
      <c r="W171">
        <v>166</v>
      </c>
      <c r="X171">
        <f t="shared" ca="1" si="43"/>
        <v>0.83941291503121662</v>
      </c>
      <c r="Y171">
        <f t="shared" ca="1" si="43"/>
        <v>-0.80461901393691027</v>
      </c>
      <c r="Z171">
        <f t="shared" ca="1" si="43"/>
        <v>-0.37569541550220936</v>
      </c>
      <c r="AA171" s="4"/>
      <c r="AB171">
        <v>166</v>
      </c>
      <c r="AC171" s="24">
        <f t="shared" ca="1" si="33"/>
        <v>0.83941291503121662</v>
      </c>
      <c r="AD171" s="24">
        <f t="shared" ca="1" si="34"/>
        <v>0.33396990288932488</v>
      </c>
      <c r="AE171" s="24">
        <f t="shared" ca="1" si="35"/>
        <v>0.27236776887109693</v>
      </c>
      <c r="AF171" s="24"/>
      <c r="AG171">
        <v>166</v>
      </c>
      <c r="AH171">
        <f t="shared" ca="1" si="44"/>
        <v>313.89032582391206</v>
      </c>
      <c r="AI171">
        <f t="shared" ca="1" si="45"/>
        <v>165.40551583240466</v>
      </c>
      <c r="AJ171">
        <f t="shared" ca="1" si="46"/>
        <v>53.287174366413694</v>
      </c>
      <c r="AL171">
        <v>166</v>
      </c>
      <c r="AM171" s="4">
        <f t="shared" ca="1" si="36"/>
        <v>1.438186190341928E-2</v>
      </c>
      <c r="AN171" s="4">
        <f t="shared" ca="1" si="37"/>
        <v>6.973830292694938E-3</v>
      </c>
      <c r="AO171" s="4">
        <f t="shared" ca="1" si="38"/>
        <v>4.8496246094069662E-3</v>
      </c>
      <c r="AP171" s="4">
        <f t="shared" ca="1" si="39"/>
        <v>8.5589780709258486E-3</v>
      </c>
    </row>
    <row r="172" spans="1:42" x14ac:dyDescent="0.3">
      <c r="A172" s="1">
        <v>45845</v>
      </c>
      <c r="B172" s="3">
        <f>Data!B169</f>
        <v>290.557373046875</v>
      </c>
      <c r="C172" s="3">
        <f>Data!H169</f>
        <v>141.884506225585</v>
      </c>
      <c r="D172" s="3">
        <f>Data!N169</f>
        <v>48.390838623046797</v>
      </c>
      <c r="F172" s="1">
        <v>45845</v>
      </c>
      <c r="G172" s="4">
        <f t="shared" si="40"/>
        <v>-1.36148522647217E-2</v>
      </c>
      <c r="H172" s="4">
        <f t="shared" si="41"/>
        <v>-2.774972121590169E-3</v>
      </c>
      <c r="I172" s="4">
        <f t="shared" si="42"/>
        <v>-5.5181362829453962E-3</v>
      </c>
      <c r="T172">
        <v>166</v>
      </c>
      <c r="U172" s="4">
        <v>-1.8328459883247127E-2</v>
      </c>
      <c r="V172" s="4"/>
      <c r="W172">
        <v>167</v>
      </c>
      <c r="X172">
        <f t="shared" ca="1" si="43"/>
        <v>0.4278453767494127</v>
      </c>
      <c r="Y172">
        <f t="shared" ca="1" si="43"/>
        <v>0.74725319186208172</v>
      </c>
      <c r="Z172">
        <f t="shared" ca="1" si="43"/>
        <v>-0.48769648738060728</v>
      </c>
      <c r="AA172" s="4"/>
      <c r="AB172">
        <v>167</v>
      </c>
      <c r="AC172" s="24">
        <f t="shared" ca="1" si="33"/>
        <v>0.4278453767494127</v>
      </c>
      <c r="AD172" s="24">
        <f t="shared" ca="1" si="34"/>
        <v>0.74050240549936119</v>
      </c>
      <c r="AE172" s="24">
        <f t="shared" ca="1" si="35"/>
        <v>0.30798207619417212</v>
      </c>
      <c r="AF172" s="24"/>
      <c r="AG172">
        <v>167</v>
      </c>
      <c r="AH172">
        <f t="shared" ca="1" si="44"/>
        <v>311.70122605492099</v>
      </c>
      <c r="AI172">
        <f t="shared" ca="1" si="45"/>
        <v>166.8095186406988</v>
      </c>
      <c r="AJ172">
        <f t="shared" ca="1" si="46"/>
        <v>53.320864949751957</v>
      </c>
      <c r="AL172">
        <v>167</v>
      </c>
      <c r="AM172" s="4">
        <f t="shared" ca="1" si="36"/>
        <v>7.3074702548943105E-3</v>
      </c>
      <c r="AN172" s="4">
        <f t="shared" ca="1" si="37"/>
        <v>1.552127248949664E-2</v>
      </c>
      <c r="AO172" s="4">
        <f t="shared" ca="1" si="38"/>
        <v>5.4849363973343834E-3</v>
      </c>
      <c r="AP172" s="4">
        <f t="shared" ca="1" si="39"/>
        <v>1.0046230991467264E-2</v>
      </c>
    </row>
    <row r="173" spans="1:42" x14ac:dyDescent="0.3">
      <c r="A173" s="1">
        <v>45846</v>
      </c>
      <c r="B173" s="3">
        <f>Data!B170</f>
        <v>281.41183471679602</v>
      </c>
      <c r="C173" s="3">
        <f>Data!H170</f>
        <v>139.30819702148401</v>
      </c>
      <c r="D173" s="3">
        <f>Data!N170</f>
        <v>46.889194488525298</v>
      </c>
      <c r="F173" s="1">
        <v>45846</v>
      </c>
      <c r="G173" s="4">
        <f t="shared" si="40"/>
        <v>-3.1475843253179314E-2</v>
      </c>
      <c r="H173" s="4">
        <f t="shared" si="41"/>
        <v>-1.8157790957138542E-2</v>
      </c>
      <c r="I173" s="4">
        <f t="shared" si="42"/>
        <v>-3.1031579060221581E-2</v>
      </c>
      <c r="T173">
        <v>167</v>
      </c>
      <c r="U173" s="4">
        <v>-1.8243507787954239E-2</v>
      </c>
      <c r="V173" s="4"/>
      <c r="W173">
        <v>168</v>
      </c>
      <c r="X173">
        <f t="shared" ca="1" si="43"/>
        <v>-0.15491637652693074</v>
      </c>
      <c r="Y173">
        <f t="shared" ca="1" si="43"/>
        <v>-0.31622914329018698</v>
      </c>
      <c r="Z173">
        <f t="shared" ca="1" si="43"/>
        <v>-6.9214321205089635E-2</v>
      </c>
      <c r="AA173" s="4"/>
      <c r="AB173">
        <v>168</v>
      </c>
      <c r="AC173" s="24">
        <f t="shared" ca="1" si="33"/>
        <v>-0.15491637652693074</v>
      </c>
      <c r="AD173" s="24">
        <f t="shared" ca="1" si="34"/>
        <v>-0.29062327857652653</v>
      </c>
      <c r="AE173" s="24">
        <f t="shared" ca="1" si="35"/>
        <v>-0.24886823227036192</v>
      </c>
      <c r="AF173" s="24"/>
      <c r="AG173">
        <v>168</v>
      </c>
      <c r="AH173">
        <f t="shared" ca="1" si="44"/>
        <v>308.62764394132432</v>
      </c>
      <c r="AI173">
        <f t="shared" ca="1" si="45"/>
        <v>163.27140802264253</v>
      </c>
      <c r="AJ173">
        <f t="shared" ca="1" si="46"/>
        <v>52.796521841971661</v>
      </c>
      <c r="AL173">
        <v>168</v>
      </c>
      <c r="AM173" s="4">
        <f t="shared" ca="1" si="36"/>
        <v>-2.6252536636258705E-3</v>
      </c>
      <c r="AN173" s="4">
        <f t="shared" ca="1" si="37"/>
        <v>-6.0184251628678798E-3</v>
      </c>
      <c r="AO173" s="4">
        <f t="shared" ca="1" si="38"/>
        <v>-4.4027332208101955E-3</v>
      </c>
      <c r="AP173" s="4">
        <f t="shared" ca="1" si="39"/>
        <v>-4.5157661304779722E-3</v>
      </c>
    </row>
    <row r="174" spans="1:42" x14ac:dyDescent="0.3">
      <c r="A174" s="1">
        <v>45847</v>
      </c>
      <c r="B174" s="3">
        <f>Data!B171</f>
        <v>281.79000854492102</v>
      </c>
      <c r="C174" s="3">
        <f>Data!H171</f>
        <v>139.72277832031199</v>
      </c>
      <c r="D174" s="3">
        <f>Data!N171</f>
        <v>46.580909729003899</v>
      </c>
      <c r="F174" s="1">
        <v>45847</v>
      </c>
      <c r="G174" s="4">
        <f t="shared" si="40"/>
        <v>1.3438447906981565E-3</v>
      </c>
      <c r="H174" s="4">
        <f t="shared" si="41"/>
        <v>2.9760007500783114E-3</v>
      </c>
      <c r="I174" s="4">
        <f t="shared" si="42"/>
        <v>-6.5747505983887455E-3</v>
      </c>
      <c r="T174">
        <v>168</v>
      </c>
      <c r="U174" s="4">
        <v>-1.8096206479865162E-2</v>
      </c>
      <c r="V174" s="4"/>
      <c r="W174">
        <v>169</v>
      </c>
      <c r="X174">
        <f t="shared" ca="1" si="43"/>
        <v>0.12992925558331736</v>
      </c>
      <c r="Y174">
        <f t="shared" ca="1" si="43"/>
        <v>-0.20501327374342548</v>
      </c>
      <c r="Z174">
        <f t="shared" ca="1" si="43"/>
        <v>-0.16185085885673126</v>
      </c>
      <c r="AA174" s="4"/>
      <c r="AB174">
        <v>169</v>
      </c>
      <c r="AC174" s="24">
        <f t="shared" ca="1" si="33"/>
        <v>0.12992925558331736</v>
      </c>
      <c r="AD174" s="24">
        <f t="shared" ca="1" si="34"/>
        <v>1.204324498645884E-2</v>
      </c>
      <c r="AE174" s="24">
        <f t="shared" ca="1" si="35"/>
        <v>-3.2683290620595246E-2</v>
      </c>
      <c r="AF174" s="24"/>
      <c r="AG174">
        <v>169</v>
      </c>
      <c r="AH174">
        <f t="shared" ca="1" si="44"/>
        <v>310.12616185044965</v>
      </c>
      <c r="AI174">
        <f t="shared" ca="1" si="45"/>
        <v>164.30209723167437</v>
      </c>
      <c r="AJ174">
        <f t="shared" ca="1" si="46"/>
        <v>52.999471448954829</v>
      </c>
      <c r="AL174">
        <v>169</v>
      </c>
      <c r="AM174" s="4">
        <f t="shared" ca="1" si="36"/>
        <v>2.2174230985974042E-3</v>
      </c>
      <c r="AN174" s="4">
        <f t="shared" ca="1" si="37"/>
        <v>2.5631758338828803E-4</v>
      </c>
      <c r="AO174" s="4">
        <f t="shared" ca="1" si="38"/>
        <v>-5.7566153205124149E-4</v>
      </c>
      <c r="AP174" s="4">
        <f t="shared" ca="1" si="39"/>
        <v>5.9505550331916395E-4</v>
      </c>
    </row>
    <row r="175" spans="1:42" x14ac:dyDescent="0.3">
      <c r="A175" s="1">
        <v>45848</v>
      </c>
      <c r="B175" s="3">
        <f>Data!B172</f>
        <v>286.79568481445301</v>
      </c>
      <c r="C175" s="3">
        <f>Data!H172</f>
        <v>141.24288940429599</v>
      </c>
      <c r="D175" s="3">
        <f>Data!N172</f>
        <v>46.710189819335902</v>
      </c>
      <c r="F175" s="1">
        <v>45848</v>
      </c>
      <c r="G175" s="4">
        <f t="shared" si="40"/>
        <v>1.776385293211713E-2</v>
      </c>
      <c r="H175" s="4">
        <f t="shared" si="41"/>
        <v>1.0879479368061107E-2</v>
      </c>
      <c r="I175" s="4">
        <f t="shared" si="42"/>
        <v>2.7753878377241303E-3</v>
      </c>
      <c r="T175">
        <v>169</v>
      </c>
      <c r="U175" s="4">
        <v>-1.8044684282914669E-2</v>
      </c>
      <c r="V175" s="4"/>
      <c r="W175">
        <v>170</v>
      </c>
      <c r="X175">
        <f t="shared" ca="1" si="43"/>
        <v>-1.0922608376476113</v>
      </c>
      <c r="Y175">
        <f t="shared" ca="1" si="43"/>
        <v>-1.1256727422179409</v>
      </c>
      <c r="Z175">
        <f t="shared" ca="1" si="43"/>
        <v>1.1073682116010946</v>
      </c>
      <c r="AA175" s="4"/>
      <c r="AB175">
        <v>170</v>
      </c>
      <c r="AC175" s="24">
        <f t="shared" ca="1" si="33"/>
        <v>-1.0922608376476113</v>
      </c>
      <c r="AD175" s="24">
        <f t="shared" ca="1" si="34"/>
        <v>-1.505123632090883</v>
      </c>
      <c r="AE175" s="24">
        <f t="shared" ca="1" si="35"/>
        <v>-0.64026425391087227</v>
      </c>
      <c r="AF175" s="24"/>
      <c r="AG175">
        <v>170</v>
      </c>
      <c r="AH175">
        <f t="shared" ca="1" si="44"/>
        <v>303.74738534049465</v>
      </c>
      <c r="AI175">
        <f t="shared" ca="1" si="45"/>
        <v>159.2002114295808</v>
      </c>
      <c r="AJ175">
        <f t="shared" ca="1" si="46"/>
        <v>52.431063103326878</v>
      </c>
      <c r="AL175">
        <v>170</v>
      </c>
      <c r="AM175" s="4">
        <f t="shared" ca="1" si="36"/>
        <v>-1.8396513236808465E-2</v>
      </c>
      <c r="AN175" s="4">
        <f t="shared" ca="1" si="37"/>
        <v>-3.0803502048355691E-2</v>
      </c>
      <c r="AO175" s="4">
        <f t="shared" ca="1" si="38"/>
        <v>-1.129428040273206E-2</v>
      </c>
      <c r="AP175" s="4">
        <f t="shared" ca="1" si="39"/>
        <v>-2.1228638911204432E-2</v>
      </c>
    </row>
    <row r="176" spans="1:42" x14ac:dyDescent="0.3">
      <c r="A176" s="1">
        <v>45849</v>
      </c>
      <c r="B176" s="3">
        <f>Data!B173</f>
        <v>285.472076416015</v>
      </c>
      <c r="C176" s="3">
        <f>Data!H173</f>
        <v>140.44334411621</v>
      </c>
      <c r="D176" s="3">
        <f>Data!N173</f>
        <v>46.4715156555175</v>
      </c>
      <c r="F176" s="1">
        <v>45849</v>
      </c>
      <c r="G176" s="4">
        <f t="shared" si="40"/>
        <v>-4.615161484365915E-3</v>
      </c>
      <c r="H176" s="4">
        <f t="shared" si="41"/>
        <v>-5.6607825813967949E-3</v>
      </c>
      <c r="I176" s="4">
        <f t="shared" si="42"/>
        <v>-5.1096808799436788E-3</v>
      </c>
      <c r="T176">
        <v>170</v>
      </c>
      <c r="U176" s="4">
        <v>-1.802770181683213E-2</v>
      </c>
      <c r="V176" s="4"/>
      <c r="W176">
        <v>171</v>
      </c>
      <c r="X176">
        <f t="shared" ca="1" si="43"/>
        <v>0.79556703929439432</v>
      </c>
      <c r="Y176">
        <f t="shared" ca="1" si="43"/>
        <v>-0.57942225788340507</v>
      </c>
      <c r="Z176">
        <f t="shared" ca="1" si="43"/>
        <v>0.29548939048037776</v>
      </c>
      <c r="AA176" s="4"/>
      <c r="AB176">
        <v>171</v>
      </c>
      <c r="AC176" s="24">
        <f t="shared" ca="1" si="33"/>
        <v>0.79556703929439432</v>
      </c>
      <c r="AD176" s="24">
        <f t="shared" ca="1" si="34"/>
        <v>0.4067796177986916</v>
      </c>
      <c r="AE176" s="24">
        <f t="shared" ca="1" si="35"/>
        <v>0.63938107964559299</v>
      </c>
      <c r="AF176" s="24"/>
      <c r="AG176">
        <v>171</v>
      </c>
      <c r="AH176">
        <f t="shared" ca="1" si="44"/>
        <v>313.65638278666682</v>
      </c>
      <c r="AI176">
        <f t="shared" ca="1" si="45"/>
        <v>165.65610026329892</v>
      </c>
      <c r="AJ176">
        <f t="shared" ca="1" si="46"/>
        <v>53.635386354220728</v>
      </c>
      <c r="AL176">
        <v>171</v>
      </c>
      <c r="AM176" s="4">
        <f t="shared" ca="1" si="36"/>
        <v>1.362584123576327E-2</v>
      </c>
      <c r="AN176" s="4">
        <f t="shared" ca="1" si="37"/>
        <v>8.4993656590304223E-3</v>
      </c>
      <c r="AO176" s="4">
        <f t="shared" ca="1" si="38"/>
        <v>1.1415945481037415E-2</v>
      </c>
      <c r="AP176" s="4">
        <f t="shared" ca="1" si="39"/>
        <v>1.0912282278652374E-2</v>
      </c>
    </row>
    <row r="177" spans="1:42" x14ac:dyDescent="0.3">
      <c r="A177" s="1">
        <v>45852</v>
      </c>
      <c r="B177" s="3">
        <f>Data!B174</f>
        <v>287.30322265625</v>
      </c>
      <c r="C177" s="3">
        <f>Data!H174</f>
        <v>142.11152648925699</v>
      </c>
      <c r="D177" s="3">
        <f>Data!N174</f>
        <v>46.809635162353501</v>
      </c>
      <c r="F177" s="1">
        <v>45852</v>
      </c>
      <c r="G177" s="4">
        <f t="shared" si="40"/>
        <v>6.4144495784816957E-3</v>
      </c>
      <c r="H177" s="4">
        <f t="shared" si="41"/>
        <v>1.1877973880105364E-2</v>
      </c>
      <c r="I177" s="4">
        <f t="shared" si="42"/>
        <v>7.2758441825397924E-3</v>
      </c>
      <c r="T177">
        <v>171</v>
      </c>
      <c r="U177" s="4">
        <v>-1.8009679833930647E-2</v>
      </c>
      <c r="V177" s="4"/>
      <c r="W177">
        <v>172</v>
      </c>
      <c r="X177">
        <f t="shared" ca="1" si="43"/>
        <v>-0.20571339926188553</v>
      </c>
      <c r="Y177">
        <f t="shared" ca="1" si="43"/>
        <v>0.74838620624145002</v>
      </c>
      <c r="Z177">
        <f t="shared" ca="1" si="43"/>
        <v>-1.3373429380306598</v>
      </c>
      <c r="AA177" s="4"/>
      <c r="AB177">
        <v>172</v>
      </c>
      <c r="AC177" s="24">
        <f t="shared" ca="1" si="33"/>
        <v>-0.20571339926188553</v>
      </c>
      <c r="AD177" s="24">
        <f t="shared" ca="1" si="34"/>
        <v>0.18975255829346804</v>
      </c>
      <c r="AE177" s="24">
        <f t="shared" ca="1" si="35"/>
        <v>-0.64004159035820751</v>
      </c>
      <c r="AF177" s="24"/>
      <c r="AG177">
        <v>172</v>
      </c>
      <c r="AH177">
        <f t="shared" ca="1" si="44"/>
        <v>308.36117238227138</v>
      </c>
      <c r="AI177">
        <f t="shared" ca="1" si="45"/>
        <v>164.91029086513615</v>
      </c>
      <c r="AJ177">
        <f t="shared" ca="1" si="46"/>
        <v>52.43127029043972</v>
      </c>
      <c r="AL177">
        <v>172</v>
      </c>
      <c r="AM177" s="4">
        <f t="shared" ca="1" si="36"/>
        <v>-3.4863949412582418E-3</v>
      </c>
      <c r="AN177" s="4">
        <f t="shared" ca="1" si="37"/>
        <v>3.9589454526256507E-3</v>
      </c>
      <c r="AO177" s="4">
        <f t="shared" ca="1" si="38"/>
        <v>-1.1290373423331501E-2</v>
      </c>
      <c r="AP177" s="4">
        <f t="shared" ca="1" si="39"/>
        <v>-2.8494523283266624E-3</v>
      </c>
    </row>
    <row r="178" spans="1:42" x14ac:dyDescent="0.3">
      <c r="A178" s="1">
        <v>45853</v>
      </c>
      <c r="B178" s="3">
        <f>Data!B175</f>
        <v>285.16360473632801</v>
      </c>
      <c r="C178" s="3">
        <f>Data!H175</f>
        <v>139.76225280761699</v>
      </c>
      <c r="D178" s="3">
        <f>Data!N175</f>
        <v>45.894725799560497</v>
      </c>
      <c r="F178" s="1">
        <v>45853</v>
      </c>
      <c r="G178" s="4">
        <f t="shared" si="40"/>
        <v>-7.4472465019370659E-3</v>
      </c>
      <c r="H178" s="4">
        <f t="shared" si="41"/>
        <v>-1.65311972904435E-2</v>
      </c>
      <c r="I178" s="4">
        <f t="shared" si="42"/>
        <v>-1.9545321377100078E-2</v>
      </c>
      <c r="T178">
        <v>172</v>
      </c>
      <c r="U178" s="4">
        <v>-1.7981857906490695E-2</v>
      </c>
      <c r="V178" s="4"/>
      <c r="W178">
        <v>173</v>
      </c>
      <c r="X178">
        <f t="shared" ca="1" si="43"/>
        <v>-0.57781943552725534</v>
      </c>
      <c r="Y178">
        <f t="shared" ca="1" si="43"/>
        <v>-0.20163225384184752</v>
      </c>
      <c r="Z178">
        <f t="shared" ca="1" si="43"/>
        <v>-1.0619449912653456</v>
      </c>
      <c r="AA178" s="4"/>
      <c r="AB178">
        <v>173</v>
      </c>
      <c r="AC178" s="24">
        <f t="shared" ca="1" si="33"/>
        <v>-0.57781943552725534</v>
      </c>
      <c r="AD178" s="24">
        <f t="shared" ca="1" si="34"/>
        <v>-0.6021572612736894</v>
      </c>
      <c r="AE178" s="24">
        <f t="shared" ca="1" si="35"/>
        <v>-1.0662451846169456</v>
      </c>
      <c r="AF178" s="24"/>
      <c r="AG178">
        <v>173</v>
      </c>
      <c r="AH178">
        <f t="shared" ca="1" si="44"/>
        <v>306.41617749540222</v>
      </c>
      <c r="AI178">
        <f t="shared" ca="1" si="45"/>
        <v>162.21727405834596</v>
      </c>
      <c r="AJ178">
        <f t="shared" ca="1" si="46"/>
        <v>52.036185652810936</v>
      </c>
      <c r="AL178">
        <v>173</v>
      </c>
      <c r="AM178" s="4">
        <f t="shared" ca="1" si="36"/>
        <v>-9.7719264547135865E-3</v>
      </c>
      <c r="AN178" s="4">
        <f t="shared" ca="1" si="37"/>
        <v>-1.2435897460133183E-2</v>
      </c>
      <c r="AO178" s="4">
        <f t="shared" ca="1" si="38"/>
        <v>-1.8740583619885953E-2</v>
      </c>
      <c r="AP178" s="4">
        <f t="shared" ca="1" si="39"/>
        <v>-1.3528112006433137E-2</v>
      </c>
    </row>
    <row r="179" spans="1:42" x14ac:dyDescent="0.3">
      <c r="A179" s="1">
        <v>45854</v>
      </c>
      <c r="B179" s="3">
        <f>Data!B176</f>
        <v>284.43713378906199</v>
      </c>
      <c r="C179" s="3">
        <f>Data!H176</f>
        <v>137.98548889160099</v>
      </c>
      <c r="D179" s="3">
        <f>Data!N176</f>
        <v>45.775386810302699</v>
      </c>
      <c r="F179" s="1">
        <v>45854</v>
      </c>
      <c r="G179" s="4">
        <f t="shared" si="40"/>
        <v>-2.5475584373318982E-3</v>
      </c>
      <c r="H179" s="4">
        <f t="shared" si="41"/>
        <v>-1.2712759563640597E-2</v>
      </c>
      <c r="I179" s="4">
        <f t="shared" si="42"/>
        <v>-2.6002767677270056E-3</v>
      </c>
      <c r="T179">
        <v>173</v>
      </c>
      <c r="U179" s="4">
        <v>-1.7971484388528459E-2</v>
      </c>
      <c r="V179" s="4"/>
      <c r="W179">
        <v>174</v>
      </c>
      <c r="X179">
        <f t="shared" ca="1" si="43"/>
        <v>-8.2050517240843269E-3</v>
      </c>
      <c r="Y179">
        <f t="shared" ca="1" si="43"/>
        <v>-0.96665193556918227</v>
      </c>
      <c r="Z179">
        <f t="shared" ca="1" si="43"/>
        <v>-1.5338359317089092</v>
      </c>
      <c r="AA179" s="4"/>
      <c r="AB179">
        <v>174</v>
      </c>
      <c r="AC179" s="24">
        <f t="shared" ca="1" si="33"/>
        <v>-8.2050517240843269E-3</v>
      </c>
      <c r="AD179" s="24">
        <f t="shared" ca="1" si="34"/>
        <v>-0.48344761017192417</v>
      </c>
      <c r="AE179" s="24">
        <f t="shared" ca="1" si="35"/>
        <v>-1.0519836819295874</v>
      </c>
      <c r="AF179" s="24"/>
      <c r="AG179">
        <v>174</v>
      </c>
      <c r="AH179">
        <f t="shared" ca="1" si="44"/>
        <v>309.39855742244839</v>
      </c>
      <c r="AI179">
        <f t="shared" ca="1" si="45"/>
        <v>162.61814556841011</v>
      </c>
      <c r="AJ179">
        <f t="shared" ca="1" si="46"/>
        <v>52.049357594093607</v>
      </c>
      <c r="AL179">
        <v>174</v>
      </c>
      <c r="AM179" s="4">
        <f t="shared" ca="1" si="36"/>
        <v>-1.3393555658813838E-4</v>
      </c>
      <c r="AN179" s="4">
        <f t="shared" ca="1" si="37"/>
        <v>-9.9954279394339762E-3</v>
      </c>
      <c r="AO179" s="4">
        <f t="shared" ca="1" si="38"/>
        <v>-1.8492197016343082E-2</v>
      </c>
      <c r="AP179" s="4">
        <f t="shared" ca="1" si="39"/>
        <v>-9.5860109476529568E-3</v>
      </c>
    </row>
    <row r="180" spans="1:42" x14ac:dyDescent="0.3">
      <c r="A180" s="1">
        <v>45855</v>
      </c>
      <c r="B180" s="3">
        <f>Data!B177</f>
        <v>288.49740600585898</v>
      </c>
      <c r="C180" s="3">
        <f>Data!H177</f>
        <v>139.08114624023401</v>
      </c>
      <c r="D180" s="3">
        <f>Data!N177</f>
        <v>46.759914398193303</v>
      </c>
      <c r="F180" s="1">
        <v>45855</v>
      </c>
      <c r="G180" s="4">
        <f t="shared" si="40"/>
        <v>1.427476139528272E-2</v>
      </c>
      <c r="H180" s="4">
        <f t="shared" si="41"/>
        <v>7.9403809591438446E-3</v>
      </c>
      <c r="I180" s="4">
        <f t="shared" si="42"/>
        <v>2.1507793958586818E-2</v>
      </c>
      <c r="T180">
        <v>174</v>
      </c>
      <c r="U180" s="4">
        <v>-1.7939626930225695E-2</v>
      </c>
      <c r="V180" s="4"/>
      <c r="W180">
        <v>175</v>
      </c>
      <c r="X180">
        <f t="shared" ca="1" si="43"/>
        <v>-1.2099053137438782</v>
      </c>
      <c r="Y180">
        <f t="shared" ca="1" si="43"/>
        <v>0.91496279593066432</v>
      </c>
      <c r="Z180">
        <f t="shared" ca="1" si="43"/>
        <v>-0.5679314600947476</v>
      </c>
      <c r="AA180" s="4"/>
      <c r="AB180">
        <v>175</v>
      </c>
      <c r="AC180" s="24">
        <f t="shared" ca="1" si="33"/>
        <v>-1.2099053137438782</v>
      </c>
      <c r="AD180" s="24">
        <f t="shared" ca="1" si="34"/>
        <v>-0.6019930213872009</v>
      </c>
      <c r="AE180" s="24">
        <f t="shared" ca="1" si="35"/>
        <v>-1.0232188517754066</v>
      </c>
      <c r="AF180" s="24"/>
      <c r="AG180">
        <v>175</v>
      </c>
      <c r="AH180">
        <f t="shared" ca="1" si="44"/>
        <v>303.1403484364622</v>
      </c>
      <c r="AI180">
        <f t="shared" ca="1" si="45"/>
        <v>162.21782799802929</v>
      </c>
      <c r="AJ180">
        <f t="shared" ca="1" si="46"/>
        <v>52.075934971668502</v>
      </c>
      <c r="AL180">
        <v>175</v>
      </c>
      <c r="AM180" s="4">
        <f t="shared" ca="1" si="36"/>
        <v>-2.0358240548219664E-2</v>
      </c>
      <c r="AN180" s="4">
        <f t="shared" ca="1" si="37"/>
        <v>-1.24325251254086E-2</v>
      </c>
      <c r="AO180" s="4">
        <f t="shared" ca="1" si="38"/>
        <v>-1.7991020735244057E-2</v>
      </c>
      <c r="AP180" s="4">
        <f t="shared" ca="1" si="39"/>
        <v>-1.6477788435202555E-2</v>
      </c>
    </row>
    <row r="181" spans="1:42" x14ac:dyDescent="0.3">
      <c r="A181" s="1">
        <v>45856</v>
      </c>
      <c r="B181" s="3">
        <f>Data!B178</f>
        <v>289.860748291015</v>
      </c>
      <c r="C181" s="3">
        <f>Data!H178</f>
        <v>139.01206970214801</v>
      </c>
      <c r="D181" s="3">
        <f>Data!N178</f>
        <v>47.058254241943303</v>
      </c>
      <c r="F181" s="1">
        <v>45856</v>
      </c>
      <c r="G181" s="4">
        <f t="shared" si="40"/>
        <v>4.7256656620626725E-3</v>
      </c>
      <c r="H181" s="4">
        <f t="shared" si="41"/>
        <v>-4.9666356622257712E-4</v>
      </c>
      <c r="I181" s="4">
        <f t="shared" si="42"/>
        <v>6.38024785951119E-3</v>
      </c>
      <c r="T181">
        <v>175</v>
      </c>
      <c r="U181" s="4">
        <v>-1.7603565843923953E-2</v>
      </c>
      <c r="V181" s="4"/>
      <c r="W181">
        <v>176</v>
      </c>
      <c r="X181">
        <f t="shared" ca="1" si="43"/>
        <v>0.56861753492787914</v>
      </c>
      <c r="Y181">
        <f t="shared" ca="1" si="43"/>
        <v>-0.53466103260057973</v>
      </c>
      <c r="Z181">
        <f t="shared" ca="1" si="43"/>
        <v>-0.96972317845014988</v>
      </c>
      <c r="AA181" s="4"/>
      <c r="AB181">
        <v>176</v>
      </c>
      <c r="AC181" s="24">
        <f t="shared" ca="1" si="33"/>
        <v>0.56861753492787914</v>
      </c>
      <c r="AD181" s="24">
        <f t="shared" ca="1" si="34"/>
        <v>0.23134906327551952</v>
      </c>
      <c r="AE181" s="24">
        <f t="shared" ca="1" si="35"/>
        <v>-0.17562000295854691</v>
      </c>
      <c r="AF181" s="24"/>
      <c r="AG181">
        <v>176</v>
      </c>
      <c r="AH181">
        <f t="shared" ca="1" si="44"/>
        <v>312.44826031251722</v>
      </c>
      <c r="AI181">
        <f t="shared" ca="1" si="45"/>
        <v>165.05297589660864</v>
      </c>
      <c r="AJ181">
        <f t="shared" ca="1" si="46"/>
        <v>52.865198449478932</v>
      </c>
      <c r="AL181">
        <v>176</v>
      </c>
      <c r="AM181" s="4">
        <f t="shared" ca="1" si="36"/>
        <v>9.7216192068794172E-3</v>
      </c>
      <c r="AN181" s="4">
        <f t="shared" ca="1" si="37"/>
        <v>4.8275990277149017E-3</v>
      </c>
      <c r="AO181" s="4">
        <f t="shared" ca="1" si="38"/>
        <v>-3.107681191993561E-3</v>
      </c>
      <c r="AP181" s="4">
        <f t="shared" ca="1" si="39"/>
        <v>3.915221015551717E-3</v>
      </c>
    </row>
    <row r="182" spans="1:42" x14ac:dyDescent="0.3">
      <c r="A182" s="1">
        <v>45859</v>
      </c>
      <c r="B182" s="3">
        <f>Data!B179</f>
        <v>289.56222534179602</v>
      </c>
      <c r="C182" s="3">
        <f>Data!H179</f>
        <v>138.65670776367099</v>
      </c>
      <c r="D182" s="3">
        <f>Data!N179</f>
        <v>47.217369079589801</v>
      </c>
      <c r="F182" s="1">
        <v>45859</v>
      </c>
      <c r="G182" s="4">
        <f t="shared" si="40"/>
        <v>-1.0298840080246174E-3</v>
      </c>
      <c r="H182" s="4">
        <f t="shared" si="41"/>
        <v>-2.5563387354667899E-3</v>
      </c>
      <c r="I182" s="4">
        <f t="shared" si="42"/>
        <v>3.3812312039547265E-3</v>
      </c>
      <c r="T182">
        <v>176</v>
      </c>
      <c r="U182" s="4">
        <v>-1.7555425163022297E-2</v>
      </c>
      <c r="V182" s="4"/>
      <c r="W182">
        <v>177</v>
      </c>
      <c r="X182">
        <f t="shared" ca="1" si="43"/>
        <v>8.1670466572042966E-2</v>
      </c>
      <c r="Y182">
        <f t="shared" ca="1" si="43"/>
        <v>4.1391892178973398E-2</v>
      </c>
      <c r="Z182">
        <f t="shared" ca="1" si="43"/>
        <v>-1.3734292354656317</v>
      </c>
      <c r="AA182" s="4"/>
      <c r="AB182">
        <v>177</v>
      </c>
      <c r="AC182" s="24">
        <f t="shared" ca="1" si="33"/>
        <v>8.1670466572042966E-2</v>
      </c>
      <c r="AD182" s="24">
        <f t="shared" ca="1" si="34"/>
        <v>9.1463170361474375E-2</v>
      </c>
      <c r="AE182" s="24">
        <f t="shared" ca="1" si="35"/>
        <v>-0.61894890098919952</v>
      </c>
      <c r="AF182" s="24"/>
      <c r="AG182">
        <v>177</v>
      </c>
      <c r="AH182">
        <f t="shared" ca="1" si="44"/>
        <v>309.87177071373179</v>
      </c>
      <c r="AI182">
        <f t="shared" ca="1" si="45"/>
        <v>164.57362684374274</v>
      </c>
      <c r="AJ182">
        <f t="shared" ca="1" si="46"/>
        <v>52.450900625251244</v>
      </c>
      <c r="AL182">
        <v>177</v>
      </c>
      <c r="AM182" s="4">
        <f t="shared" ca="1" si="36"/>
        <v>1.3953214481619014E-3</v>
      </c>
      <c r="AN182" s="4">
        <f t="shared" ca="1" si="37"/>
        <v>1.9093653195920712E-3</v>
      </c>
      <c r="AO182" s="4">
        <f t="shared" ca="1" si="38"/>
        <v>-1.0920199271655218E-2</v>
      </c>
      <c r="AP182" s="4">
        <f t="shared" ca="1" si="39"/>
        <v>-2.0937172192111667E-3</v>
      </c>
    </row>
    <row r="183" spans="1:42" x14ac:dyDescent="0.3">
      <c r="A183" s="1">
        <v>45860</v>
      </c>
      <c r="B183" s="3">
        <f>Data!B180</f>
        <v>290.01998901367102</v>
      </c>
      <c r="C183" s="3">
        <f>Data!H180</f>
        <v>138.23225402832</v>
      </c>
      <c r="D183" s="3">
        <f>Data!N180</f>
        <v>47.505764007568303</v>
      </c>
      <c r="F183" s="1">
        <v>45860</v>
      </c>
      <c r="G183" s="4">
        <f t="shared" si="40"/>
        <v>1.5808818686022796E-3</v>
      </c>
      <c r="H183" s="4">
        <f t="shared" si="41"/>
        <v>-3.0611842888584873E-3</v>
      </c>
      <c r="I183" s="4">
        <f t="shared" si="42"/>
        <v>6.1078144250770183E-3</v>
      </c>
      <c r="T183">
        <v>177</v>
      </c>
      <c r="U183" s="4">
        <v>-1.7488182908220275E-2</v>
      </c>
      <c r="V183" s="4"/>
      <c r="W183">
        <v>178</v>
      </c>
      <c r="X183">
        <f t="shared" ca="1" si="43"/>
        <v>-0.18136452150509436</v>
      </c>
      <c r="Y183">
        <f t="shared" ca="1" si="43"/>
        <v>0.29936796393036513</v>
      </c>
      <c r="Z183">
        <f t="shared" ca="1" si="43"/>
        <v>-1.4709457566656521</v>
      </c>
      <c r="AA183" s="4"/>
      <c r="AB183">
        <v>178</v>
      </c>
      <c r="AC183" s="24">
        <f t="shared" ca="1" si="33"/>
        <v>-0.18136452150509436</v>
      </c>
      <c r="AD183" s="24">
        <f t="shared" ca="1" si="34"/>
        <v>-1.0308718683789575E-2</v>
      </c>
      <c r="AE183" s="24">
        <f t="shared" ca="1" si="35"/>
        <v>-0.81192284829565065</v>
      </c>
      <c r="AF183" s="24"/>
      <c r="AG183">
        <v>178</v>
      </c>
      <c r="AH183">
        <f t="shared" ca="1" si="44"/>
        <v>308.4888732603826</v>
      </c>
      <c r="AI183">
        <f t="shared" ca="1" si="45"/>
        <v>164.22575868628667</v>
      </c>
      <c r="AJ183">
        <f t="shared" ca="1" si="46"/>
        <v>52.271579167512805</v>
      </c>
      <c r="AL183">
        <v>178</v>
      </c>
      <c r="AM183" s="4">
        <f t="shared" ca="1" si="36"/>
        <v>-3.0737111346924584E-3</v>
      </c>
      <c r="AN183" s="4">
        <f t="shared" ca="1" si="37"/>
        <v>-2.0842458111069995E-4</v>
      </c>
      <c r="AO183" s="4">
        <f t="shared" ca="1" si="38"/>
        <v>-1.4301709018331832E-2</v>
      </c>
      <c r="AP183" s="4">
        <f t="shared" ca="1" si="39"/>
        <v>-5.2959958783515663E-3</v>
      </c>
    </row>
    <row r="184" spans="1:42" x14ac:dyDescent="0.3">
      <c r="A184" s="1">
        <v>45861</v>
      </c>
      <c r="B184" s="3">
        <f>Data!B181</f>
        <v>295.32421875</v>
      </c>
      <c r="C184" s="3">
        <f>Data!H181</f>
        <v>140.374252319335</v>
      </c>
      <c r="D184" s="3">
        <f>Data!N181</f>
        <v>47.873714447021399</v>
      </c>
      <c r="F184" s="1">
        <v>45861</v>
      </c>
      <c r="G184" s="4">
        <f t="shared" si="40"/>
        <v>1.8289186736293983E-2</v>
      </c>
      <c r="H184" s="4">
        <f t="shared" si="41"/>
        <v>1.549564756844779E-2</v>
      </c>
      <c r="I184" s="4">
        <f t="shared" si="42"/>
        <v>7.7453851577773403E-3</v>
      </c>
      <c r="T184">
        <v>178</v>
      </c>
      <c r="U184" s="4">
        <v>-1.728458360988111E-2</v>
      </c>
      <c r="V184" s="4"/>
      <c r="W184">
        <v>179</v>
      </c>
      <c r="X184">
        <f t="shared" ca="1" si="43"/>
        <v>-0.18119014737549671</v>
      </c>
      <c r="Y184">
        <f t="shared" ca="1" si="43"/>
        <v>-0.63474618618163803</v>
      </c>
      <c r="Z184">
        <f t="shared" ca="1" si="43"/>
        <v>2.0772124444363582</v>
      </c>
      <c r="AA184" s="4"/>
      <c r="AB184">
        <v>179</v>
      </c>
      <c r="AC184" s="24">
        <f t="shared" ca="1" si="33"/>
        <v>-0.18119014737549671</v>
      </c>
      <c r="AD184" s="24">
        <f t="shared" ca="1" si="34"/>
        <v>-0.47043208917168922</v>
      </c>
      <c r="AE184" s="24">
        <f t="shared" ca="1" si="35"/>
        <v>0.73110570622176574</v>
      </c>
      <c r="AF184" s="24"/>
      <c r="AG184">
        <v>179</v>
      </c>
      <c r="AH184">
        <f t="shared" ca="1" si="44"/>
        <v>308.48978797903686</v>
      </c>
      <c r="AI184">
        <f t="shared" ca="1" si="45"/>
        <v>162.66215799635577</v>
      </c>
      <c r="AJ184">
        <f t="shared" ca="1" si="46"/>
        <v>53.722766944862009</v>
      </c>
      <c r="AL184">
        <v>179</v>
      </c>
      <c r="AM184" s="4">
        <f t="shared" ca="1" si="36"/>
        <v>-3.0707550894266689E-3</v>
      </c>
      <c r="AN184" s="4">
        <f t="shared" ca="1" si="37"/>
        <v>-9.727484256142116E-3</v>
      </c>
      <c r="AO184" s="4">
        <f t="shared" ca="1" si="38"/>
        <v>1.3063703215389744E-2</v>
      </c>
      <c r="AP184" s="4">
        <f t="shared" ca="1" si="39"/>
        <v>-8.931092646679243E-4</v>
      </c>
    </row>
    <row r="185" spans="1:42" x14ac:dyDescent="0.3">
      <c r="A185" s="1">
        <v>45862</v>
      </c>
      <c r="B185" s="3">
        <f>Data!B182</f>
        <v>295.11520385742102</v>
      </c>
      <c r="C185" s="3">
        <f>Data!H182</f>
        <v>140.66050720214801</v>
      </c>
      <c r="D185" s="3">
        <f>Data!N182</f>
        <v>48.1223335266113</v>
      </c>
      <c r="F185" s="1">
        <v>45862</v>
      </c>
      <c r="G185" s="4">
        <f t="shared" si="40"/>
        <v>-7.0774721241506633E-4</v>
      </c>
      <c r="H185" s="4">
        <f t="shared" si="41"/>
        <v>2.0392264114206249E-3</v>
      </c>
      <c r="I185" s="4">
        <f t="shared" si="42"/>
        <v>5.1932272743329122E-3</v>
      </c>
      <c r="T185">
        <v>179</v>
      </c>
      <c r="U185" s="4">
        <v>-1.7232453404335889E-2</v>
      </c>
      <c r="V185" s="4"/>
      <c r="W185">
        <v>180</v>
      </c>
      <c r="X185">
        <f t="shared" ca="1" si="43"/>
        <v>1.8536987175619848</v>
      </c>
      <c r="Y185">
        <f t="shared" ca="1" si="43"/>
        <v>-0.63259150024080912</v>
      </c>
      <c r="Z185">
        <f t="shared" ca="1" si="43"/>
        <v>-1.2854896448398392</v>
      </c>
      <c r="AA185" s="4"/>
      <c r="AB185">
        <v>180</v>
      </c>
      <c r="AC185" s="24">
        <f t="shared" ca="1" si="33"/>
        <v>1.8536987175619848</v>
      </c>
      <c r="AD185" s="24">
        <f t="shared" ca="1" si="34"/>
        <v>1.3013426267830199</v>
      </c>
      <c r="AE185" s="24">
        <f t="shared" ca="1" si="35"/>
        <v>0.68600802694491225</v>
      </c>
      <c r="AF185" s="24"/>
      <c r="AG185">
        <v>180</v>
      </c>
      <c r="AH185">
        <f t="shared" ca="1" si="44"/>
        <v>319.35110026510876</v>
      </c>
      <c r="AI185">
        <f t="shared" ca="1" si="45"/>
        <v>168.76602171705343</v>
      </c>
      <c r="AJ185">
        <f t="shared" ca="1" si="46"/>
        <v>53.679787295568239</v>
      </c>
      <c r="AL185">
        <v>180</v>
      </c>
      <c r="AM185" s="4">
        <f t="shared" ca="1" si="36"/>
        <v>3.2029142145509892E-2</v>
      </c>
      <c r="AN185" s="4">
        <f t="shared" ca="1" si="37"/>
        <v>2.743228638078965E-2</v>
      </c>
      <c r="AO185" s="4">
        <f t="shared" ca="1" si="38"/>
        <v>1.2253225178747718E-2</v>
      </c>
      <c r="AP185" s="4">
        <f t="shared" ca="1" si="39"/>
        <v>2.4257624749593143E-2</v>
      </c>
    </row>
    <row r="186" spans="1:42" x14ac:dyDescent="0.3">
      <c r="A186" s="1">
        <v>45863</v>
      </c>
      <c r="B186" s="3">
        <f>Data!B183</f>
        <v>297.175201416015</v>
      </c>
      <c r="C186" s="3">
        <f>Data!H183</f>
        <v>141.16392517089801</v>
      </c>
      <c r="D186" s="3">
        <f>Data!N183</f>
        <v>48.182003021240199</v>
      </c>
      <c r="F186" s="1">
        <v>45863</v>
      </c>
      <c r="G186" s="4">
        <f t="shared" si="40"/>
        <v>6.9803166074400291E-3</v>
      </c>
      <c r="H186" s="4">
        <f t="shared" si="41"/>
        <v>3.5789574398912283E-3</v>
      </c>
      <c r="I186" s="4">
        <f t="shared" si="42"/>
        <v>1.2399543051233586E-3</v>
      </c>
      <c r="T186">
        <v>180</v>
      </c>
      <c r="U186" s="4">
        <v>-1.7192777342540388E-2</v>
      </c>
      <c r="V186" s="4"/>
      <c r="W186">
        <v>181</v>
      </c>
      <c r="X186">
        <f t="shared" ca="1" si="43"/>
        <v>-2.0901376910959528</v>
      </c>
      <c r="Y186">
        <f t="shared" ca="1" si="43"/>
        <v>-0.7222201992859727</v>
      </c>
      <c r="Z186">
        <f t="shared" ca="1" si="43"/>
        <v>0.50618668014097756</v>
      </c>
      <c r="AA186" s="4"/>
      <c r="AB186">
        <v>181</v>
      </c>
      <c r="AC186" s="24">
        <f t="shared" ca="1" si="33"/>
        <v>-2.0901376910959528</v>
      </c>
      <c r="AD186" s="24">
        <f t="shared" ca="1" si="34"/>
        <v>-2.1746558111215029</v>
      </c>
      <c r="AE186" s="24">
        <f t="shared" ca="1" si="35"/>
        <v>-1.6484953807081932</v>
      </c>
      <c r="AF186" s="24"/>
      <c r="AG186">
        <v>181</v>
      </c>
      <c r="AH186">
        <f t="shared" ca="1" si="44"/>
        <v>298.63674416935834</v>
      </c>
      <c r="AI186">
        <f t="shared" ca="1" si="45"/>
        <v>156.9994053006545</v>
      </c>
      <c r="AJ186">
        <f t="shared" ca="1" si="46"/>
        <v>51.501255236562969</v>
      </c>
      <c r="AL186">
        <v>181</v>
      </c>
      <c r="AM186" s="4">
        <f t="shared" ca="1" si="36"/>
        <v>-3.4912287315190693E-2</v>
      </c>
      <c r="AN186" s="4">
        <f t="shared" ca="1" si="37"/>
        <v>-4.4201810842495637E-2</v>
      </c>
      <c r="AO186" s="4">
        <f t="shared" ca="1" si="38"/>
        <v>-2.8827900771716708E-2</v>
      </c>
      <c r="AP186" s="4">
        <f t="shared" ca="1" si="39"/>
        <v>-3.6802780763070475E-2</v>
      </c>
    </row>
    <row r="187" spans="1:42" x14ac:dyDescent="0.3">
      <c r="A187" s="1">
        <v>45866</v>
      </c>
      <c r="B187" s="3">
        <f>Data!B184</f>
        <v>296.83685302734301</v>
      </c>
      <c r="C187" s="3">
        <f>Data!H184</f>
        <v>140.7197265625</v>
      </c>
      <c r="D187" s="3">
        <f>Data!N184</f>
        <v>47.963218688964801</v>
      </c>
      <c r="F187" s="1">
        <v>45866</v>
      </c>
      <c r="G187" s="4">
        <f t="shared" si="40"/>
        <v>-1.1385485298227582E-3</v>
      </c>
      <c r="H187" s="4">
        <f t="shared" si="41"/>
        <v>-3.1466864346556545E-3</v>
      </c>
      <c r="I187" s="4">
        <f t="shared" si="42"/>
        <v>-4.5407894764970536E-3</v>
      </c>
      <c r="T187">
        <v>181</v>
      </c>
      <c r="U187" s="4">
        <v>-1.707980471330418E-2</v>
      </c>
      <c r="V187" s="4"/>
      <c r="W187">
        <v>182</v>
      </c>
      <c r="X187">
        <f t="shared" ca="1" si="43"/>
        <v>-0.11849126751367953</v>
      </c>
      <c r="Y187">
        <f t="shared" ca="1" si="43"/>
        <v>-0.96683878542214408</v>
      </c>
      <c r="Z187">
        <f t="shared" ca="1" si="43"/>
        <v>0.52920978823268816</v>
      </c>
      <c r="AA187" s="4"/>
      <c r="AB187">
        <v>182</v>
      </c>
      <c r="AC187" s="24">
        <f t="shared" ca="1" si="33"/>
        <v>-0.11849126751367953</v>
      </c>
      <c r="AD187" s="24">
        <f t="shared" ca="1" si="34"/>
        <v>-0.579508181371581</v>
      </c>
      <c r="AE187" s="24">
        <f t="shared" ca="1" si="35"/>
        <v>-9.5026158779134617E-2</v>
      </c>
      <c r="AF187" s="24"/>
      <c r="AG187">
        <v>182</v>
      </c>
      <c r="AH187">
        <f t="shared" ca="1" si="44"/>
        <v>308.81886491490042</v>
      </c>
      <c r="AI187">
        <f t="shared" ca="1" si="45"/>
        <v>162.29368154690829</v>
      </c>
      <c r="AJ187">
        <f t="shared" ca="1" si="46"/>
        <v>52.940865436773308</v>
      </c>
      <c r="AL187">
        <v>182</v>
      </c>
      <c r="AM187" s="4">
        <f t="shared" ca="1" si="36"/>
        <v>-2.0072955067379494E-3</v>
      </c>
      <c r="AN187" s="4">
        <f t="shared" ca="1" si="37"/>
        <v>-1.1970735575818403E-2</v>
      </c>
      <c r="AO187" s="4">
        <f t="shared" ca="1" si="38"/>
        <v>-1.6808098166181118E-3</v>
      </c>
      <c r="AP187" s="4">
        <f t="shared" ca="1" si="39"/>
        <v>-5.8947258273341803E-3</v>
      </c>
    </row>
    <row r="188" spans="1:42" x14ac:dyDescent="0.3">
      <c r="A188" s="1">
        <v>45867</v>
      </c>
      <c r="B188" s="3">
        <f>Data!B185</f>
        <v>295.60287475585898</v>
      </c>
      <c r="C188" s="3">
        <f>Data!H185</f>
        <v>141.70681762695301</v>
      </c>
      <c r="D188" s="3">
        <f>Data!N185</f>
        <v>47.684768676757798</v>
      </c>
      <c r="F188" s="1">
        <v>45867</v>
      </c>
      <c r="G188" s="4">
        <f t="shared" si="40"/>
        <v>-4.1570925540379555E-3</v>
      </c>
      <c r="H188" s="4">
        <f t="shared" si="41"/>
        <v>7.014589130931892E-3</v>
      </c>
      <c r="I188" s="4">
        <f t="shared" si="42"/>
        <v>-5.8054905366696774E-3</v>
      </c>
      <c r="T188">
        <v>182</v>
      </c>
      <c r="U188" s="4">
        <v>-1.6962440070284225E-2</v>
      </c>
      <c r="V188" s="4"/>
      <c r="W188">
        <v>183</v>
      </c>
      <c r="X188">
        <f t="shared" ca="1" si="43"/>
        <v>-0.23040986526207125</v>
      </c>
      <c r="Y188">
        <f t="shared" ca="1" si="43"/>
        <v>0.3780435873525847</v>
      </c>
      <c r="Z188">
        <f t="shared" ca="1" si="43"/>
        <v>-1.4375586184366658E-2</v>
      </c>
      <c r="AA188" s="4"/>
      <c r="AB188">
        <v>183</v>
      </c>
      <c r="AC188" s="24">
        <f t="shared" ca="1" si="33"/>
        <v>-0.23040986526207125</v>
      </c>
      <c r="AD188" s="24">
        <f t="shared" ca="1" si="34"/>
        <v>-1.4220235965039213E-2</v>
      </c>
      <c r="AE188" s="24">
        <f t="shared" ca="1" si="35"/>
        <v>-9.1004901739117863E-2</v>
      </c>
      <c r="AF188" s="24"/>
      <c r="AG188">
        <v>183</v>
      </c>
      <c r="AH188">
        <f t="shared" ca="1" si="44"/>
        <v>308.23170253189221</v>
      </c>
      <c r="AI188">
        <f t="shared" ca="1" si="45"/>
        <v>164.21240334864407</v>
      </c>
      <c r="AJ188">
        <f t="shared" ca="1" si="46"/>
        <v>52.944643702078665</v>
      </c>
      <c r="AL188">
        <v>183</v>
      </c>
      <c r="AM188" s="4">
        <f t="shared" ca="1" si="36"/>
        <v>-3.9047954368556237E-3</v>
      </c>
      <c r="AN188" s="4">
        <f t="shared" ca="1" si="37"/>
        <v>-2.8973066956328175E-4</v>
      </c>
      <c r="AO188" s="4">
        <f t="shared" ca="1" si="38"/>
        <v>-1.6095621192330212E-3</v>
      </c>
      <c r="AP188" s="4">
        <f t="shared" ca="1" si="39"/>
        <v>-1.7701995346519062E-3</v>
      </c>
    </row>
    <row r="189" spans="1:42" x14ac:dyDescent="0.3">
      <c r="A189" s="1">
        <v>45868</v>
      </c>
      <c r="B189" s="3">
        <f>Data!B186</f>
        <v>298.18032836914</v>
      </c>
      <c r="C189" s="3">
        <f>Data!H186</f>
        <v>143.06900024414</v>
      </c>
      <c r="D189" s="3">
        <f>Data!N186</f>
        <v>47.694713592529297</v>
      </c>
      <c r="F189" s="1">
        <v>45868</v>
      </c>
      <c r="G189" s="4">
        <f t="shared" si="40"/>
        <v>8.7193117300017331E-3</v>
      </c>
      <c r="H189" s="4">
        <f t="shared" si="41"/>
        <v>9.6126822971422943E-3</v>
      </c>
      <c r="I189" s="4">
        <f t="shared" si="42"/>
        <v>2.0855539509723187E-4</v>
      </c>
      <c r="T189">
        <v>183</v>
      </c>
      <c r="U189" s="4">
        <v>-1.6898748924942298E-2</v>
      </c>
      <c r="V189" s="4"/>
      <c r="W189">
        <v>184</v>
      </c>
      <c r="X189">
        <f t="shared" ca="1" si="43"/>
        <v>-0.12864766540404565</v>
      </c>
      <c r="Y189">
        <f t="shared" ca="1" si="43"/>
        <v>-0.45250049273802584</v>
      </c>
      <c r="Z189">
        <f t="shared" ca="1" si="43"/>
        <v>-1.4732880813708669</v>
      </c>
      <c r="AA189" s="4"/>
      <c r="AB189">
        <v>184</v>
      </c>
      <c r="AC189" s="24">
        <f t="shared" ca="1" si="33"/>
        <v>-0.12864766540404565</v>
      </c>
      <c r="AD189" s="24">
        <f t="shared" ca="1" si="34"/>
        <v>-0.33491115745144956</v>
      </c>
      <c r="AE189" s="24">
        <f t="shared" ca="1" si="35"/>
        <v>-0.97763344150032672</v>
      </c>
      <c r="AF189" s="24"/>
      <c r="AG189">
        <v>184</v>
      </c>
      <c r="AH189">
        <f t="shared" ca="1" si="44"/>
        <v>308.76553494211834</v>
      </c>
      <c r="AI189">
        <f t="shared" ca="1" si="45"/>
        <v>163.12113497860483</v>
      </c>
      <c r="AJ189">
        <f t="shared" ca="1" si="46"/>
        <v>52.118081587743205</v>
      </c>
      <c r="AL189">
        <v>184</v>
      </c>
      <c r="AM189" s="4">
        <f t="shared" ca="1" si="36"/>
        <v>-2.1796390058372861E-3</v>
      </c>
      <c r="AN189" s="4">
        <f t="shared" ca="1" si="37"/>
        <v>-6.9332738726153309E-3</v>
      </c>
      <c r="AO189" s="4">
        <f t="shared" ca="1" si="38"/>
        <v>-1.719625141514447E-2</v>
      </c>
      <c r="AP189" s="4">
        <f t="shared" ca="1" si="39"/>
        <v>-8.5860766753406599E-3</v>
      </c>
    </row>
    <row r="190" spans="1:42" x14ac:dyDescent="0.3">
      <c r="A190" s="1">
        <v>45869</v>
      </c>
      <c r="B190" s="3">
        <f>Data!B187</f>
        <v>294.80670166015602</v>
      </c>
      <c r="C190" s="3">
        <f>Data!H187</f>
        <v>141.59797668457</v>
      </c>
      <c r="D190" s="3">
        <f>Data!N187</f>
        <v>47.008529663085902</v>
      </c>
      <c r="F190" s="1">
        <v>45869</v>
      </c>
      <c r="G190" s="4">
        <f t="shared" si="40"/>
        <v>-1.1314048540477573E-2</v>
      </c>
      <c r="H190" s="4">
        <f t="shared" si="41"/>
        <v>-1.0281916816779146E-2</v>
      </c>
      <c r="I190" s="4">
        <f t="shared" si="42"/>
        <v>-1.438700178190977E-2</v>
      </c>
      <c r="T190">
        <v>184</v>
      </c>
      <c r="U190" s="4">
        <v>-1.688825574339434E-2</v>
      </c>
      <c r="V190" s="4"/>
      <c r="W190">
        <v>185</v>
      </c>
      <c r="X190">
        <f t="shared" ca="1" si="43"/>
        <v>-0.27455364263593618</v>
      </c>
      <c r="Y190">
        <f t="shared" ca="1" si="43"/>
        <v>-0.49079137038361492</v>
      </c>
      <c r="Z190">
        <f t="shared" ca="1" si="43"/>
        <v>0.47179414509086665</v>
      </c>
      <c r="AA190" s="4"/>
      <c r="AB190">
        <v>185</v>
      </c>
      <c r="AC190" s="24">
        <f t="shared" ca="1" si="33"/>
        <v>-0.27455364263593618</v>
      </c>
      <c r="AD190" s="24">
        <f t="shared" ca="1" si="34"/>
        <v>-0.48074258399334419</v>
      </c>
      <c r="AE190" s="24">
        <f t="shared" ca="1" si="35"/>
        <v>-0.12013651325231151</v>
      </c>
      <c r="AF190" s="24"/>
      <c r="AG190">
        <v>185</v>
      </c>
      <c r="AH190">
        <f t="shared" ca="1" si="44"/>
        <v>308.00041663979437</v>
      </c>
      <c r="AI190">
        <f t="shared" ca="1" si="45"/>
        <v>162.62729172623051</v>
      </c>
      <c r="AJ190">
        <f t="shared" ca="1" si="46"/>
        <v>52.917278518704869</v>
      </c>
      <c r="AL190">
        <v>185</v>
      </c>
      <c r="AM190" s="4">
        <f t="shared" ca="1" si="36"/>
        <v>-4.6522291567142604E-3</v>
      </c>
      <c r="AN190" s="4">
        <f t="shared" ca="1" si="37"/>
        <v>-9.9397469572942709E-3</v>
      </c>
      <c r="AO190" s="4">
        <f t="shared" ca="1" si="38"/>
        <v>-2.1255942520582716E-3</v>
      </c>
      <c r="AP190" s="4">
        <f t="shared" ca="1" si="39"/>
        <v>-6.0092458055494673E-3</v>
      </c>
    </row>
    <row r="191" spans="1:42" x14ac:dyDescent="0.3">
      <c r="A191" s="1">
        <v>45870</v>
      </c>
      <c r="B191" s="3">
        <f>Data!B188</f>
        <v>287.969970703125</v>
      </c>
      <c r="C191" s="3">
        <f>Data!H188</f>
        <v>138.24835205078099</v>
      </c>
      <c r="D191" s="3">
        <f>Data!N188</f>
        <v>45.407436370849602</v>
      </c>
      <c r="F191" s="1">
        <v>45870</v>
      </c>
      <c r="G191" s="4">
        <f t="shared" si="40"/>
        <v>-2.3190554755136428E-2</v>
      </c>
      <c r="H191" s="4">
        <f t="shared" si="41"/>
        <v>-2.3655879216768594E-2</v>
      </c>
      <c r="I191" s="4">
        <f t="shared" si="42"/>
        <v>-3.4059633511438703E-2</v>
      </c>
      <c r="T191">
        <v>185</v>
      </c>
      <c r="U191" s="4">
        <v>-1.6759385933095526E-2</v>
      </c>
      <c r="V191" s="4"/>
      <c r="W191">
        <v>186</v>
      </c>
      <c r="X191">
        <f t="shared" ca="1" si="43"/>
        <v>-0.43345281350029008</v>
      </c>
      <c r="Y191">
        <f t="shared" ca="1" si="43"/>
        <v>-0.70712693631119083</v>
      </c>
      <c r="Z191">
        <f t="shared" ca="1" si="43"/>
        <v>0.54295541542169756</v>
      </c>
      <c r="AA191" s="4"/>
      <c r="AB191">
        <v>186</v>
      </c>
      <c r="AC191" s="24">
        <f t="shared" ca="1" si="33"/>
        <v>-0.43345281350029008</v>
      </c>
      <c r="AD191" s="24">
        <f t="shared" ca="1" si="34"/>
        <v>-0.72561006839691378</v>
      </c>
      <c r="AE191" s="24">
        <f t="shared" ca="1" si="35"/>
        <v>-0.2734375374080103</v>
      </c>
      <c r="AF191" s="24"/>
      <c r="AG191">
        <v>186</v>
      </c>
      <c r="AH191">
        <f t="shared" ca="1" si="44"/>
        <v>307.16931972888949</v>
      </c>
      <c r="AI191">
        <f t="shared" ca="1" si="45"/>
        <v>161.80143352188563</v>
      </c>
      <c r="AJ191">
        <f t="shared" ca="1" si="46"/>
        <v>52.773505961675504</v>
      </c>
      <c r="AL191">
        <v>186</v>
      </c>
      <c r="AM191" s="4">
        <f t="shared" ca="1" si="36"/>
        <v>-7.3380386976519274E-3</v>
      </c>
      <c r="AN191" s="4">
        <f t="shared" ca="1" si="37"/>
        <v>-1.4967497060564328E-2</v>
      </c>
      <c r="AO191" s="4">
        <f t="shared" ca="1" si="38"/>
        <v>-4.8367494536211142E-3</v>
      </c>
      <c r="AP191" s="4">
        <f t="shared" ca="1" si="39"/>
        <v>-9.6394352696076435E-3</v>
      </c>
    </row>
    <row r="192" spans="1:42" x14ac:dyDescent="0.3">
      <c r="A192" s="1">
        <v>45873</v>
      </c>
      <c r="B192" s="3">
        <f>Data!B189</f>
        <v>292.83630371093699</v>
      </c>
      <c r="C192" s="3">
        <f>Data!H189</f>
        <v>140.504623413085</v>
      </c>
      <c r="D192" s="3">
        <f>Data!N189</f>
        <v>45.596382141113203</v>
      </c>
      <c r="F192" s="1">
        <v>45873</v>
      </c>
      <c r="G192" s="4">
        <f t="shared" si="40"/>
        <v>1.6898751616114982E-2</v>
      </c>
      <c r="H192" s="4">
        <f t="shared" si="41"/>
        <v>1.6320421392619799E-2</v>
      </c>
      <c r="I192" s="4">
        <f t="shared" si="42"/>
        <v>4.1611195294191106E-3</v>
      </c>
      <c r="T192">
        <v>186</v>
      </c>
      <c r="U192" s="4">
        <v>-1.6613380326976134E-2</v>
      </c>
      <c r="V192" s="4"/>
      <c r="W192">
        <v>187</v>
      </c>
      <c r="X192">
        <f t="shared" ca="1" si="43"/>
        <v>-0.28542369257372602</v>
      </c>
      <c r="Y192">
        <f t="shared" ca="1" si="43"/>
        <v>3.7503727390930351E-2</v>
      </c>
      <c r="Z192">
        <f t="shared" ca="1" si="43"/>
        <v>-2.7842751915925628</v>
      </c>
      <c r="AA192" s="4"/>
      <c r="AB192">
        <v>187</v>
      </c>
      <c r="AC192" s="24">
        <f t="shared" ca="1" si="33"/>
        <v>-0.28542369257372602</v>
      </c>
      <c r="AD192" s="24">
        <f t="shared" ca="1" si="34"/>
        <v>-0.22988949184061733</v>
      </c>
      <c r="AE192" s="24">
        <f t="shared" ca="1" si="35"/>
        <v>-1.6356805154175631</v>
      </c>
      <c r="AF192" s="24"/>
      <c r="AG192">
        <v>187</v>
      </c>
      <c r="AH192">
        <f t="shared" ca="1" si="44"/>
        <v>307.94349098415944</v>
      </c>
      <c r="AI192">
        <f t="shared" ca="1" si="45"/>
        <v>163.47770873643387</v>
      </c>
      <c r="AJ192">
        <f t="shared" ca="1" si="46"/>
        <v>51.512969239479084</v>
      </c>
      <c r="AL192">
        <v>187</v>
      </c>
      <c r="AM192" s="4">
        <f t="shared" ca="1" si="36"/>
        <v>-4.8361926235763741E-3</v>
      </c>
      <c r="AN192" s="4">
        <f t="shared" ca="1" si="37"/>
        <v>-4.7624850636932559E-3</v>
      </c>
      <c r="AO192" s="4">
        <f t="shared" ca="1" si="38"/>
        <v>-2.8607006877963026E-2</v>
      </c>
      <c r="AP192" s="4">
        <f t="shared" ca="1" si="39"/>
        <v>-1.1937953875939123E-2</v>
      </c>
    </row>
    <row r="193" spans="1:42" x14ac:dyDescent="0.3">
      <c r="A193" s="1">
        <v>45874</v>
      </c>
      <c r="B193" s="3">
        <f>Data!B190</f>
        <v>289.96026611328102</v>
      </c>
      <c r="C193" s="3">
        <f>Data!H190</f>
        <v>139.61007690429599</v>
      </c>
      <c r="D193" s="3">
        <f>Data!N190</f>
        <v>45.307991027832003</v>
      </c>
      <c r="F193" s="1">
        <v>45874</v>
      </c>
      <c r="G193" s="4">
        <f t="shared" si="40"/>
        <v>-9.8213150528458915E-3</v>
      </c>
      <c r="H193" s="4">
        <f t="shared" si="41"/>
        <v>-6.3666695590438582E-3</v>
      </c>
      <c r="I193" s="4">
        <f t="shared" si="42"/>
        <v>-6.3248683281204032E-3</v>
      </c>
      <c r="T193">
        <v>187</v>
      </c>
      <c r="U193" s="4">
        <v>-1.6563200413802805E-2</v>
      </c>
      <c r="V193" s="4"/>
      <c r="W193">
        <v>188</v>
      </c>
      <c r="X193">
        <f t="shared" ca="1" si="43"/>
        <v>-0.59438304924381613</v>
      </c>
      <c r="Y193">
        <f t="shared" ca="1" si="43"/>
        <v>1.5951034153109773</v>
      </c>
      <c r="Z193">
        <f t="shared" ca="1" si="43"/>
        <v>-0.32673071807275333</v>
      </c>
      <c r="AA193" s="4"/>
      <c r="AB193">
        <v>188</v>
      </c>
      <c r="AC193" s="24">
        <f t="shared" ca="1" si="33"/>
        <v>-0.59438304924381613</v>
      </c>
      <c r="AD193" s="24">
        <f t="shared" ca="1" si="34"/>
        <v>0.26875242436712221</v>
      </c>
      <c r="AE193" s="24">
        <f t="shared" ca="1" si="35"/>
        <v>-0.21064941736680237</v>
      </c>
      <c r="AF193" s="24"/>
      <c r="AG193">
        <v>188</v>
      </c>
      <c r="AH193">
        <f t="shared" ca="1" si="44"/>
        <v>306.32988541100576</v>
      </c>
      <c r="AI193">
        <f t="shared" ca="1" si="45"/>
        <v>165.18138294726376</v>
      </c>
      <c r="AJ193">
        <f t="shared" ca="1" si="46"/>
        <v>52.832344178053283</v>
      </c>
      <c r="AL193">
        <v>188</v>
      </c>
      <c r="AM193" s="4">
        <f t="shared" ca="1" si="36"/>
        <v>-1.0050791771788359E-2</v>
      </c>
      <c r="AN193" s="4">
        <f t="shared" ca="1" si="37"/>
        <v>5.6093295460959425E-3</v>
      </c>
      <c r="AO193" s="4">
        <f t="shared" ca="1" si="38"/>
        <v>-3.7272224362312478E-3</v>
      </c>
      <c r="AP193" s="4">
        <f t="shared" ca="1" si="39"/>
        <v>-1.8896724439675047E-3</v>
      </c>
    </row>
    <row r="194" spans="1:42" x14ac:dyDescent="0.3">
      <c r="A194" s="1">
        <v>45875</v>
      </c>
      <c r="B194" s="3">
        <f>Data!B191</f>
        <v>289.94039916992102</v>
      </c>
      <c r="C194" s="3">
        <f>Data!H191</f>
        <v>140.44499206542901</v>
      </c>
      <c r="D194" s="3">
        <f>Data!N191</f>
        <v>45.1687622070312</v>
      </c>
      <c r="F194" s="1">
        <v>45875</v>
      </c>
      <c r="G194" s="4">
        <f t="shared" si="40"/>
        <v>-6.8516088863823654E-5</v>
      </c>
      <c r="H194" s="4">
        <f t="shared" si="41"/>
        <v>5.9803359445562698E-3</v>
      </c>
      <c r="I194" s="4">
        <f t="shared" si="42"/>
        <v>-3.072941828634046E-3</v>
      </c>
      <c r="T194">
        <v>188</v>
      </c>
      <c r="U194" s="4">
        <v>-1.6478010204030114E-2</v>
      </c>
      <c r="V194" s="4"/>
      <c r="W194">
        <v>189</v>
      </c>
      <c r="X194">
        <f t="shared" ca="1" si="43"/>
        <v>-0.76665804273041693</v>
      </c>
      <c r="Y194">
        <f t="shared" ca="1" si="43"/>
        <v>9.5271607354303164E-2</v>
      </c>
      <c r="Z194">
        <f t="shared" ca="1" si="43"/>
        <v>2.704312694480135</v>
      </c>
      <c r="AA194" s="4"/>
      <c r="AB194">
        <v>189</v>
      </c>
      <c r="AC194" s="24">
        <f t="shared" ca="1" si="33"/>
        <v>-0.76665804273041693</v>
      </c>
      <c r="AD194" s="24">
        <f t="shared" ca="1" si="34"/>
        <v>-0.62018391688866892</v>
      </c>
      <c r="AE194" s="24">
        <f t="shared" ca="1" si="35"/>
        <v>0.77301311879768619</v>
      </c>
      <c r="AF194" s="24"/>
      <c r="AG194">
        <v>189</v>
      </c>
      <c r="AH194">
        <f t="shared" ca="1" si="44"/>
        <v>305.4338173935638</v>
      </c>
      <c r="AI194">
        <f t="shared" ca="1" si="45"/>
        <v>162.1564861950518</v>
      </c>
      <c r="AJ194">
        <f t="shared" ca="1" si="46"/>
        <v>53.762737005924052</v>
      </c>
      <c r="AL194">
        <v>189</v>
      </c>
      <c r="AM194" s="4">
        <f t="shared" ca="1" si="36"/>
        <v>-1.2946564814614758E-2</v>
      </c>
      <c r="AN194" s="4">
        <f t="shared" ca="1" si="37"/>
        <v>-1.2805968477587304E-2</v>
      </c>
      <c r="AO194" s="4">
        <f t="shared" ca="1" si="38"/>
        <v>1.3817428691198064E-2</v>
      </c>
      <c r="AP194" s="4">
        <f t="shared" ca="1" si="39"/>
        <v>-4.8611282280599313E-3</v>
      </c>
    </row>
    <row r="195" spans="1:42" x14ac:dyDescent="0.3">
      <c r="A195" s="1">
        <v>45876</v>
      </c>
      <c r="B195" s="3">
        <f>Data!B192</f>
        <v>285.55172729492102</v>
      </c>
      <c r="C195" s="3">
        <f>Data!H192</f>
        <v>140.06727600097599</v>
      </c>
      <c r="D195" s="3">
        <f>Data!N192</f>
        <v>44.6715278625488</v>
      </c>
      <c r="F195" s="1">
        <v>45876</v>
      </c>
      <c r="G195" s="4">
        <f t="shared" si="40"/>
        <v>-1.5136462140372453E-2</v>
      </c>
      <c r="H195" s="4">
        <f t="shared" si="41"/>
        <v>-2.6894235166252667E-3</v>
      </c>
      <c r="I195" s="4">
        <f t="shared" si="42"/>
        <v>-1.1008367734394064E-2</v>
      </c>
      <c r="T195">
        <v>189</v>
      </c>
      <c r="U195" s="4">
        <v>-1.609610365268075E-2</v>
      </c>
      <c r="V195" s="4"/>
      <c r="W195">
        <v>190</v>
      </c>
      <c r="X195">
        <f t="shared" ca="1" si="43"/>
        <v>0.32822136928590945</v>
      </c>
      <c r="Y195">
        <f t="shared" ca="1" si="43"/>
        <v>0.6723158128365565</v>
      </c>
      <c r="Z195">
        <f t="shared" ca="1" si="43"/>
        <v>0.26397036030665655</v>
      </c>
      <c r="AA195" s="4"/>
      <c r="AB195">
        <v>190</v>
      </c>
      <c r="AC195" s="24">
        <f t="shared" ca="1" si="33"/>
        <v>0.32822136928590945</v>
      </c>
      <c r="AD195" s="24">
        <f t="shared" ca="1" si="34"/>
        <v>0.61688728850980745</v>
      </c>
      <c r="AE195" s="24">
        <f t="shared" ca="1" si="35"/>
        <v>0.5874626495321833</v>
      </c>
      <c r="AF195" s="24"/>
      <c r="AG195">
        <v>190</v>
      </c>
      <c r="AH195">
        <f t="shared" ca="1" si="44"/>
        <v>311.17363181656668</v>
      </c>
      <c r="AI195">
        <f t="shared" ca="1" si="45"/>
        <v>166.3813445002173</v>
      </c>
      <c r="AJ195">
        <f t="shared" ca="1" si="46"/>
        <v>53.585989762417078</v>
      </c>
      <c r="AL195">
        <v>190</v>
      </c>
      <c r="AM195" s="4">
        <f t="shared" ca="1" si="36"/>
        <v>5.6024733760429157E-3</v>
      </c>
      <c r="AN195" s="4">
        <f t="shared" ca="1" si="37"/>
        <v>1.2914587022551105E-2</v>
      </c>
      <c r="AO195" s="4">
        <f t="shared" ca="1" si="38"/>
        <v>1.0484461548532886E-2</v>
      </c>
      <c r="AP195" s="4">
        <f t="shared" ca="1" si="39"/>
        <v>9.9919152863931823E-3</v>
      </c>
    </row>
    <row r="196" spans="1:42" x14ac:dyDescent="0.3">
      <c r="A196" s="1">
        <v>45877</v>
      </c>
      <c r="B196" s="3">
        <f>Data!B193</f>
        <v>287.36291503906199</v>
      </c>
      <c r="C196" s="3">
        <f>Data!H193</f>
        <v>142.31359863281199</v>
      </c>
      <c r="D196" s="3">
        <f>Data!N193</f>
        <v>45.755496978759702</v>
      </c>
      <c r="F196" s="1">
        <v>45877</v>
      </c>
      <c r="G196" s="4">
        <f t="shared" si="40"/>
        <v>6.3427658494614736E-3</v>
      </c>
      <c r="H196" s="4">
        <f t="shared" si="41"/>
        <v>1.603745497142639E-2</v>
      </c>
      <c r="I196" s="4">
        <f t="shared" si="42"/>
        <v>2.4265324426471446E-2</v>
      </c>
      <c r="T196">
        <v>190</v>
      </c>
      <c r="U196" s="4">
        <v>-1.6086583232722686E-2</v>
      </c>
      <c r="V196" s="4"/>
      <c r="W196">
        <v>191</v>
      </c>
      <c r="X196">
        <f t="shared" ca="1" si="43"/>
        <v>0.77229098751863967</v>
      </c>
      <c r="Y196">
        <f t="shared" ca="1" si="43"/>
        <v>2.7784653778394123E-2</v>
      </c>
      <c r="Z196">
        <f t="shared" ca="1" si="43"/>
        <v>-0.27173444654547685</v>
      </c>
      <c r="AA196" s="4"/>
      <c r="AB196">
        <v>191</v>
      </c>
      <c r="AC196" s="24">
        <f t="shared" ca="1" si="33"/>
        <v>0.77229098751863967</v>
      </c>
      <c r="AD196" s="24">
        <f t="shared" ca="1" si="34"/>
        <v>0.68572027723427742</v>
      </c>
      <c r="AE196" s="24">
        <f t="shared" ca="1" si="35"/>
        <v>0.50012506487082542</v>
      </c>
      <c r="AF196" s="24"/>
      <c r="AG196">
        <v>191</v>
      </c>
      <c r="AH196">
        <f t="shared" ca="1" si="44"/>
        <v>313.53226248129255</v>
      </c>
      <c r="AI196">
        <f t="shared" ca="1" si="45"/>
        <v>166.61963024591486</v>
      </c>
      <c r="AJ196">
        <f t="shared" ca="1" si="46"/>
        <v>53.502997044594217</v>
      </c>
      <c r="AL196">
        <v>191</v>
      </c>
      <c r="AM196" s="4">
        <f t="shared" ca="1" si="36"/>
        <v>1.3224728566441302E-2</v>
      </c>
      <c r="AN196" s="4">
        <f t="shared" ca="1" si="37"/>
        <v>1.4365249105019684E-2</v>
      </c>
      <c r="AO196" s="4">
        <f t="shared" ca="1" si="38"/>
        <v>8.9194470334794662E-3</v>
      </c>
      <c r="AP196" s="4">
        <f t="shared" ca="1" si="39"/>
        <v>1.2389352321984105E-2</v>
      </c>
    </row>
    <row r="197" spans="1:42" x14ac:dyDescent="0.3">
      <c r="A197" s="1">
        <v>45880</v>
      </c>
      <c r="B197" s="3">
        <f>Data!B194</f>
        <v>288.15902709960898</v>
      </c>
      <c r="C197" s="3">
        <f>Data!H194</f>
        <v>143.00938415527301</v>
      </c>
      <c r="D197" s="3">
        <f>Data!N194</f>
        <v>45.904670715332003</v>
      </c>
      <c r="F197" s="1">
        <v>45880</v>
      </c>
      <c r="G197" s="4">
        <f t="shared" si="40"/>
        <v>2.7704064055682487E-3</v>
      </c>
      <c r="H197" s="4">
        <f t="shared" si="41"/>
        <v>4.8891007545683873E-3</v>
      </c>
      <c r="I197" s="4">
        <f t="shared" si="42"/>
        <v>3.2602363961109493E-3</v>
      </c>
      <c r="T197">
        <v>191</v>
      </c>
      <c r="U197" s="4">
        <v>-1.6045215482440332E-2</v>
      </c>
      <c r="V197" s="4"/>
      <c r="W197">
        <v>192</v>
      </c>
      <c r="X197">
        <f t="shared" ca="1" si="43"/>
        <v>0.36174595402795762</v>
      </c>
      <c r="Y197">
        <f t="shared" ca="1" si="43"/>
        <v>-1.5100000858808926</v>
      </c>
      <c r="Z197">
        <f t="shared" ca="1" si="43"/>
        <v>0.88894120056923376</v>
      </c>
      <c r="AA197" s="4"/>
      <c r="AB197">
        <v>192</v>
      </c>
      <c r="AC197" s="24">
        <f t="shared" ca="1" si="33"/>
        <v>0.36174595402795762</v>
      </c>
      <c r="AD197" s="24">
        <f t="shared" ca="1" si="34"/>
        <v>-0.42925403285406666</v>
      </c>
      <c r="AE197" s="24">
        <f t="shared" ca="1" si="35"/>
        <v>0.3295877898969819</v>
      </c>
      <c r="AF197" s="24"/>
      <c r="AG197">
        <v>192</v>
      </c>
      <c r="AH197">
        <f t="shared" ca="1" si="44"/>
        <v>311.35107336796455</v>
      </c>
      <c r="AI197">
        <f t="shared" ca="1" si="45"/>
        <v>162.80148147171857</v>
      </c>
      <c r="AJ197">
        <f t="shared" ca="1" si="46"/>
        <v>53.341314000377686</v>
      </c>
      <c r="AL197">
        <v>192</v>
      </c>
      <c r="AM197" s="4">
        <f t="shared" ca="1" si="36"/>
        <v>6.1759013426856413E-3</v>
      </c>
      <c r="AN197" s="4">
        <f t="shared" ca="1" si="37"/>
        <v>-8.8792955308161226E-3</v>
      </c>
      <c r="AO197" s="4">
        <f t="shared" ca="1" si="38"/>
        <v>5.8705492786552682E-3</v>
      </c>
      <c r="AP197" s="4">
        <f t="shared" ca="1" si="39"/>
        <v>6.2216974075823611E-5</v>
      </c>
    </row>
    <row r="198" spans="1:42" x14ac:dyDescent="0.3">
      <c r="A198" s="1">
        <v>45881</v>
      </c>
      <c r="B198" s="3">
        <f>Data!B195</f>
        <v>291.43313598632801</v>
      </c>
      <c r="C198" s="3">
        <f>Data!H195</f>
        <v>146.39872741699199</v>
      </c>
      <c r="D198" s="3">
        <f>Data!N195</f>
        <v>47.237258911132798</v>
      </c>
      <c r="F198" s="1">
        <v>45881</v>
      </c>
      <c r="G198" s="4">
        <f t="shared" si="40"/>
        <v>1.1362159706304276E-2</v>
      </c>
      <c r="H198" s="4">
        <f t="shared" si="41"/>
        <v>2.3700145845247267E-2</v>
      </c>
      <c r="I198" s="4">
        <f t="shared" si="42"/>
        <v>2.9029468571173389E-2</v>
      </c>
      <c r="T198">
        <v>192</v>
      </c>
      <c r="U198" s="4">
        <v>-1.5998211310756637E-2</v>
      </c>
      <c r="V198" s="4"/>
      <c r="W198">
        <v>193</v>
      </c>
      <c r="X198">
        <f t="shared" ca="1" si="43"/>
        <v>-1.1308965201251848</v>
      </c>
      <c r="Y198">
        <f t="shared" ca="1" si="43"/>
        <v>-0.95912527998139074</v>
      </c>
      <c r="Z198">
        <f t="shared" ca="1" si="43"/>
        <v>0.53877220981541929</v>
      </c>
      <c r="AA198" s="4"/>
      <c r="AB198">
        <v>193</v>
      </c>
      <c r="AC198" s="24">
        <f t="shared" ref="AC198:AC261" ca="1" si="47">SUMPRODUCT($Q$24:$S$24,X198:Z198)</f>
        <v>-1.1308965201251848</v>
      </c>
      <c r="AD198" s="24">
        <f t="shared" ref="AD198:AD261" ca="1" si="48">SUMPRODUCT($Q$25:$S$25,X198:Z198)</f>
        <v>-1.4566789622776546</v>
      </c>
      <c r="AE198" s="24">
        <f t="shared" ref="AE198:AE261" ca="1" si="49">SUMPRODUCT($Q$26:$S$26,X198:Z198)</f>
        <v>-0.91439615531235585</v>
      </c>
      <c r="AF198" s="24"/>
      <c r="AG198">
        <v>193</v>
      </c>
      <c r="AH198">
        <f t="shared" ca="1" si="44"/>
        <v>303.54789410628479</v>
      </c>
      <c r="AI198">
        <f t="shared" ca="1" si="45"/>
        <v>159.36064467878285</v>
      </c>
      <c r="AJ198">
        <f t="shared" ca="1" si="46"/>
        <v>52.176604974213696</v>
      </c>
      <c r="AL198">
        <v>193</v>
      </c>
      <c r="AM198" s="4">
        <f t="shared" ref="AM198:AM261" ca="1" si="50">AH198/$AH$2-1</f>
        <v>-1.9041197933796328E-2</v>
      </c>
      <c r="AN198" s="4">
        <f t="shared" ref="AN198:AN261" ca="1" si="51">AI198/$AI$2-1</f>
        <v>-2.9826798927892861E-2</v>
      </c>
      <c r="AO198" s="4">
        <f t="shared" ref="AO198:AO261" ca="1" si="52">AJ198/$AJ$2-1</f>
        <v>-1.6092661224353488E-2</v>
      </c>
      <c r="AP198" s="4">
        <f t="shared" ref="AP198:AP261" ca="1" si="53">SUMPRODUCT($P$6:$R$6,AM198:AO198)</f>
        <v>-2.2470877318602089E-2</v>
      </c>
    </row>
    <row r="199" spans="1:42" x14ac:dyDescent="0.3">
      <c r="A199" s="1">
        <v>45882</v>
      </c>
      <c r="B199" s="3">
        <f>Data!B196</f>
        <v>289.12435913085898</v>
      </c>
      <c r="C199" s="3">
        <f>Data!H196</f>
        <v>146.86589050292901</v>
      </c>
      <c r="D199" s="3">
        <f>Data!N196</f>
        <v>46.9786987304687</v>
      </c>
      <c r="F199" s="1">
        <v>45882</v>
      </c>
      <c r="G199" s="4">
        <f t="shared" ref="G199:G254" si="54">B199/B198-1</f>
        <v>-7.9221494414325466E-3</v>
      </c>
      <c r="H199" s="4">
        <f t="shared" ref="H199:H254" si="55">C199/C198-1</f>
        <v>3.1910324234334375E-3</v>
      </c>
      <c r="I199" s="4">
        <f t="shared" ref="I199:I254" si="56">D199/D198-1</f>
        <v>-5.4736491198722481E-3</v>
      </c>
      <c r="T199">
        <v>193</v>
      </c>
      <c r="U199" s="4">
        <v>-1.5961591552352196E-2</v>
      </c>
      <c r="V199" s="4"/>
      <c r="W199">
        <v>194</v>
      </c>
      <c r="X199">
        <f t="shared" ref="X199:Z262" ca="1" si="57">_xlfn.NORM.S.INV(RAND())</f>
        <v>-1.1321169200483694</v>
      </c>
      <c r="Y199">
        <f t="shared" ca="1" si="57"/>
        <v>-1.7239850169608435</v>
      </c>
      <c r="Z199">
        <f t="shared" ca="1" si="57"/>
        <v>1.285138913671992</v>
      </c>
      <c r="AA199" s="4"/>
      <c r="AB199">
        <v>194</v>
      </c>
      <c r="AC199" s="24">
        <f t="shared" ca="1" si="47"/>
        <v>-1.1321169200483694</v>
      </c>
      <c r="AD199" s="24">
        <f t="shared" ca="1" si="48"/>
        <v>-1.8346176674876857</v>
      </c>
      <c r="AE199" s="24">
        <f t="shared" ca="1" si="49"/>
        <v>-0.74773654978333792</v>
      </c>
      <c r="AF199" s="24"/>
      <c r="AG199">
        <v>194</v>
      </c>
      <c r="AH199">
        <f t="shared" ref="AH199:AH262" ca="1" si="58">$L$21*EXP(($L$19-(($L$20^2)/2))*(1/252)+$L$20*AC199)</f>
        <v>303.54159483627001</v>
      </c>
      <c r="AI199">
        <f t="shared" ref="AI199:AI262" ca="1" si="59">$M$21*EXP(($M$19-(($M$20^2)/2))*(1/252)+$M$20*AD199)</f>
        <v>158.11330929310046</v>
      </c>
      <c r="AJ199">
        <f t="shared" ref="AJ199:AJ262" ca="1" si="60">$N$21*EXP(($N$19-(($N$20^2)/2))*(1/252)+$N$20*AE199)</f>
        <v>52.331156274917056</v>
      </c>
      <c r="AL199">
        <v>194</v>
      </c>
      <c r="AM199" s="4">
        <f t="shared" ca="1" si="50"/>
        <v>-1.9061554933424985E-2</v>
      </c>
      <c r="AN199" s="4">
        <f t="shared" ca="1" si="51"/>
        <v>-3.7420464016141075E-2</v>
      </c>
      <c r="AO199" s="4">
        <f t="shared" ca="1" si="52"/>
        <v>-1.3178248547359384E-2</v>
      </c>
      <c r="AP199" s="4">
        <f t="shared" ca="1" si="53"/>
        <v>-2.4640126650691738E-2</v>
      </c>
    </row>
    <row r="200" spans="1:42" x14ac:dyDescent="0.3">
      <c r="A200" s="1">
        <v>45883</v>
      </c>
      <c r="B200" s="3">
        <f>Data!B197</f>
        <v>292.73678588867102</v>
      </c>
      <c r="C200" s="3">
        <f>Data!H197</f>
        <v>147.61135864257801</v>
      </c>
      <c r="D200" s="3">
        <f>Data!N197</f>
        <v>47.446094512939403</v>
      </c>
      <c r="F200" s="1">
        <v>45883</v>
      </c>
      <c r="G200" s="4">
        <f t="shared" si="54"/>
        <v>1.2494370134261246E-2</v>
      </c>
      <c r="H200" s="4">
        <f t="shared" si="55"/>
        <v>5.075842573767142E-3</v>
      </c>
      <c r="I200" s="4">
        <f t="shared" si="56"/>
        <v>9.9491002326883571E-3</v>
      </c>
      <c r="T200">
        <v>194</v>
      </c>
      <c r="U200" s="4">
        <v>-1.5867648028454306E-2</v>
      </c>
      <c r="V200" s="4"/>
      <c r="W200">
        <v>195</v>
      </c>
      <c r="X200">
        <f t="shared" ca="1" si="57"/>
        <v>0.16727371136933894</v>
      </c>
      <c r="Y200">
        <f t="shared" ca="1" si="57"/>
        <v>-0.93407187664455193</v>
      </c>
      <c r="Z200">
        <f t="shared" ca="1" si="57"/>
        <v>-0.69777210670302858</v>
      </c>
      <c r="AA200" s="4"/>
      <c r="AB200">
        <v>195</v>
      </c>
      <c r="AC200" s="24">
        <f t="shared" ca="1" si="47"/>
        <v>0.16727371136933894</v>
      </c>
      <c r="AD200" s="24">
        <f t="shared" ca="1" si="48"/>
        <v>-0.31469657937966944</v>
      </c>
      <c r="AE200" s="24">
        <f t="shared" ca="1" si="49"/>
        <v>-0.47544423940328162</v>
      </c>
      <c r="AF200" s="24"/>
      <c r="AG200">
        <v>195</v>
      </c>
      <c r="AH200">
        <f t="shared" ca="1" si="58"/>
        <v>310.32316255330625</v>
      </c>
      <c r="AI200">
        <f t="shared" ca="1" si="59"/>
        <v>163.18970782633198</v>
      </c>
      <c r="AJ200">
        <f t="shared" ca="1" si="60"/>
        <v>52.584651362098406</v>
      </c>
      <c r="AL200">
        <v>195</v>
      </c>
      <c r="AM200" s="4">
        <f t="shared" ca="1" si="50"/>
        <v>2.8540592842951629E-3</v>
      </c>
      <c r="AN200" s="4">
        <f t="shared" ca="1" si="51"/>
        <v>-6.5158085735750326E-3</v>
      </c>
      <c r="AO200" s="4">
        <f t="shared" ca="1" si="52"/>
        <v>-8.3980280492154114E-3</v>
      </c>
      <c r="AP200" s="4">
        <f t="shared" ca="1" si="53"/>
        <v>-4.2695140589060869E-3</v>
      </c>
    </row>
    <row r="201" spans="1:42" x14ac:dyDescent="0.3">
      <c r="A201" s="1">
        <v>45884</v>
      </c>
      <c r="B201" s="3">
        <f>Data!B198</f>
        <v>289.08453369140602</v>
      </c>
      <c r="C201" s="3">
        <f>Data!H198</f>
        <v>143.75483703613199</v>
      </c>
      <c r="D201" s="3">
        <f>Data!N198</f>
        <v>46.680355072021399</v>
      </c>
      <c r="F201" s="1">
        <v>45884</v>
      </c>
      <c r="G201" s="4">
        <f t="shared" si="54"/>
        <v>-1.2476232483655036E-2</v>
      </c>
      <c r="H201" s="4">
        <f t="shared" si="55"/>
        <v>-2.6126184610115954E-2</v>
      </c>
      <c r="I201" s="4">
        <f t="shared" si="56"/>
        <v>-1.6139145882896111E-2</v>
      </c>
      <c r="T201">
        <v>195</v>
      </c>
      <c r="U201" s="4">
        <v>-1.5688592482911178E-2</v>
      </c>
      <c r="V201" s="4"/>
      <c r="W201">
        <v>196</v>
      </c>
      <c r="X201">
        <f t="shared" ca="1" si="57"/>
        <v>-2.1945734449896821</v>
      </c>
      <c r="Y201">
        <f t="shared" ca="1" si="57"/>
        <v>-0.38257002336376089</v>
      </c>
      <c r="Z201">
        <f t="shared" ca="1" si="57"/>
        <v>0.23572766277486984</v>
      </c>
      <c r="AA201" s="4"/>
      <c r="AB201">
        <v>196</v>
      </c>
      <c r="AC201" s="24">
        <f t="shared" ca="1" si="47"/>
        <v>-2.1945734449896821</v>
      </c>
      <c r="AD201" s="24">
        <f t="shared" ca="1" si="48"/>
        <v>-2.0981742591820853</v>
      </c>
      <c r="AE201" s="24">
        <f t="shared" ca="1" si="49"/>
        <v>-1.777241510109296</v>
      </c>
      <c r="AF201" s="24"/>
      <c r="AG201">
        <v>196</v>
      </c>
      <c r="AH201">
        <f t="shared" ca="1" si="58"/>
        <v>298.10687065484791</v>
      </c>
      <c r="AI201">
        <f t="shared" ca="1" si="59"/>
        <v>157.24925915126244</v>
      </c>
      <c r="AJ201">
        <f t="shared" ca="1" si="60"/>
        <v>51.383716769263827</v>
      </c>
      <c r="AL201">
        <v>196</v>
      </c>
      <c r="AM201" s="4">
        <f t="shared" ca="1" si="50"/>
        <v>-3.6624650003692083E-2</v>
      </c>
      <c r="AN201" s="4">
        <f t="shared" ca="1" si="51"/>
        <v>-4.2680723182910163E-2</v>
      </c>
      <c r="AO201" s="4">
        <f t="shared" ca="1" si="52"/>
        <v>-3.1044353157248961E-2</v>
      </c>
      <c r="AP201" s="4">
        <f t="shared" ca="1" si="53"/>
        <v>-3.7372990221446377E-2</v>
      </c>
    </row>
    <row r="202" spans="1:42" x14ac:dyDescent="0.3">
      <c r="A202" s="1">
        <v>45887</v>
      </c>
      <c r="B202" s="3">
        <f>Data!B199</f>
        <v>290.11950683593699</v>
      </c>
      <c r="C202" s="3">
        <f>Data!H199</f>
        <v>143.90393066406199</v>
      </c>
      <c r="D202" s="3">
        <f>Data!N199</f>
        <v>47.654933929443303</v>
      </c>
      <c r="F202" s="1">
        <v>45887</v>
      </c>
      <c r="G202" s="4">
        <f t="shared" si="54"/>
        <v>3.5801747375243664E-3</v>
      </c>
      <c r="H202" s="4">
        <f t="shared" si="55"/>
        <v>1.0371381652536371E-3</v>
      </c>
      <c r="I202" s="4">
        <f t="shared" si="56"/>
        <v>2.0877708747464752E-2</v>
      </c>
      <c r="T202">
        <v>196</v>
      </c>
      <c r="U202" s="4">
        <v>-1.5657347646740927E-2</v>
      </c>
      <c r="V202" s="4"/>
      <c r="W202">
        <v>197</v>
      </c>
      <c r="X202">
        <f t="shared" ca="1" si="57"/>
        <v>-0.18508004239285419</v>
      </c>
      <c r="Y202">
        <f t="shared" ca="1" si="57"/>
        <v>0.35613564878190707</v>
      </c>
      <c r="Z202">
        <f t="shared" ca="1" si="57"/>
        <v>0.34854937828516441</v>
      </c>
      <c r="AA202" s="4"/>
      <c r="AB202">
        <v>197</v>
      </c>
      <c r="AC202" s="24">
        <f t="shared" ca="1" si="47"/>
        <v>-0.18508004239285419</v>
      </c>
      <c r="AD202" s="24">
        <f t="shared" ca="1" si="48"/>
        <v>1.4429812188214652E-2</v>
      </c>
      <c r="AE202" s="24">
        <f t="shared" ca="1" si="49"/>
        <v>0.12413694876428912</v>
      </c>
      <c r="AF202" s="24"/>
      <c r="AG202">
        <v>197</v>
      </c>
      <c r="AH202">
        <f t="shared" ca="1" si="58"/>
        <v>308.46938330580656</v>
      </c>
      <c r="AI202">
        <f t="shared" ca="1" si="59"/>
        <v>164.31025015863099</v>
      </c>
      <c r="AJ202">
        <f t="shared" ca="1" si="60"/>
        <v>53.147178835042752</v>
      </c>
      <c r="AL202">
        <v>197</v>
      </c>
      <c r="AM202" s="4">
        <f t="shared" ca="1" si="50"/>
        <v>-3.1366957340406287E-3</v>
      </c>
      <c r="AN202" s="4">
        <f t="shared" ca="1" si="51"/>
        <v>3.0595186580195666E-4</v>
      </c>
      <c r="AO202" s="4">
        <f t="shared" ca="1" si="52"/>
        <v>2.2096937288955676E-3</v>
      </c>
      <c r="AP202" s="4">
        <f t="shared" ca="1" si="53"/>
        <v>-1.5571985522273564E-4</v>
      </c>
    </row>
    <row r="203" spans="1:42" x14ac:dyDescent="0.3">
      <c r="A203" s="1">
        <v>45888</v>
      </c>
      <c r="B203" s="3">
        <f>Data!B200</f>
        <v>289.25372314453102</v>
      </c>
      <c r="C203" s="3">
        <f>Data!H200</f>
        <v>143.19822692871</v>
      </c>
      <c r="D203" s="3">
        <f>Data!N200</f>
        <v>47.814048767089801</v>
      </c>
      <c r="F203" s="1">
        <v>45888</v>
      </c>
      <c r="G203" s="4">
        <f t="shared" si="54"/>
        <v>-2.9842312254293457E-3</v>
      </c>
      <c r="H203" s="4">
        <f t="shared" si="55"/>
        <v>-4.9039920737080633E-3</v>
      </c>
      <c r="I203" s="4">
        <f t="shared" si="56"/>
        <v>3.3388953572379698E-3</v>
      </c>
      <c r="T203">
        <v>197</v>
      </c>
      <c r="U203" s="4">
        <v>-1.5545197853911664E-2</v>
      </c>
      <c r="V203" s="4"/>
      <c r="W203">
        <v>198</v>
      </c>
      <c r="X203">
        <f t="shared" ca="1" si="57"/>
        <v>1.0348956501408013</v>
      </c>
      <c r="Y203">
        <f t="shared" ca="1" si="57"/>
        <v>-1.8912941677932145</v>
      </c>
      <c r="Z203">
        <f t="shared" ca="1" si="57"/>
        <v>0.2930148215807995</v>
      </c>
      <c r="AA203" s="4"/>
      <c r="AB203">
        <v>198</v>
      </c>
      <c r="AC203" s="24">
        <f t="shared" ca="1" si="47"/>
        <v>1.0348956501408013</v>
      </c>
      <c r="AD203" s="24">
        <f t="shared" ca="1" si="48"/>
        <v>-3.1373529251656596E-2</v>
      </c>
      <c r="AE203" s="24">
        <f t="shared" ca="1" si="49"/>
        <v>0.47133384047499188</v>
      </c>
      <c r="AF203" s="24"/>
      <c r="AG203">
        <v>198</v>
      </c>
      <c r="AH203">
        <f t="shared" ca="1" si="58"/>
        <v>314.93546395080836</v>
      </c>
      <c r="AI203">
        <f t="shared" ca="1" si="59"/>
        <v>164.15384861222032</v>
      </c>
      <c r="AJ203">
        <f t="shared" ca="1" si="60"/>
        <v>53.475666305313901</v>
      </c>
      <c r="AL203">
        <v>198</v>
      </c>
      <c r="AM203" s="4">
        <f t="shared" ca="1" si="50"/>
        <v>1.7759376506089941E-2</v>
      </c>
      <c r="AN203" s="4">
        <f t="shared" ca="1" si="51"/>
        <v>-6.4620661247050126E-4</v>
      </c>
      <c r="AO203" s="4">
        <f t="shared" ca="1" si="52"/>
        <v>8.4040644215721549E-3</v>
      </c>
      <c r="AP203" s="4">
        <f t="shared" ca="1" si="53"/>
        <v>7.5905496333104278E-3</v>
      </c>
    </row>
    <row r="204" spans="1:42" x14ac:dyDescent="0.3">
      <c r="A204" s="1">
        <v>45889</v>
      </c>
      <c r="B204" s="3">
        <f>Data!B201</f>
        <v>290.826080322265</v>
      </c>
      <c r="C204" s="3">
        <f>Data!H201</f>
        <v>143.24790954589801</v>
      </c>
      <c r="D204" s="3">
        <f>Data!N201</f>
        <v>48.082553863525298</v>
      </c>
      <c r="F204" s="1">
        <v>45889</v>
      </c>
      <c r="G204" s="4">
        <f t="shared" si="54"/>
        <v>5.4359099016620949E-3</v>
      </c>
      <c r="H204" s="4">
        <f t="shared" si="55"/>
        <v>3.4694994661310652E-4</v>
      </c>
      <c r="I204" s="4">
        <f t="shared" si="56"/>
        <v>5.6156109628664463E-3</v>
      </c>
      <c r="T204">
        <v>198</v>
      </c>
      <c r="U204" s="4">
        <v>-1.5450384672949093E-2</v>
      </c>
      <c r="V204" s="4"/>
      <c r="W204">
        <v>199</v>
      </c>
      <c r="X204">
        <f t="shared" ca="1" si="57"/>
        <v>-0.41478665225422928</v>
      </c>
      <c r="Y204">
        <f t="shared" ca="1" si="57"/>
        <v>-0.24435503098741199</v>
      </c>
      <c r="Z204">
        <f t="shared" ca="1" si="57"/>
        <v>2.345669199609592</v>
      </c>
      <c r="AA204" s="4"/>
      <c r="AB204">
        <v>199</v>
      </c>
      <c r="AC204" s="24">
        <f t="shared" ca="1" si="47"/>
        <v>-0.41478665225422928</v>
      </c>
      <c r="AD204" s="24">
        <f t="shared" ca="1" si="48"/>
        <v>-0.48134112828157682</v>
      </c>
      <c r="AE204" s="24">
        <f t="shared" ca="1" si="49"/>
        <v>0.7844500842344132</v>
      </c>
      <c r="AF204" s="24"/>
      <c r="AG204">
        <v>199</v>
      </c>
      <c r="AH204">
        <f t="shared" ca="1" si="58"/>
        <v>307.26683376010703</v>
      </c>
      <c r="AI204">
        <f t="shared" ca="1" si="59"/>
        <v>162.62526790093551</v>
      </c>
      <c r="AJ204">
        <f t="shared" ca="1" si="60"/>
        <v>53.77365041254658</v>
      </c>
      <c r="AL204">
        <v>199</v>
      </c>
      <c r="AM204" s="4">
        <f t="shared" ca="1" si="50"/>
        <v>-7.0229080408260591E-3</v>
      </c>
      <c r="AN204" s="4">
        <f t="shared" ca="1" si="51"/>
        <v>-9.9520678227678072E-3</v>
      </c>
      <c r="AO204" s="4">
        <f t="shared" ca="1" si="52"/>
        <v>1.4023225539656403E-2</v>
      </c>
      <c r="AP204" s="4">
        <f t="shared" ca="1" si="53"/>
        <v>-1.8807318794580195E-3</v>
      </c>
    </row>
    <row r="205" spans="1:42" x14ac:dyDescent="0.3">
      <c r="A205" s="1">
        <v>45890</v>
      </c>
      <c r="B205" s="3">
        <f>Data!B202</f>
        <v>290.059814453125</v>
      </c>
      <c r="C205" s="3">
        <f>Data!H202</f>
        <v>143.16839599609301</v>
      </c>
      <c r="D205" s="3">
        <f>Data!N202</f>
        <v>47.993049621582003</v>
      </c>
      <c r="F205" s="1">
        <v>45890</v>
      </c>
      <c r="G205" s="4">
        <f t="shared" si="54"/>
        <v>-2.6347907597932263E-3</v>
      </c>
      <c r="H205" s="4">
        <f t="shared" si="55"/>
        <v>-5.5507651076414088E-4</v>
      </c>
      <c r="I205" s="4">
        <f t="shared" si="56"/>
        <v>-1.8614702163561869E-3</v>
      </c>
      <c r="T205">
        <v>199</v>
      </c>
      <c r="U205" s="4">
        <v>-1.5259612337118899E-2</v>
      </c>
      <c r="V205" s="4"/>
      <c r="W205">
        <v>200</v>
      </c>
      <c r="X205">
        <f t="shared" ca="1" si="57"/>
        <v>-0.44203718871771913</v>
      </c>
      <c r="Y205">
        <f t="shared" ca="1" si="57"/>
        <v>-0.65848341358968321</v>
      </c>
      <c r="Z205">
        <f t="shared" ca="1" si="57"/>
        <v>-0.31496781983154454</v>
      </c>
      <c r="AA205" s="4"/>
      <c r="AB205">
        <v>200</v>
      </c>
      <c r="AC205" s="24">
        <f t="shared" ca="1" si="47"/>
        <v>-0.44203718871771913</v>
      </c>
      <c r="AD205" s="24">
        <f t="shared" ca="1" si="48"/>
        <v>-0.70911139849463001</v>
      </c>
      <c r="AE205" s="24">
        <f t="shared" ca="1" si="49"/>
        <v>-0.70242579253988735</v>
      </c>
      <c r="AF205" s="24"/>
      <c r="AG205">
        <v>200</v>
      </c>
      <c r="AH205">
        <f t="shared" ca="1" si="58"/>
        <v>307.12448442005433</v>
      </c>
      <c r="AI205">
        <f t="shared" ca="1" si="59"/>
        <v>161.85694615028569</v>
      </c>
      <c r="AJ205">
        <f t="shared" ca="1" si="60"/>
        <v>52.373254167891588</v>
      </c>
      <c r="AL205">
        <v>200</v>
      </c>
      <c r="AM205" s="4">
        <f t="shared" ca="1" si="50"/>
        <v>-7.4829304649780548E-3</v>
      </c>
      <c r="AN205" s="4">
        <f t="shared" ca="1" si="51"/>
        <v>-1.4629541196345963E-2</v>
      </c>
      <c r="AO205" s="4">
        <f t="shared" ca="1" si="52"/>
        <v>-1.238439801099156E-2</v>
      </c>
      <c r="AP205" s="4">
        <f t="shared" ca="1" si="53"/>
        <v>-1.181201502132927E-2</v>
      </c>
    </row>
    <row r="206" spans="1:42" x14ac:dyDescent="0.3">
      <c r="A206" s="1">
        <v>45891</v>
      </c>
      <c r="B206" s="3">
        <f>Data!B203</f>
        <v>294.80670166015602</v>
      </c>
      <c r="C206" s="3">
        <f>Data!H203</f>
        <v>147.12432861328099</v>
      </c>
      <c r="D206" s="3">
        <f>Data!N203</f>
        <v>49.206302642822202</v>
      </c>
      <c r="F206" s="1">
        <v>45891</v>
      </c>
      <c r="G206" s="4">
        <f t="shared" si="54"/>
        <v>1.6365201143015096E-2</v>
      </c>
      <c r="H206" s="4">
        <f t="shared" si="55"/>
        <v>2.7631325961743336E-2</v>
      </c>
      <c r="I206" s="4">
        <f t="shared" si="56"/>
        <v>2.5279765107792063E-2</v>
      </c>
      <c r="T206">
        <v>200</v>
      </c>
      <c r="U206" s="4">
        <v>-1.5214937777254245E-2</v>
      </c>
      <c r="V206" s="4"/>
      <c r="W206">
        <v>201</v>
      </c>
      <c r="X206">
        <f t="shared" ca="1" si="57"/>
        <v>9.5922027533534196E-2</v>
      </c>
      <c r="Y206">
        <f t="shared" ca="1" si="57"/>
        <v>2.133139368158429</v>
      </c>
      <c r="Z206">
        <f t="shared" ca="1" si="57"/>
        <v>1.5198192190435662</v>
      </c>
      <c r="AA206" s="4"/>
      <c r="AB206">
        <v>201</v>
      </c>
      <c r="AC206" s="24">
        <f t="shared" ca="1" si="47"/>
        <v>9.5922027533534196E-2</v>
      </c>
      <c r="AD206" s="24">
        <f t="shared" ca="1" si="48"/>
        <v>1.1345515282244503</v>
      </c>
      <c r="AE206" s="24">
        <f t="shared" ca="1" si="49"/>
        <v>1.4384718399418395</v>
      </c>
      <c r="AF206" s="24"/>
      <c r="AG206">
        <v>201</v>
      </c>
      <c r="AH206">
        <f t="shared" ca="1" si="58"/>
        <v>309.94687459970163</v>
      </c>
      <c r="AI206">
        <f t="shared" ca="1" si="59"/>
        <v>168.18178201017878</v>
      </c>
      <c r="AJ206">
        <f t="shared" ca="1" si="60"/>
        <v>54.401432097992192</v>
      </c>
      <c r="AL206">
        <v>201</v>
      </c>
      <c r="AM206" s="4">
        <f t="shared" ca="1" si="50"/>
        <v>1.6380304882901431E-3</v>
      </c>
      <c r="AN206" s="4">
        <f t="shared" ca="1" si="51"/>
        <v>2.3875487851551025E-2</v>
      </c>
      <c r="AO206" s="4">
        <f t="shared" ca="1" si="52"/>
        <v>2.5861462384773937E-2</v>
      </c>
      <c r="AP206" s="4">
        <f t="shared" ca="1" si="53"/>
        <v>1.7800043002539633E-2</v>
      </c>
    </row>
    <row r="207" spans="1:42" x14ac:dyDescent="0.3">
      <c r="A207" s="1">
        <v>45894</v>
      </c>
      <c r="B207" s="3">
        <f>Data!B204</f>
        <v>293.47320556640602</v>
      </c>
      <c r="C207" s="3">
        <f>Data!H204</f>
        <v>146.75656127929599</v>
      </c>
      <c r="D207" s="3">
        <f>Data!N204</f>
        <v>49.206302642822202</v>
      </c>
      <c r="F207" s="1">
        <v>45894</v>
      </c>
      <c r="G207" s="4">
        <f t="shared" si="54"/>
        <v>-4.523289620760429E-3</v>
      </c>
      <c r="H207" s="4">
        <f t="shared" si="55"/>
        <v>-2.4997044163354021E-3</v>
      </c>
      <c r="I207" s="4">
        <f t="shared" si="56"/>
        <v>0</v>
      </c>
      <c r="T207">
        <v>201</v>
      </c>
      <c r="U207" s="4">
        <v>-1.5184879371230076E-2</v>
      </c>
      <c r="V207" s="4"/>
      <c r="W207">
        <v>202</v>
      </c>
      <c r="X207">
        <f t="shared" ca="1" si="57"/>
        <v>1.7443735118795052</v>
      </c>
      <c r="Y207">
        <f t="shared" ca="1" si="57"/>
        <v>-0.63960413589712461</v>
      </c>
      <c r="Z207">
        <f t="shared" ca="1" si="57"/>
        <v>-0.71790491347892371</v>
      </c>
      <c r="AA207" s="4"/>
      <c r="AB207">
        <v>202</v>
      </c>
      <c r="AC207" s="24">
        <f t="shared" ca="1" si="47"/>
        <v>1.7443735118795052</v>
      </c>
      <c r="AD207" s="24">
        <f t="shared" ca="1" si="48"/>
        <v>1.2027549687447729</v>
      </c>
      <c r="AE207" s="24">
        <f t="shared" ca="1" si="49"/>
        <v>0.8828960903084645</v>
      </c>
      <c r="AF207" s="24"/>
      <c r="AG207">
        <v>202</v>
      </c>
      <c r="AH207">
        <f t="shared" ca="1" si="58"/>
        <v>318.75796952212778</v>
      </c>
      <c r="AI207">
        <f t="shared" ca="1" si="59"/>
        <v>168.42044176885361</v>
      </c>
      <c r="AJ207">
        <f t="shared" ca="1" si="60"/>
        <v>53.867681431184678</v>
      </c>
      <c r="AL207">
        <v>202</v>
      </c>
      <c r="AM207" s="4">
        <f t="shared" ca="1" si="50"/>
        <v>3.0112354599293178E-2</v>
      </c>
      <c r="AN207" s="4">
        <f t="shared" ca="1" si="51"/>
        <v>2.5328426891220168E-2</v>
      </c>
      <c r="AO207" s="4">
        <f t="shared" ca="1" si="52"/>
        <v>1.5796392064314269E-2</v>
      </c>
      <c r="AP207" s="4">
        <f t="shared" ca="1" si="53"/>
        <v>2.3903994755570302E-2</v>
      </c>
    </row>
    <row r="208" spans="1:42" x14ac:dyDescent="0.3">
      <c r="A208" s="1">
        <v>45895</v>
      </c>
      <c r="B208" s="3">
        <f>Data!B205</f>
        <v>297.12545776367102</v>
      </c>
      <c r="C208" s="3">
        <f>Data!H205</f>
        <v>148.06857299804599</v>
      </c>
      <c r="D208" s="3">
        <f>Data!N205</f>
        <v>49.9720458984375</v>
      </c>
      <c r="F208" s="1">
        <v>45895</v>
      </c>
      <c r="G208" s="4">
        <f t="shared" si="54"/>
        <v>1.2444925560465059E-2</v>
      </c>
      <c r="H208" s="4">
        <f t="shared" si="55"/>
        <v>8.9400549271052565E-3</v>
      </c>
      <c r="I208" s="4">
        <f t="shared" si="56"/>
        <v>1.5561893791810721E-2</v>
      </c>
      <c r="T208">
        <v>202</v>
      </c>
      <c r="U208" s="4">
        <v>-1.5164385418537384E-2</v>
      </c>
      <c r="V208" s="4"/>
      <c r="W208">
        <v>203</v>
      </c>
      <c r="X208">
        <f t="shared" ca="1" si="57"/>
        <v>-0.35163146638635567</v>
      </c>
      <c r="Y208">
        <f t="shared" ca="1" si="57"/>
        <v>-0.7496464991211319</v>
      </c>
      <c r="Z208">
        <f t="shared" ca="1" si="57"/>
        <v>0.34963478260702813</v>
      </c>
      <c r="AA208" s="4"/>
      <c r="AB208">
        <v>203</v>
      </c>
      <c r="AC208" s="24">
        <f t="shared" ca="1" si="47"/>
        <v>-0.35163146638635567</v>
      </c>
      <c r="AD208" s="24">
        <f t="shared" ca="1" si="48"/>
        <v>-0.67536210871828106</v>
      </c>
      <c r="AE208" s="24">
        <f t="shared" ca="1" si="49"/>
        <v>-0.31650335451472988</v>
      </c>
      <c r="AF208" s="24"/>
      <c r="AG208">
        <v>203</v>
      </c>
      <c r="AH208">
        <f t="shared" ca="1" si="58"/>
        <v>307.59699285004035</v>
      </c>
      <c r="AI208">
        <f t="shared" ca="1" si="59"/>
        <v>161.9705608074643</v>
      </c>
      <c r="AJ208">
        <f t="shared" ca="1" si="60"/>
        <v>52.733187238606313</v>
      </c>
      <c r="AL208">
        <v>203</v>
      </c>
      <c r="AM208" s="4">
        <f t="shared" ca="1" si="50"/>
        <v>-5.9559513211762116E-3</v>
      </c>
      <c r="AN208" s="4">
        <f t="shared" ca="1" si="51"/>
        <v>-1.3937865432446683E-2</v>
      </c>
      <c r="AO208" s="4">
        <f t="shared" ca="1" si="52"/>
        <v>-5.5970497364288274E-3</v>
      </c>
      <c r="AP208" s="4">
        <f t="shared" ca="1" si="53"/>
        <v>-9.0410464902601854E-3</v>
      </c>
    </row>
    <row r="209" spans="1:42" x14ac:dyDescent="0.3">
      <c r="A209" s="1">
        <v>45896</v>
      </c>
      <c r="B209" s="3">
        <f>Data!B206</f>
        <v>297.83200073242102</v>
      </c>
      <c r="C209" s="3">
        <f>Data!H206</f>
        <v>148.47608947753901</v>
      </c>
      <c r="D209" s="3">
        <f>Data!N206</f>
        <v>50.101325988769503</v>
      </c>
      <c r="F209" s="1">
        <v>45896</v>
      </c>
      <c r="G209" s="4">
        <f t="shared" si="54"/>
        <v>2.3779280781519585E-3</v>
      </c>
      <c r="H209" s="4">
        <f t="shared" si="55"/>
        <v>2.7522145398024556E-3</v>
      </c>
      <c r="I209" s="4">
        <f t="shared" si="56"/>
        <v>2.5870481787908517E-3</v>
      </c>
      <c r="T209">
        <v>203</v>
      </c>
      <c r="U209" s="4">
        <v>-1.5162051000471423E-2</v>
      </c>
      <c r="V209" s="4"/>
      <c r="W209">
        <v>204</v>
      </c>
      <c r="X209">
        <f t="shared" ca="1" si="57"/>
        <v>0.43640468113156494</v>
      </c>
      <c r="Y209">
        <f t="shared" ca="1" si="57"/>
        <v>7.5108899406544E-2</v>
      </c>
      <c r="Z209">
        <f t="shared" ca="1" si="57"/>
        <v>1.104751152785459</v>
      </c>
      <c r="AA209" s="4"/>
      <c r="AB209">
        <v>204</v>
      </c>
      <c r="AC209" s="24">
        <f t="shared" ca="1" si="47"/>
        <v>0.43640468113156494</v>
      </c>
      <c r="AD209" s="24">
        <f t="shared" ca="1" si="48"/>
        <v>0.41675835018408608</v>
      </c>
      <c r="AE209" s="24">
        <f t="shared" ca="1" si="49"/>
        <v>0.93761711048663321</v>
      </c>
      <c r="AF209" s="24"/>
      <c r="AG209">
        <v>204</v>
      </c>
      <c r="AH209">
        <f t="shared" ca="1" si="58"/>
        <v>311.7465965921665</v>
      </c>
      <c r="AI209">
        <f t="shared" ca="1" si="59"/>
        <v>165.6904729803866</v>
      </c>
      <c r="AJ209">
        <f t="shared" ca="1" si="60"/>
        <v>53.920019470240661</v>
      </c>
      <c r="AL209">
        <v>204</v>
      </c>
      <c r="AM209" s="4">
        <f t="shared" ca="1" si="50"/>
        <v>7.4540916900271981E-3</v>
      </c>
      <c r="AN209" s="4">
        <f t="shared" ca="1" si="51"/>
        <v>8.70862365389935E-3</v>
      </c>
      <c r="AO209" s="4">
        <f t="shared" ca="1" si="52"/>
        <v>1.6783343606097345E-2</v>
      </c>
      <c r="AP209" s="4">
        <f t="shared" ca="1" si="53"/>
        <v>1.0754680050397102E-2</v>
      </c>
    </row>
    <row r="210" spans="1:42" x14ac:dyDescent="0.3">
      <c r="A210" s="1">
        <v>45897</v>
      </c>
      <c r="B210" s="3">
        <f>Data!B207</f>
        <v>299.61337280273398</v>
      </c>
      <c r="C210" s="3">
        <f>Data!H207</f>
        <v>149.271240234375</v>
      </c>
      <c r="D210" s="3">
        <f>Data!N207</f>
        <v>50.210720062255803</v>
      </c>
      <c r="F210" s="1">
        <v>45897</v>
      </c>
      <c r="G210" s="4">
        <f t="shared" si="54"/>
        <v>5.981130523020628E-3</v>
      </c>
      <c r="H210" s="4">
        <f t="shared" si="55"/>
        <v>5.355412845489127E-3</v>
      </c>
      <c r="I210" s="4">
        <f t="shared" si="56"/>
        <v>2.1834566516427678E-3</v>
      </c>
      <c r="T210">
        <v>204</v>
      </c>
      <c r="U210" s="4">
        <v>-1.5114775073346021E-2</v>
      </c>
      <c r="V210" s="4"/>
      <c r="W210">
        <v>205</v>
      </c>
      <c r="X210">
        <f t="shared" ca="1" si="57"/>
        <v>0.78993598505918172</v>
      </c>
      <c r="Y210">
        <f t="shared" ca="1" si="57"/>
        <v>-1.3312612202003382</v>
      </c>
      <c r="Z210">
        <f t="shared" ca="1" si="57"/>
        <v>1.0670180003255438</v>
      </c>
      <c r="AA210" s="4"/>
      <c r="AB210">
        <v>205</v>
      </c>
      <c r="AC210" s="24">
        <f t="shared" ca="1" si="47"/>
        <v>0.78993598505918172</v>
      </c>
      <c r="AD210" s="24">
        <f t="shared" ca="1" si="48"/>
        <v>3.1418716004690261E-2</v>
      </c>
      <c r="AE210" s="24">
        <f t="shared" ca="1" si="49"/>
        <v>0.81880498862621198</v>
      </c>
      <c r="AF210" s="24"/>
      <c r="AG210">
        <v>205</v>
      </c>
      <c r="AH210">
        <f t="shared" ca="1" si="58"/>
        <v>313.62635050126715</v>
      </c>
      <c r="AI210">
        <f t="shared" ca="1" si="59"/>
        <v>164.36829888829163</v>
      </c>
      <c r="AJ210">
        <f t="shared" ca="1" si="60"/>
        <v>53.806445949568577</v>
      </c>
      <c r="AL210">
        <v>205</v>
      </c>
      <c r="AM210" s="4">
        <f t="shared" ca="1" si="50"/>
        <v>1.3528787573784395E-2</v>
      </c>
      <c r="AN210" s="4">
        <f t="shared" ca="1" si="51"/>
        <v>6.5934728527050623E-4</v>
      </c>
      <c r="AO210" s="4">
        <f t="shared" ca="1" si="52"/>
        <v>1.4641659214499336E-2</v>
      </c>
      <c r="AP210" s="4">
        <f t="shared" ca="1" si="53"/>
        <v>8.7148729505933213E-3</v>
      </c>
    </row>
    <row r="211" spans="1:42" x14ac:dyDescent="0.3">
      <c r="A211" s="1">
        <v>45898</v>
      </c>
      <c r="B211" s="3">
        <f>Data!B208</f>
        <v>299.961669921875</v>
      </c>
      <c r="C211" s="3">
        <f>Data!H208</f>
        <v>149.56942749023401</v>
      </c>
      <c r="D211" s="3">
        <f>Data!N208</f>
        <v>50.459335327148402</v>
      </c>
      <c r="F211" s="1">
        <v>45898</v>
      </c>
      <c r="G211" s="4">
        <f t="shared" si="54"/>
        <v>1.1624885627863346E-3</v>
      </c>
      <c r="H211" s="4">
        <f t="shared" si="55"/>
        <v>1.9976202742792992E-3</v>
      </c>
      <c r="I211" s="4">
        <f t="shared" si="56"/>
        <v>4.9514379515838147E-3</v>
      </c>
      <c r="T211">
        <v>205</v>
      </c>
      <c r="U211" s="4">
        <v>-1.5052042749656724E-2</v>
      </c>
      <c r="V211" s="4"/>
      <c r="W211">
        <v>206</v>
      </c>
      <c r="X211">
        <f t="shared" ca="1" si="57"/>
        <v>-0.62083337482269985</v>
      </c>
      <c r="Y211">
        <f t="shared" ca="1" si="57"/>
        <v>0.76135386861525978</v>
      </c>
      <c r="Z211">
        <f t="shared" ca="1" si="57"/>
        <v>-0.44281094690566886</v>
      </c>
      <c r="AA211" s="4"/>
      <c r="AB211">
        <v>206</v>
      </c>
      <c r="AC211" s="24">
        <f t="shared" ca="1" si="47"/>
        <v>-0.62083337482269985</v>
      </c>
      <c r="AD211" s="24">
        <f t="shared" ca="1" si="48"/>
        <v>-0.16508551876904892</v>
      </c>
      <c r="AE211" s="24">
        <f t="shared" ca="1" si="49"/>
        <v>-0.52130513725693417</v>
      </c>
      <c r="AF211" s="24"/>
      <c r="AG211">
        <v>206</v>
      </c>
      <c r="AH211">
        <f t="shared" ca="1" si="58"/>
        <v>306.19213653569818</v>
      </c>
      <c r="AI211">
        <f t="shared" ca="1" si="59"/>
        <v>163.69812253928046</v>
      </c>
      <c r="AJ211">
        <f t="shared" ca="1" si="60"/>
        <v>52.541870561052868</v>
      </c>
      <c r="AL211">
        <v>206</v>
      </c>
      <c r="AM211" s="4">
        <f t="shared" ca="1" si="50"/>
        <v>-1.0495947130568006E-2</v>
      </c>
      <c r="AN211" s="4">
        <f t="shared" ca="1" si="51"/>
        <v>-3.4206257539547424E-3</v>
      </c>
      <c r="AO211" s="4">
        <f t="shared" ca="1" si="52"/>
        <v>-9.2047563545202271E-3</v>
      </c>
      <c r="AP211" s="4">
        <f t="shared" ca="1" si="53"/>
        <v>-7.2784613471083663E-3</v>
      </c>
    </row>
    <row r="212" spans="1:42" x14ac:dyDescent="0.3">
      <c r="A212" s="1">
        <v>45902</v>
      </c>
      <c r="B212" s="3">
        <f>Data!B209</f>
        <v>298.25</v>
      </c>
      <c r="C212" s="3">
        <f>Data!H209</f>
        <v>147.94931030273401</v>
      </c>
      <c r="D212" s="3">
        <f>Data!N209</f>
        <v>50.141101837158203</v>
      </c>
      <c r="F212" s="1">
        <v>45902</v>
      </c>
      <c r="G212" s="4">
        <f t="shared" si="54"/>
        <v>-5.7062954820887857E-3</v>
      </c>
      <c r="H212" s="4">
        <f t="shared" si="55"/>
        <v>-1.0831873964388783E-2</v>
      </c>
      <c r="I212" s="4">
        <f t="shared" si="56"/>
        <v>-6.3067317063723038E-3</v>
      </c>
      <c r="T212">
        <v>206</v>
      </c>
      <c r="U212" s="4">
        <v>-1.5041533720158862E-2</v>
      </c>
      <c r="V212" s="4"/>
      <c r="W212">
        <v>207</v>
      </c>
      <c r="X212">
        <f t="shared" ca="1" si="57"/>
        <v>-0.30818780570910731</v>
      </c>
      <c r="Y212">
        <f t="shared" ca="1" si="57"/>
        <v>1.0744384481958917</v>
      </c>
      <c r="Z212">
        <f t="shared" ca="1" si="57"/>
        <v>0.58859881368228972</v>
      </c>
      <c r="AA212" s="4"/>
      <c r="AB212">
        <v>207</v>
      </c>
      <c r="AC212" s="24">
        <f t="shared" ca="1" si="47"/>
        <v>-0.30818780570910731</v>
      </c>
      <c r="AD212" s="24">
        <f t="shared" ca="1" si="48"/>
        <v>0.26124058759261104</v>
      </c>
      <c r="AE212" s="24">
        <f t="shared" ca="1" si="49"/>
        <v>0.34376694921454903</v>
      </c>
      <c r="AF212" s="24"/>
      <c r="AG212">
        <v>207</v>
      </c>
      <c r="AH212">
        <f t="shared" ca="1" si="58"/>
        <v>307.82431107624814</v>
      </c>
      <c r="AI212">
        <f t="shared" ca="1" si="59"/>
        <v>165.15558653388214</v>
      </c>
      <c r="AJ212">
        <f t="shared" ca="1" si="60"/>
        <v>53.354738339610932</v>
      </c>
      <c r="AL212">
        <v>207</v>
      </c>
      <c r="AM212" s="4">
        <f t="shared" ca="1" si="50"/>
        <v>-5.2213396859179806E-3</v>
      </c>
      <c r="AN212" s="4">
        <f t="shared" ca="1" si="51"/>
        <v>5.4522833130246084E-3</v>
      </c>
      <c r="AO212" s="4">
        <f t="shared" ca="1" si="52"/>
        <v>6.1236954137158239E-3</v>
      </c>
      <c r="AP212" s="4">
        <f t="shared" ca="1" si="53"/>
        <v>2.4516200435491962E-3</v>
      </c>
    </row>
    <row r="213" spans="1:42" x14ac:dyDescent="0.3">
      <c r="A213" s="1">
        <v>45903</v>
      </c>
      <c r="B213" s="3">
        <f>Data!B210</f>
        <v>298.06091308593699</v>
      </c>
      <c r="C213" s="3">
        <f>Data!H210</f>
        <v>147.63124084472599</v>
      </c>
      <c r="D213" s="3">
        <f>Data!N210</f>
        <v>49.783096313476499</v>
      </c>
      <c r="F213" s="1">
        <v>45903</v>
      </c>
      <c r="G213" s="4">
        <f t="shared" si="54"/>
        <v>-6.3398797674107943E-4</v>
      </c>
      <c r="H213" s="4">
        <f t="shared" si="55"/>
        <v>-2.1498542802070864E-3</v>
      </c>
      <c r="I213" s="4">
        <f t="shared" si="56"/>
        <v>-7.1399612406681801E-3</v>
      </c>
      <c r="T213">
        <v>207</v>
      </c>
      <c r="U213" s="4">
        <v>-1.5020899644443354E-2</v>
      </c>
      <c r="V213" s="4"/>
      <c r="W213">
        <v>208</v>
      </c>
      <c r="X213">
        <f t="shared" ca="1" si="57"/>
        <v>1.5604157584959752</v>
      </c>
      <c r="Y213">
        <f t="shared" ca="1" si="57"/>
        <v>-1.3582667551249417</v>
      </c>
      <c r="Z213">
        <f t="shared" ca="1" si="57"/>
        <v>-1.2013162757820315</v>
      </c>
      <c r="AA213" s="4"/>
      <c r="AB213">
        <v>208</v>
      </c>
      <c r="AC213" s="24">
        <f t="shared" ca="1" si="47"/>
        <v>1.5604157584959752</v>
      </c>
      <c r="AD213" s="24">
        <f t="shared" ca="1" si="48"/>
        <v>0.68856561680905304</v>
      </c>
      <c r="AE213" s="24">
        <f t="shared" ca="1" si="49"/>
        <v>0.28902169089710006</v>
      </c>
      <c r="AF213" s="24"/>
      <c r="AG213">
        <v>208</v>
      </c>
      <c r="AH213">
        <f t="shared" ca="1" si="58"/>
        <v>317.76241420062991</v>
      </c>
      <c r="AI213">
        <f t="shared" ca="1" si="59"/>
        <v>166.62948757188826</v>
      </c>
      <c r="AJ213">
        <f t="shared" ca="1" si="60"/>
        <v>53.302926068242932</v>
      </c>
      <c r="AL213">
        <v>208</v>
      </c>
      <c r="AM213" s="4">
        <f t="shared" ca="1" si="50"/>
        <v>2.6895073983848494E-2</v>
      </c>
      <c r="AN213" s="4">
        <f t="shared" ca="1" si="51"/>
        <v>1.4425259614596397E-2</v>
      </c>
      <c r="AO213" s="4">
        <f t="shared" ca="1" si="52"/>
        <v>5.1466584052173303E-3</v>
      </c>
      <c r="AP213" s="4">
        <f t="shared" ca="1" si="53"/>
        <v>1.5382623562558307E-2</v>
      </c>
    </row>
    <row r="214" spans="1:42" x14ac:dyDescent="0.3">
      <c r="A214" s="1">
        <v>45904</v>
      </c>
      <c r="B214" s="3">
        <f>Data!B211</f>
        <v>302.35006713867102</v>
      </c>
      <c r="C214" s="3">
        <f>Data!H211</f>
        <v>149.61912536621</v>
      </c>
      <c r="D214" s="3">
        <f>Data!N211</f>
        <v>50.339996337890597</v>
      </c>
      <c r="F214" s="1">
        <v>45904</v>
      </c>
      <c r="G214" s="4">
        <f t="shared" si="54"/>
        <v>1.4390192958636527E-2</v>
      </c>
      <c r="H214" s="4">
        <f t="shared" si="55"/>
        <v>1.3465202284486555E-2</v>
      </c>
      <c r="I214" s="4">
        <f t="shared" si="56"/>
        <v>1.1186528473588364E-2</v>
      </c>
      <c r="T214">
        <v>208</v>
      </c>
      <c r="U214" s="4">
        <v>-1.4949252215307983E-2</v>
      </c>
      <c r="V214" s="4"/>
      <c r="W214">
        <v>209</v>
      </c>
      <c r="X214">
        <f t="shared" ca="1" si="57"/>
        <v>-0.7451745757049123</v>
      </c>
      <c r="Y214">
        <f t="shared" ca="1" si="57"/>
        <v>-0.74153366558627554</v>
      </c>
      <c r="Z214">
        <f t="shared" ca="1" si="57"/>
        <v>-1.0881830051039307</v>
      </c>
      <c r="AA214" s="4"/>
      <c r="AB214">
        <v>209</v>
      </c>
      <c r="AC214" s="24">
        <f t="shared" ca="1" si="47"/>
        <v>-0.7451745757049123</v>
      </c>
      <c r="AD214" s="24">
        <f t="shared" ca="1" si="48"/>
        <v>-1.0138166648457292</v>
      </c>
      <c r="AE214" s="24">
        <f t="shared" ca="1" si="49"/>
        <v>-1.3651991000731774</v>
      </c>
      <c r="AF214" s="24"/>
      <c r="AG214">
        <v>209</v>
      </c>
      <c r="AH214">
        <f t="shared" ca="1" si="58"/>
        <v>305.54541789723743</v>
      </c>
      <c r="AI214">
        <f t="shared" ca="1" si="59"/>
        <v>160.8347780080525</v>
      </c>
      <c r="AJ214">
        <f t="shared" ca="1" si="60"/>
        <v>51.760837471449747</v>
      </c>
      <c r="AL214">
        <v>209</v>
      </c>
      <c r="AM214" s="4">
        <f t="shared" ca="1" si="50"/>
        <v>-1.2585911690283336E-2</v>
      </c>
      <c r="AN214" s="4">
        <f t="shared" ca="1" si="51"/>
        <v>-2.0852408458104321E-2</v>
      </c>
      <c r="AO214" s="4">
        <f t="shared" ca="1" si="52"/>
        <v>-2.3932893401131583E-2</v>
      </c>
      <c r="AP214" s="4">
        <f t="shared" ca="1" si="53"/>
        <v>-1.9296604910666204E-2</v>
      </c>
    </row>
    <row r="215" spans="1:42" x14ac:dyDescent="0.3">
      <c r="A215" s="1">
        <v>45905</v>
      </c>
      <c r="B215" s="3">
        <f>Data!B212</f>
        <v>292.95571899414</v>
      </c>
      <c r="C215" s="3">
        <f>Data!H212</f>
        <v>147.19389343261699</v>
      </c>
      <c r="D215" s="3">
        <f>Data!N212</f>
        <v>49.770000457763601</v>
      </c>
      <c r="F215" s="1">
        <v>45905</v>
      </c>
      <c r="G215" s="4">
        <f t="shared" si="54"/>
        <v>-3.1071096604792126E-2</v>
      </c>
      <c r="H215" s="4">
        <f t="shared" si="55"/>
        <v>-1.6209371145947893E-2</v>
      </c>
      <c r="I215" s="4">
        <f t="shared" si="56"/>
        <v>-1.1322922558458015E-2</v>
      </c>
      <c r="T215">
        <v>209</v>
      </c>
      <c r="U215" s="4">
        <v>-1.4742072917426196E-2</v>
      </c>
      <c r="V215" s="4"/>
      <c r="W215">
        <v>210</v>
      </c>
      <c r="X215">
        <f t="shared" ca="1" si="57"/>
        <v>3.4468755241560353E-3</v>
      </c>
      <c r="Y215">
        <f t="shared" ca="1" si="57"/>
        <v>-1.1170260477623664</v>
      </c>
      <c r="Z215">
        <f t="shared" ca="1" si="57"/>
        <v>-0.49916340268580084</v>
      </c>
      <c r="AA215" s="4"/>
      <c r="AB215">
        <v>210</v>
      </c>
      <c r="AC215" s="24">
        <f t="shared" ca="1" si="47"/>
        <v>3.4468755241560353E-3</v>
      </c>
      <c r="AD215" s="24">
        <f t="shared" ca="1" si="48"/>
        <v>-0.54740366559748999</v>
      </c>
      <c r="AE215" s="24">
        <f t="shared" ca="1" si="49"/>
        <v>-0.55887098743287988</v>
      </c>
      <c r="AF215" s="24"/>
      <c r="AG215">
        <v>210</v>
      </c>
      <c r="AH215">
        <f t="shared" ca="1" si="58"/>
        <v>309.45986644738474</v>
      </c>
      <c r="AI215">
        <f t="shared" ca="1" si="59"/>
        <v>162.40204895639772</v>
      </c>
      <c r="AJ215">
        <f t="shared" ca="1" si="60"/>
        <v>52.506853630461677</v>
      </c>
      <c r="AL215">
        <v>210</v>
      </c>
      <c r="AM215" s="4">
        <f t="shared" ca="1" si="50"/>
        <v>6.4193400407086543E-5</v>
      </c>
      <c r="AN215" s="4">
        <f t="shared" ca="1" si="51"/>
        <v>-1.1311004581580963E-2</v>
      </c>
      <c r="AO215" s="4">
        <f t="shared" ca="1" si="52"/>
        <v>-9.8650794055714641E-3</v>
      </c>
      <c r="AP215" s="4">
        <f t="shared" ca="1" si="53"/>
        <v>-7.4646676341816997E-3</v>
      </c>
    </row>
    <row r="216" spans="1:42" x14ac:dyDescent="0.3">
      <c r="A216" s="1">
        <v>45908</v>
      </c>
      <c r="B216" s="3">
        <f>Data!B213</f>
        <v>291.49282836914</v>
      </c>
      <c r="C216" s="3">
        <f>Data!H213</f>
        <v>147.8896484375</v>
      </c>
      <c r="D216" s="3">
        <f>Data!N213</f>
        <v>49.459999084472599</v>
      </c>
      <c r="F216" s="1">
        <v>45908</v>
      </c>
      <c r="G216" s="4">
        <f t="shared" si="54"/>
        <v>-4.9935554425181161E-3</v>
      </c>
      <c r="H216" s="4">
        <f t="shared" si="55"/>
        <v>4.7267925907641395E-3</v>
      </c>
      <c r="I216" s="4">
        <f t="shared" si="56"/>
        <v>-6.2286793337299473E-3</v>
      </c>
      <c r="T216">
        <v>210</v>
      </c>
      <c r="U216" s="4">
        <v>-1.4675840749298695E-2</v>
      </c>
      <c r="V216" s="4"/>
      <c r="W216">
        <v>211</v>
      </c>
      <c r="X216">
        <f t="shared" ca="1" si="57"/>
        <v>0.35225988470090774</v>
      </c>
      <c r="Y216">
        <f t="shared" ca="1" si="57"/>
        <v>0.557034350692453</v>
      </c>
      <c r="Z216">
        <f t="shared" ca="1" si="57"/>
        <v>0.66915097366495913</v>
      </c>
      <c r="AA216" s="4"/>
      <c r="AB216">
        <v>211</v>
      </c>
      <c r="AC216" s="24">
        <f t="shared" ca="1" si="47"/>
        <v>0.35225988470090774</v>
      </c>
      <c r="AD216" s="24">
        <f t="shared" ca="1" si="48"/>
        <v>0.58100129548041113</v>
      </c>
      <c r="AE216" s="24">
        <f t="shared" ca="1" si="49"/>
        <v>0.78089591470225572</v>
      </c>
      <c r="AF216" s="24"/>
      <c r="AG216">
        <v>211</v>
      </c>
      <c r="AH216">
        <f t="shared" ca="1" si="58"/>
        <v>311.30085449408671</v>
      </c>
      <c r="AI216">
        <f t="shared" ca="1" si="59"/>
        <v>166.25724969812623</v>
      </c>
      <c r="AJ216">
        <f t="shared" ca="1" si="60"/>
        <v>53.770258707753626</v>
      </c>
      <c r="AL216">
        <v>211</v>
      </c>
      <c r="AM216" s="4">
        <f t="shared" ca="1" si="50"/>
        <v>6.0136118084248569E-3</v>
      </c>
      <c r="AN216" s="4">
        <f t="shared" ca="1" si="51"/>
        <v>1.2159109083667463E-2</v>
      </c>
      <c r="AO216" s="4">
        <f t="shared" ca="1" si="52"/>
        <v>1.3959267310898582E-2</v>
      </c>
      <c r="AP216" s="4">
        <f t="shared" ca="1" si="53"/>
        <v>1.0855507369264016E-2</v>
      </c>
    </row>
    <row r="217" spans="1:42" x14ac:dyDescent="0.3">
      <c r="A217" s="1">
        <v>45909</v>
      </c>
      <c r="B217" s="3">
        <f>Data!B214</f>
        <v>296.408935546875</v>
      </c>
      <c r="C217" s="3">
        <f>Data!H214</f>
        <v>151.298904418945</v>
      </c>
      <c r="D217" s="3">
        <f>Data!N214</f>
        <v>50.290000915527301</v>
      </c>
      <c r="F217" s="1">
        <v>45909</v>
      </c>
      <c r="G217" s="4">
        <f t="shared" si="54"/>
        <v>1.686527660128001E-2</v>
      </c>
      <c r="H217" s="4">
        <f t="shared" si="55"/>
        <v>2.3052701912979368E-2</v>
      </c>
      <c r="I217" s="4">
        <f t="shared" si="56"/>
        <v>1.6781274695075288E-2</v>
      </c>
      <c r="T217">
        <v>211</v>
      </c>
      <c r="U217" s="4">
        <v>-1.4590709872614849E-2</v>
      </c>
      <c r="V217" s="4"/>
      <c r="W217">
        <v>212</v>
      </c>
      <c r="X217">
        <f t="shared" ca="1" si="57"/>
        <v>-1.5203876976462711</v>
      </c>
      <c r="Y217">
        <f t="shared" ca="1" si="57"/>
        <v>0.21334887930645749</v>
      </c>
      <c r="Z217">
        <f t="shared" ca="1" si="57"/>
        <v>-7.8935290890896792E-2</v>
      </c>
      <c r="AA217" s="4"/>
      <c r="AB217">
        <v>212</v>
      </c>
      <c r="AC217" s="24">
        <f t="shared" ca="1" si="47"/>
        <v>-1.5203876976462711</v>
      </c>
      <c r="AD217" s="24">
        <f t="shared" ca="1" si="48"/>
        <v>-1.2178805951859244</v>
      </c>
      <c r="AE217" s="24">
        <f t="shared" ca="1" si="49"/>
        <v>-1.2221479247717422</v>
      </c>
      <c r="AF217" s="24"/>
      <c r="AG217">
        <v>212</v>
      </c>
      <c r="AH217">
        <f t="shared" ca="1" si="58"/>
        <v>301.54410143238522</v>
      </c>
      <c r="AI217">
        <f t="shared" ca="1" si="59"/>
        <v>160.15383427594611</v>
      </c>
      <c r="AJ217">
        <f t="shared" ca="1" si="60"/>
        <v>51.892410902819805</v>
      </c>
      <c r="AL217">
        <v>212</v>
      </c>
      <c r="AM217" s="4">
        <f t="shared" ca="1" si="50"/>
        <v>-2.5516742976745332E-2</v>
      </c>
      <c r="AN217" s="4">
        <f t="shared" ca="1" si="51"/>
        <v>-2.4997932352408769E-2</v>
      </c>
      <c r="AO217" s="4">
        <f t="shared" ca="1" si="52"/>
        <v>-2.1451780174679413E-2</v>
      </c>
      <c r="AP217" s="4">
        <f t="shared" ca="1" si="53"/>
        <v>-2.4089729886390934E-2</v>
      </c>
    </row>
    <row r="218" spans="1:42" x14ac:dyDescent="0.3">
      <c r="A218" s="1">
        <v>45910</v>
      </c>
      <c r="B218" s="3">
        <f>Data!B215</f>
        <v>299.0859375</v>
      </c>
      <c r="C218" s="3">
        <f>Data!H215</f>
        <v>153.187408447265</v>
      </c>
      <c r="D218" s="3">
        <f>Data!N215</f>
        <v>50.130001068115199</v>
      </c>
      <c r="F218" s="1">
        <v>45910</v>
      </c>
      <c r="G218" s="4">
        <f t="shared" si="54"/>
        <v>9.0314482192850321E-3</v>
      </c>
      <c r="H218" s="4">
        <f t="shared" si="55"/>
        <v>1.2481941198270396E-2</v>
      </c>
      <c r="I218" s="4">
        <f t="shared" si="56"/>
        <v>-3.1815439351623453E-3</v>
      </c>
      <c r="T218">
        <v>212</v>
      </c>
      <c r="U218" s="4">
        <v>-1.4548197194406998E-2</v>
      </c>
      <c r="V218" s="4"/>
      <c r="W218">
        <v>213</v>
      </c>
      <c r="X218">
        <f t="shared" ca="1" si="57"/>
        <v>0.30092048203924449</v>
      </c>
      <c r="Y218">
        <f t="shared" ca="1" si="57"/>
        <v>1.5955699959469853</v>
      </c>
      <c r="Z218">
        <f t="shared" ca="1" si="57"/>
        <v>1.1990522374645418</v>
      </c>
      <c r="AA218" s="4"/>
      <c r="AB218">
        <v>213</v>
      </c>
      <c r="AC218" s="24">
        <f t="shared" ca="1" si="47"/>
        <v>0.30092048203924449</v>
      </c>
      <c r="AD218" s="24">
        <f t="shared" ca="1" si="48"/>
        <v>1.048054660815398</v>
      </c>
      <c r="AE218" s="24">
        <f t="shared" ca="1" si="49"/>
        <v>1.2946086661550456</v>
      </c>
      <c r="AF218" s="24"/>
      <c r="AG218">
        <v>213</v>
      </c>
      <c r="AH218">
        <f t="shared" ca="1" si="58"/>
        <v>311.02920624978282</v>
      </c>
      <c r="AI218">
        <f t="shared" ca="1" si="59"/>
        <v>167.87959564036399</v>
      </c>
      <c r="AJ218">
        <f t="shared" ca="1" si="60"/>
        <v>54.262715073630531</v>
      </c>
      <c r="AL218">
        <v>213</v>
      </c>
      <c r="AM218" s="4">
        <f t="shared" ca="1" si="50"/>
        <v>5.1357413257444584E-3</v>
      </c>
      <c r="AN218" s="4">
        <f t="shared" ca="1" si="51"/>
        <v>2.2035804545082804E-2</v>
      </c>
      <c r="AO218" s="4">
        <f t="shared" ca="1" si="52"/>
        <v>2.3245640631901932E-2</v>
      </c>
      <c r="AP218" s="4">
        <f t="shared" ca="1" si="53"/>
        <v>1.732873640532704E-2</v>
      </c>
    </row>
    <row r="219" spans="1:42" x14ac:dyDescent="0.3">
      <c r="A219" s="1">
        <v>45911</v>
      </c>
      <c r="B219" s="3">
        <f>Data!B216</f>
        <v>304.08163452148398</v>
      </c>
      <c r="C219" s="3">
        <f>Data!H216</f>
        <v>155.53312683105401</v>
      </c>
      <c r="D219" s="3">
        <f>Data!N216</f>
        <v>50.75</v>
      </c>
      <c r="F219" s="1">
        <v>45911</v>
      </c>
      <c r="G219" s="4">
        <f t="shared" si="54"/>
        <v>1.6703216016246136E-2</v>
      </c>
      <c r="H219" s="4">
        <f t="shared" si="55"/>
        <v>1.5312736259237125E-2</v>
      </c>
      <c r="I219" s="4">
        <f t="shared" si="56"/>
        <v>1.2367822036196685E-2</v>
      </c>
      <c r="T219">
        <v>213</v>
      </c>
      <c r="U219" s="4">
        <v>-1.4503466168760538E-2</v>
      </c>
      <c r="V219" s="4"/>
      <c r="W219">
        <v>214</v>
      </c>
      <c r="X219">
        <f t="shared" ca="1" si="57"/>
        <v>0.11167730140999242</v>
      </c>
      <c r="Y219">
        <f t="shared" ca="1" si="57"/>
        <v>1.0003945192524561</v>
      </c>
      <c r="Z219">
        <f t="shared" ca="1" si="57"/>
        <v>1.2161063587773651</v>
      </c>
      <c r="AA219" s="4"/>
      <c r="AB219">
        <v>214</v>
      </c>
      <c r="AC219" s="24">
        <f t="shared" ca="1" si="47"/>
        <v>0.11167730140999242</v>
      </c>
      <c r="AD219" s="24">
        <f t="shared" ca="1" si="48"/>
        <v>0.5901130678949571</v>
      </c>
      <c r="AE219" s="24">
        <f t="shared" ca="1" si="49"/>
        <v>0.98450235522434748</v>
      </c>
      <c r="AF219" s="24"/>
      <c r="AG219">
        <v>214</v>
      </c>
      <c r="AH219">
        <f t="shared" ca="1" si="58"/>
        <v>310.02992404401408</v>
      </c>
      <c r="AI219">
        <f t="shared" ca="1" si="59"/>
        <v>166.28874970118395</v>
      </c>
      <c r="AJ219">
        <f t="shared" ca="1" si="60"/>
        <v>53.964903413512481</v>
      </c>
      <c r="AL219">
        <v>214</v>
      </c>
      <c r="AM219" s="4">
        <f t="shared" ca="1" si="50"/>
        <v>1.9064167462310433E-3</v>
      </c>
      <c r="AN219" s="4">
        <f t="shared" ca="1" si="51"/>
        <v>1.2350878255170894E-2</v>
      </c>
      <c r="AO219" s="4">
        <f t="shared" ca="1" si="52"/>
        <v>1.7629731392350578E-2</v>
      </c>
      <c r="AP219" s="4">
        <f t="shared" ca="1" si="53"/>
        <v>1.0801195743642845E-2</v>
      </c>
    </row>
    <row r="220" spans="1:42" x14ac:dyDescent="0.3">
      <c r="A220" s="1">
        <v>45912</v>
      </c>
      <c r="B220" s="3">
        <f>Data!B217</f>
        <v>305.42510986328102</v>
      </c>
      <c r="C220" s="3">
        <f>Data!H217</f>
        <v>155.44367980957</v>
      </c>
      <c r="D220" s="3">
        <f>Data!N217</f>
        <v>50.580001831054602</v>
      </c>
      <c r="F220" s="1">
        <v>45912</v>
      </c>
      <c r="G220" s="4">
        <f t="shared" si="54"/>
        <v>4.4181403586283086E-3</v>
      </c>
      <c r="H220" s="4">
        <f t="shared" si="55"/>
        <v>-5.75099487205466E-4</v>
      </c>
      <c r="I220" s="4">
        <f t="shared" si="56"/>
        <v>-3.3497176146876084E-3</v>
      </c>
      <c r="T220">
        <v>214</v>
      </c>
      <c r="U220" s="4">
        <v>-1.4395713025882273E-2</v>
      </c>
      <c r="V220" s="4"/>
      <c r="W220">
        <v>215</v>
      </c>
      <c r="X220">
        <f t="shared" ca="1" si="57"/>
        <v>-0.13150390536696926</v>
      </c>
      <c r="Y220">
        <f t="shared" ca="1" si="57"/>
        <v>-0.12500260983357916</v>
      </c>
      <c r="Z220">
        <f t="shared" ca="1" si="57"/>
        <v>-0.80300362940848524</v>
      </c>
      <c r="AA220" s="4"/>
      <c r="AB220">
        <v>215</v>
      </c>
      <c r="AC220" s="24">
        <f t="shared" ca="1" si="47"/>
        <v>-0.13150390536696926</v>
      </c>
      <c r="AD220" s="24">
        <f t="shared" ca="1" si="48"/>
        <v>-0.1760253893015265</v>
      </c>
      <c r="AE220" s="24">
        <f t="shared" ca="1" si="49"/>
        <v>-0.54938035303271004</v>
      </c>
      <c r="AF220" s="24"/>
      <c r="AG220">
        <v>215</v>
      </c>
      <c r="AH220">
        <f t="shared" ca="1" si="58"/>
        <v>308.75053884317748</v>
      </c>
      <c r="AI220">
        <f t="shared" ca="1" si="59"/>
        <v>163.66089258594624</v>
      </c>
      <c r="AJ220">
        <f t="shared" ca="1" si="60"/>
        <v>52.515698102146615</v>
      </c>
      <c r="AL220">
        <v>215</v>
      </c>
      <c r="AM220" s="4">
        <f t="shared" ca="1" si="50"/>
        <v>-2.2281010625285758E-3</v>
      </c>
      <c r="AN220" s="4">
        <f t="shared" ca="1" si="51"/>
        <v>-3.647278344842686E-3</v>
      </c>
      <c r="AO220" s="4">
        <f t="shared" ca="1" si="52"/>
        <v>-9.6982969826310272E-3</v>
      </c>
      <c r="AP220" s="4">
        <f t="shared" ca="1" si="53"/>
        <v>-5.0368307514849549E-3</v>
      </c>
    </row>
    <row r="221" spans="1:42" x14ac:dyDescent="0.3">
      <c r="A221" s="1">
        <v>45915</v>
      </c>
      <c r="B221" s="3">
        <f>Data!B218</f>
        <v>307.40545654296801</v>
      </c>
      <c r="C221" s="3">
        <f>Data!H218</f>
        <v>155.69215393066401</v>
      </c>
      <c r="D221" s="3">
        <f>Data!N218</f>
        <v>50.590000152587798</v>
      </c>
      <c r="F221" s="1">
        <v>45915</v>
      </c>
      <c r="G221" s="4">
        <f t="shared" si="54"/>
        <v>6.4839026515319809E-3</v>
      </c>
      <c r="H221" s="4">
        <f t="shared" si="55"/>
        <v>1.5984832667266247E-3</v>
      </c>
      <c r="I221" s="4">
        <f t="shared" si="56"/>
        <v>1.9767341184739884E-4</v>
      </c>
      <c r="T221">
        <v>215</v>
      </c>
      <c r="U221" s="4">
        <v>-1.4390271553622647E-2</v>
      </c>
      <c r="V221" s="4"/>
      <c r="W221">
        <v>216</v>
      </c>
      <c r="X221">
        <f t="shared" ca="1" si="57"/>
        <v>0.14327009154763498</v>
      </c>
      <c r="Y221">
        <f t="shared" ca="1" si="57"/>
        <v>0.13959945265461204</v>
      </c>
      <c r="Z221">
        <f t="shared" ca="1" si="57"/>
        <v>-0.73291688354194762</v>
      </c>
      <c r="AA221" s="4"/>
      <c r="AB221">
        <v>216</v>
      </c>
      <c r="AC221" s="24">
        <f t="shared" ca="1" si="47"/>
        <v>0.14327009154763498</v>
      </c>
      <c r="AD221" s="24">
        <f t="shared" ca="1" si="48"/>
        <v>0.19345649482067173</v>
      </c>
      <c r="AE221" s="24">
        <f t="shared" ca="1" si="49"/>
        <v>-0.21648982335643946</v>
      </c>
      <c r="AF221" s="24"/>
      <c r="AG221">
        <v>216</v>
      </c>
      <c r="AH221">
        <f t="shared" ca="1" si="58"/>
        <v>310.19652350533318</v>
      </c>
      <c r="AI221">
        <f t="shared" ca="1" si="59"/>
        <v>164.92299116624605</v>
      </c>
      <c r="AJ221">
        <f t="shared" ca="1" si="60"/>
        <v>52.826868416927958</v>
      </c>
      <c r="AL221">
        <v>216</v>
      </c>
      <c r="AM221" s="4">
        <f t="shared" ca="1" si="50"/>
        <v>2.4448069349740642E-3</v>
      </c>
      <c r="AN221" s="4">
        <f t="shared" ca="1" si="51"/>
        <v>4.0362637378723587E-3</v>
      </c>
      <c r="AO221" s="4">
        <f t="shared" ca="1" si="52"/>
        <v>-3.8304802384445669E-3</v>
      </c>
      <c r="AP221" s="4">
        <f t="shared" ca="1" si="53"/>
        <v>1.1988035041077926E-3</v>
      </c>
    </row>
    <row r="222" spans="1:42" x14ac:dyDescent="0.3">
      <c r="A222" s="1">
        <v>45916</v>
      </c>
      <c r="B222" s="3">
        <f>Data!B219</f>
        <v>307.69406127929602</v>
      </c>
      <c r="C222" s="3">
        <f>Data!H219</f>
        <v>154.8671875</v>
      </c>
      <c r="D222" s="3">
        <f>Data!N219</f>
        <v>50.659999847412102</v>
      </c>
      <c r="F222" s="1">
        <v>45916</v>
      </c>
      <c r="G222" s="4">
        <f t="shared" si="54"/>
        <v>9.3884064249749599E-4</v>
      </c>
      <c r="H222" s="4">
        <f t="shared" si="55"/>
        <v>-5.2987026631502454E-3</v>
      </c>
      <c r="I222" s="4">
        <f t="shared" si="56"/>
        <v>1.3836666260758079E-3</v>
      </c>
      <c r="T222">
        <v>216</v>
      </c>
      <c r="U222" s="4">
        <v>-1.432440070687817E-2</v>
      </c>
      <c r="V222" s="4"/>
      <c r="W222">
        <v>217</v>
      </c>
      <c r="X222">
        <f t="shared" ca="1" si="57"/>
        <v>0.567281996820164</v>
      </c>
      <c r="Y222">
        <f t="shared" ca="1" si="57"/>
        <v>-1.0068637657697068</v>
      </c>
      <c r="Z222">
        <f t="shared" ca="1" si="57"/>
        <v>-0.87979840354032368</v>
      </c>
      <c r="AA222" s="4"/>
      <c r="AB222">
        <v>217</v>
      </c>
      <c r="AC222" s="24">
        <f t="shared" ca="1" si="47"/>
        <v>0.567281996820164</v>
      </c>
      <c r="AD222" s="24">
        <f t="shared" ca="1" si="48"/>
        <v>-2.4861142901924649E-3</v>
      </c>
      <c r="AE222" s="24">
        <f t="shared" ca="1" si="49"/>
        <v>-0.26142185344673563</v>
      </c>
      <c r="AF222" s="24"/>
      <c r="AG222">
        <v>217</v>
      </c>
      <c r="AH222">
        <f t="shared" ca="1" si="58"/>
        <v>312.44116461981559</v>
      </c>
      <c r="AI222">
        <f t="shared" ca="1" si="59"/>
        <v>164.25247115116392</v>
      </c>
      <c r="AJ222">
        <f t="shared" ca="1" si="60"/>
        <v>52.784760685240279</v>
      </c>
      <c r="AL222">
        <v>217</v>
      </c>
      <c r="AM222" s="4">
        <f t="shared" ca="1" si="50"/>
        <v>9.698688452466131E-3</v>
      </c>
      <c r="AN222" s="4">
        <f t="shared" ca="1" si="51"/>
        <v>-4.5801509330756218E-5</v>
      </c>
      <c r="AO222" s="4">
        <f t="shared" ca="1" si="52"/>
        <v>-4.6245163058963312E-3</v>
      </c>
      <c r="AP222" s="4">
        <f t="shared" ca="1" si="53"/>
        <v>1.5039310402386373E-3</v>
      </c>
    </row>
    <row r="223" spans="1:42" x14ac:dyDescent="0.3">
      <c r="A223" s="1">
        <v>45917</v>
      </c>
      <c r="B223" s="3">
        <f>Data!B220</f>
        <v>310.24166870117102</v>
      </c>
      <c r="C223" s="3">
        <f>Data!H220</f>
        <v>156.45750427246</v>
      </c>
      <c r="D223" s="3">
        <f>Data!N220</f>
        <v>51.400001525878899</v>
      </c>
      <c r="F223" s="1">
        <v>45917</v>
      </c>
      <c r="G223" s="4">
        <f t="shared" si="54"/>
        <v>8.2796769339090748E-3</v>
      </c>
      <c r="H223" s="4">
        <f t="shared" si="55"/>
        <v>1.0268907172218178E-2</v>
      </c>
      <c r="I223" s="4">
        <f t="shared" si="56"/>
        <v>1.4607218331932126E-2</v>
      </c>
      <c r="T223">
        <v>217</v>
      </c>
      <c r="U223" s="4">
        <v>-1.423856144061123E-2</v>
      </c>
      <c r="V223" s="4"/>
      <c r="W223">
        <v>218</v>
      </c>
      <c r="X223">
        <f t="shared" ca="1" si="57"/>
        <v>-0.19899161862800546</v>
      </c>
      <c r="Y223">
        <f t="shared" ca="1" si="57"/>
        <v>-2.4096370737177741E-2</v>
      </c>
      <c r="Z223">
        <f t="shared" ca="1" si="57"/>
        <v>1.0783629527696481</v>
      </c>
      <c r="AA223" s="4"/>
      <c r="AB223">
        <v>218</v>
      </c>
      <c r="AC223" s="24">
        <f t="shared" ca="1" si="47"/>
        <v>-0.19899161862800546</v>
      </c>
      <c r="AD223" s="24">
        <f t="shared" ca="1" si="48"/>
        <v>-0.1850311216417255</v>
      </c>
      <c r="AE223" s="24">
        <f t="shared" ca="1" si="49"/>
        <v>0.37821188437692083</v>
      </c>
      <c r="AF223" s="24"/>
      <c r="AG223">
        <v>218</v>
      </c>
      <c r="AH223">
        <f t="shared" ca="1" si="58"/>
        <v>308.39642035782651</v>
      </c>
      <c r="AI223">
        <f t="shared" ca="1" si="59"/>
        <v>163.63025113731533</v>
      </c>
      <c r="AJ223">
        <f t="shared" ca="1" si="60"/>
        <v>53.387363690860866</v>
      </c>
      <c r="AL223">
        <v>218</v>
      </c>
      <c r="AM223" s="4">
        <f t="shared" ca="1" si="50"/>
        <v>-3.3724860242564381E-3</v>
      </c>
      <c r="AN223" s="4">
        <f t="shared" ca="1" si="51"/>
        <v>-3.8338207145957037E-3</v>
      </c>
      <c r="AO223" s="4">
        <f t="shared" ca="1" si="52"/>
        <v>6.7389198527303407E-3</v>
      </c>
      <c r="AP223" s="4">
        <f t="shared" ca="1" si="53"/>
        <v>-5.235981372961108E-4</v>
      </c>
    </row>
    <row r="224" spans="1:42" x14ac:dyDescent="0.3">
      <c r="A224" s="1">
        <v>45918</v>
      </c>
      <c r="B224" s="3">
        <f>Data!B221</f>
        <v>311.71453857421801</v>
      </c>
      <c r="C224" s="3">
        <f>Data!H221</f>
        <v>158.27642822265599</v>
      </c>
      <c r="D224" s="3">
        <f>Data!N221</f>
        <v>52.130001068115199</v>
      </c>
      <c r="F224" s="1">
        <v>45918</v>
      </c>
      <c r="G224" s="4">
        <f t="shared" si="54"/>
        <v>4.7474921057935049E-3</v>
      </c>
      <c r="H224" s="4">
        <f t="shared" si="55"/>
        <v>1.1625674068202363E-2</v>
      </c>
      <c r="I224" s="4">
        <f t="shared" si="56"/>
        <v>1.420232530282628E-2</v>
      </c>
      <c r="T224">
        <v>218</v>
      </c>
      <c r="U224" s="4">
        <v>-1.4237533664106706E-2</v>
      </c>
      <c r="V224" s="4"/>
      <c r="W224">
        <v>219</v>
      </c>
      <c r="X224">
        <f t="shared" ca="1" si="57"/>
        <v>-0.37376816617452019</v>
      </c>
      <c r="Y224">
        <f t="shared" ca="1" si="57"/>
        <v>-2.005752158200532</v>
      </c>
      <c r="Z224">
        <f t="shared" ca="1" si="57"/>
        <v>0.77706444042380352</v>
      </c>
      <c r="AA224" s="4"/>
      <c r="AB224">
        <v>219</v>
      </c>
      <c r="AC224" s="24">
        <f t="shared" ca="1" si="47"/>
        <v>-0.37376816617452019</v>
      </c>
      <c r="AD224" s="24">
        <f t="shared" ca="1" si="48"/>
        <v>-1.313558050291836</v>
      </c>
      <c r="AE224" s="24">
        <f t="shared" ca="1" si="49"/>
        <v>-0.46438846127525635</v>
      </c>
      <c r="AF224" s="24"/>
      <c r="AG224">
        <v>219</v>
      </c>
      <c r="AH224">
        <f t="shared" ca="1" si="58"/>
        <v>307.48122750817487</v>
      </c>
      <c r="AI224">
        <f t="shared" ca="1" si="59"/>
        <v>159.83556034899695</v>
      </c>
      <c r="AJ224">
        <f t="shared" ca="1" si="60"/>
        <v>52.594969824891415</v>
      </c>
      <c r="AL224">
        <v>219</v>
      </c>
      <c r="AM224" s="4">
        <f t="shared" ca="1" si="50"/>
        <v>-6.3300637208405508E-3</v>
      </c>
      <c r="AN224" s="4">
        <f t="shared" ca="1" si="51"/>
        <v>-2.6935555252645238E-2</v>
      </c>
      <c r="AO224" s="4">
        <f t="shared" ca="1" si="52"/>
        <v>-8.2034502059090686E-3</v>
      </c>
      <c r="AP224" s="4">
        <f t="shared" ca="1" si="53"/>
        <v>-1.5134276279082983E-2</v>
      </c>
    </row>
    <row r="225" spans="1:42" x14ac:dyDescent="0.3">
      <c r="A225" s="1">
        <v>45919</v>
      </c>
      <c r="B225" s="3">
        <f>Data!B222</f>
        <v>313.25701904296801</v>
      </c>
      <c r="C225" s="3">
        <f>Data!H222</f>
        <v>158.9423828125</v>
      </c>
      <c r="D225" s="3">
        <f>Data!N222</f>
        <v>52.25</v>
      </c>
      <c r="F225" s="1">
        <v>45919</v>
      </c>
      <c r="G225" s="4">
        <f t="shared" si="54"/>
        <v>4.9483751248988739E-3</v>
      </c>
      <c r="H225" s="4">
        <f t="shared" si="55"/>
        <v>4.2075411817303898E-3</v>
      </c>
      <c r="I225" s="4">
        <f t="shared" si="56"/>
        <v>2.3019169274138829E-3</v>
      </c>
      <c r="T225">
        <v>219</v>
      </c>
      <c r="U225" s="4">
        <v>-1.4153707566096629E-2</v>
      </c>
      <c r="V225" s="4"/>
      <c r="W225">
        <v>220</v>
      </c>
      <c r="X225">
        <f t="shared" ca="1" si="57"/>
        <v>1.0363304926314603</v>
      </c>
      <c r="Y225">
        <f t="shared" ca="1" si="57"/>
        <v>-9.7333997389930829E-2</v>
      </c>
      <c r="Z225">
        <f t="shared" ca="1" si="57"/>
        <v>-0.12958503050708969</v>
      </c>
      <c r="AA225" s="4"/>
      <c r="AB225">
        <v>220</v>
      </c>
      <c r="AC225" s="24">
        <f t="shared" ca="1" si="47"/>
        <v>1.0363304926314603</v>
      </c>
      <c r="AD225" s="24">
        <f t="shared" ca="1" si="48"/>
        <v>0.85383039648518411</v>
      </c>
      <c r="AE225" s="24">
        <f t="shared" ca="1" si="49"/>
        <v>0.75324565276864663</v>
      </c>
      <c r="AF225" s="24"/>
      <c r="AG225">
        <v>220</v>
      </c>
      <c r="AH225">
        <f t="shared" ca="1" si="58"/>
        <v>314.9431481113586</v>
      </c>
      <c r="AI225">
        <f t="shared" ca="1" si="59"/>
        <v>167.20302864354494</v>
      </c>
      <c r="AJ225">
        <f t="shared" ca="1" si="60"/>
        <v>53.743879672581905</v>
      </c>
      <c r="AL225">
        <v>220</v>
      </c>
      <c r="AM225" s="4">
        <f t="shared" ca="1" si="50"/>
        <v>1.7784208979233718E-2</v>
      </c>
      <c r="AN225" s="4">
        <f t="shared" ca="1" si="51"/>
        <v>1.791692581961879E-2</v>
      </c>
      <c r="AO225" s="4">
        <f t="shared" ca="1" si="52"/>
        <v>1.3461831222289389E-2</v>
      </c>
      <c r="AP225" s="4">
        <f t="shared" ca="1" si="53"/>
        <v>1.6540582388304446E-2</v>
      </c>
    </row>
    <row r="226" spans="1:42" x14ac:dyDescent="0.3">
      <c r="A226" s="1">
        <v>45922</v>
      </c>
      <c r="B226" s="3">
        <f>Data!B223</f>
        <v>310.92834472656199</v>
      </c>
      <c r="C226" s="3">
        <f>Data!H223</f>
        <v>159.737533569335</v>
      </c>
      <c r="D226" s="3">
        <f>Data!N223</f>
        <v>51.919998168945298</v>
      </c>
      <c r="F226" s="1">
        <v>45922</v>
      </c>
      <c r="G226" s="4">
        <f t="shared" si="54"/>
        <v>-7.4337498438833416E-3</v>
      </c>
      <c r="H226" s="4">
        <f t="shared" si="55"/>
        <v>5.0027610179534943E-3</v>
      </c>
      <c r="I226" s="4">
        <f t="shared" si="56"/>
        <v>-6.3158245177933336E-3</v>
      </c>
      <c r="T226">
        <v>220</v>
      </c>
      <c r="U226" s="4">
        <v>-1.3914392263936237E-2</v>
      </c>
      <c r="V226" s="4"/>
      <c r="W226">
        <v>221</v>
      </c>
      <c r="X226">
        <f t="shared" ca="1" si="57"/>
        <v>2.0560013730888342</v>
      </c>
      <c r="Y226">
        <f t="shared" ca="1" si="57"/>
        <v>-0.7104110225711221</v>
      </c>
      <c r="Z226">
        <f t="shared" ca="1" si="57"/>
        <v>-0.15332337550855546</v>
      </c>
      <c r="AA226" s="4"/>
      <c r="AB226">
        <v>221</v>
      </c>
      <c r="AC226" s="24">
        <f t="shared" ca="1" si="47"/>
        <v>2.0560013730888342</v>
      </c>
      <c r="AD226" s="24">
        <f t="shared" ca="1" si="48"/>
        <v>1.439036931342716</v>
      </c>
      <c r="AE226" s="24">
        <f t="shared" ca="1" si="49"/>
        <v>1.4042429996873431</v>
      </c>
      <c r="AF226" s="24"/>
      <c r="AG226">
        <v>221</v>
      </c>
      <c r="AH226">
        <f t="shared" ca="1" si="58"/>
        <v>320.45158126958916</v>
      </c>
      <c r="AI226">
        <f t="shared" ca="1" si="59"/>
        <v>169.24986955484511</v>
      </c>
      <c r="AJ226">
        <f t="shared" ca="1" si="60"/>
        <v>54.368395547164077</v>
      </c>
      <c r="AL226">
        <v>221</v>
      </c>
      <c r="AM226" s="4">
        <f t="shared" ca="1" si="50"/>
        <v>3.5585505239479343E-2</v>
      </c>
      <c r="AN226" s="4">
        <f t="shared" ca="1" si="51"/>
        <v>3.0377908284920041E-2</v>
      </c>
      <c r="AO226" s="4">
        <f t="shared" ca="1" si="52"/>
        <v>2.5238483852083382E-2</v>
      </c>
      <c r="AP226" s="4">
        <f t="shared" ca="1" si="53"/>
        <v>3.0398360041436836E-2</v>
      </c>
    </row>
    <row r="227" spans="1:42" x14ac:dyDescent="0.3">
      <c r="A227" s="1">
        <v>45923</v>
      </c>
      <c r="B227" s="3">
        <f>Data!B224</f>
        <v>311.22686767578102</v>
      </c>
      <c r="C227" s="3">
        <f>Data!H224</f>
        <v>159.78723144531199</v>
      </c>
      <c r="D227" s="3">
        <f>Data!N224</f>
        <v>51.700000762939403</v>
      </c>
      <c r="F227" s="1">
        <v>45923</v>
      </c>
      <c r="G227" s="4">
        <f t="shared" si="54"/>
        <v>9.6010207587071683E-4</v>
      </c>
      <c r="H227" s="4">
        <f t="shared" si="55"/>
        <v>3.1112209426598092E-4</v>
      </c>
      <c r="I227" s="4">
        <f t="shared" si="56"/>
        <v>-4.2372383236616296E-3</v>
      </c>
      <c r="T227">
        <v>221</v>
      </c>
      <c r="U227" s="4">
        <v>-1.3879552862682153E-2</v>
      </c>
      <c r="V227" s="4"/>
      <c r="W227">
        <v>222</v>
      </c>
      <c r="X227">
        <f t="shared" ca="1" si="57"/>
        <v>1.2368684924257209</v>
      </c>
      <c r="Y227">
        <f t="shared" ca="1" si="57"/>
        <v>2.8887585975600301</v>
      </c>
      <c r="Z227">
        <f t="shared" ca="1" si="57"/>
        <v>-1.6176930486976528</v>
      </c>
      <c r="AA227" s="4"/>
      <c r="AB227">
        <v>222</v>
      </c>
      <c r="AC227" s="24">
        <f t="shared" ca="1" si="47"/>
        <v>1.2368684924257209</v>
      </c>
      <c r="AD227" s="24">
        <f t="shared" ca="1" si="48"/>
        <v>2.4997002128538885</v>
      </c>
      <c r="AE227" s="24">
        <f t="shared" ca="1" si="49"/>
        <v>0.98599302178147252</v>
      </c>
      <c r="AF227" s="24"/>
      <c r="AG227">
        <v>222</v>
      </c>
      <c r="AH227">
        <f t="shared" ca="1" si="58"/>
        <v>316.01895636946239</v>
      </c>
      <c r="AI227">
        <f t="shared" ca="1" si="59"/>
        <v>173.02376080729127</v>
      </c>
      <c r="AJ227">
        <f t="shared" ca="1" si="60"/>
        <v>53.966331063479558</v>
      </c>
      <c r="AL227">
        <v>222</v>
      </c>
      <c r="AM227" s="4">
        <f t="shared" ca="1" si="50"/>
        <v>2.1260838534610915E-2</v>
      </c>
      <c r="AN227" s="4">
        <f t="shared" ca="1" si="51"/>
        <v>5.3353017128535241E-2</v>
      </c>
      <c r="AO227" s="4">
        <f t="shared" ca="1" si="52"/>
        <v>1.7656652946187013E-2</v>
      </c>
      <c r="AP227" s="4">
        <f t="shared" ca="1" si="53"/>
        <v>3.3016454295653475E-2</v>
      </c>
    </row>
    <row r="228" spans="1:42" x14ac:dyDescent="0.3">
      <c r="A228" s="1">
        <v>45924</v>
      </c>
      <c r="B228" s="3">
        <f>Data!B225</f>
        <v>311.90362548828102</v>
      </c>
      <c r="C228" s="3">
        <f>Data!H225</f>
        <v>156.92466735839801</v>
      </c>
      <c r="D228" s="3">
        <f>Data!N225</f>
        <v>51.700000762939403</v>
      </c>
      <c r="F228" s="1">
        <v>45924</v>
      </c>
      <c r="G228" s="4">
        <f t="shared" si="54"/>
        <v>2.1744838983663861E-3</v>
      </c>
      <c r="H228" s="4">
        <f t="shared" si="55"/>
        <v>-1.7914848771215519E-2</v>
      </c>
      <c r="I228" s="4">
        <f t="shared" si="56"/>
        <v>0</v>
      </c>
      <c r="T228">
        <v>222</v>
      </c>
      <c r="U228" s="4">
        <v>-1.3864699882593999E-2</v>
      </c>
      <c r="V228" s="4"/>
      <c r="W228">
        <v>223</v>
      </c>
      <c r="X228">
        <f t="shared" ca="1" si="57"/>
        <v>-0.94432824896731293</v>
      </c>
      <c r="Y228">
        <f t="shared" ca="1" si="57"/>
        <v>1.1585006077647888</v>
      </c>
      <c r="Z228">
        <f t="shared" ca="1" si="57"/>
        <v>0.50628359098701381</v>
      </c>
      <c r="AA228" s="4"/>
      <c r="AB228">
        <v>223</v>
      </c>
      <c r="AC228" s="24">
        <f t="shared" ca="1" si="47"/>
        <v>-0.94432824896731293</v>
      </c>
      <c r="AD228" s="24">
        <f t="shared" ca="1" si="48"/>
        <v>-0.25089328606583461</v>
      </c>
      <c r="AE228" s="24">
        <f t="shared" ca="1" si="49"/>
        <v>-0.19403914423449603</v>
      </c>
      <c r="AF228" s="24"/>
      <c r="AG228">
        <v>223</v>
      </c>
      <c r="AH228">
        <f t="shared" ca="1" si="58"/>
        <v>304.51243230222394</v>
      </c>
      <c r="AI228">
        <f t="shared" ca="1" si="59"/>
        <v>163.40633351417111</v>
      </c>
      <c r="AJ228">
        <f t="shared" ca="1" si="60"/>
        <v>52.8479204940828</v>
      </c>
      <c r="AL228">
        <v>223</v>
      </c>
      <c r="AM228" s="4">
        <f t="shared" ca="1" si="50"/>
        <v>-1.5924153633352978E-2</v>
      </c>
      <c r="AN228" s="4">
        <f t="shared" ca="1" si="51"/>
        <v>-5.1970109656150898E-3</v>
      </c>
      <c r="AO228" s="4">
        <f t="shared" ca="1" si="52"/>
        <v>-3.4334959344762828E-3</v>
      </c>
      <c r="AP228" s="4">
        <f t="shared" ca="1" si="53"/>
        <v>-7.8860992565948137E-3</v>
      </c>
    </row>
    <row r="229" spans="1:42" x14ac:dyDescent="0.3">
      <c r="A229" s="1">
        <v>45925</v>
      </c>
      <c r="B229" s="3">
        <f>Data!B226</f>
        <v>311.93347167968699</v>
      </c>
      <c r="C229" s="3">
        <f>Data!H226</f>
        <v>157.98817443847599</v>
      </c>
      <c r="D229" s="3">
        <f>Data!N226</f>
        <v>51.849998474121001</v>
      </c>
      <c r="F229" s="1">
        <v>45925</v>
      </c>
      <c r="G229" s="4">
        <f t="shared" si="54"/>
        <v>9.5690427962313862E-5</v>
      </c>
      <c r="H229" s="4">
        <f t="shared" si="55"/>
        <v>6.7771823128932596E-3</v>
      </c>
      <c r="I229" s="4">
        <f t="shared" si="56"/>
        <v>2.9013096512200409E-3</v>
      </c>
      <c r="T229">
        <v>223</v>
      </c>
      <c r="U229" s="4">
        <v>-1.3858131685599386E-2</v>
      </c>
      <c r="V229" s="4"/>
      <c r="W229">
        <v>224</v>
      </c>
      <c r="X229">
        <f t="shared" ca="1" si="57"/>
        <v>0.93296011327371431</v>
      </c>
      <c r="Y229">
        <f t="shared" ca="1" si="57"/>
        <v>-0.39224021885728527</v>
      </c>
      <c r="Z229">
        <f t="shared" ca="1" si="57"/>
        <v>-0.79181797259591269</v>
      </c>
      <c r="AA229" s="4"/>
      <c r="AB229">
        <v>224</v>
      </c>
      <c r="AC229" s="24">
        <f t="shared" ca="1" si="47"/>
        <v>0.93296011327371431</v>
      </c>
      <c r="AD229" s="24">
        <f t="shared" ca="1" si="48"/>
        <v>0.61856789681494473</v>
      </c>
      <c r="AE229" s="24">
        <f t="shared" ca="1" si="49"/>
        <v>0.2513706281236826</v>
      </c>
      <c r="AF229" s="24"/>
      <c r="AG229">
        <v>224</v>
      </c>
      <c r="AH229">
        <f t="shared" ca="1" si="58"/>
        <v>314.39003752489776</v>
      </c>
      <c r="AI229">
        <f t="shared" ca="1" si="59"/>
        <v>166.38715836228519</v>
      </c>
      <c r="AJ229">
        <f t="shared" ca="1" si="60"/>
        <v>53.267321372037244</v>
      </c>
      <c r="AL229">
        <v>224</v>
      </c>
      <c r="AM229" s="4">
        <f t="shared" ca="1" si="50"/>
        <v>1.5996752341123299E-2</v>
      </c>
      <c r="AN229" s="4">
        <f t="shared" ca="1" si="51"/>
        <v>1.2949981289337442E-2</v>
      </c>
      <c r="AO229" s="4">
        <f t="shared" ca="1" si="52"/>
        <v>4.4752517104167389E-3</v>
      </c>
      <c r="AP229" s="4">
        <f t="shared" ca="1" si="53"/>
        <v>1.1321593731196988E-2</v>
      </c>
    </row>
    <row r="230" spans="1:42" x14ac:dyDescent="0.3">
      <c r="A230" s="1">
        <v>45926</v>
      </c>
      <c r="B230" s="3">
        <f>Data!B227</f>
        <v>314.53082275390602</v>
      </c>
      <c r="C230" s="3">
        <f>Data!H227</f>
        <v>159.14115905761699</v>
      </c>
      <c r="D230" s="3">
        <f>Data!N227</f>
        <v>52.209999084472599</v>
      </c>
      <c r="F230" s="1">
        <v>45926</v>
      </c>
      <c r="G230" s="4">
        <f t="shared" si="54"/>
        <v>8.3266186864554559E-3</v>
      </c>
      <c r="H230" s="4">
        <f t="shared" si="55"/>
        <v>7.2979172222158439E-3</v>
      </c>
      <c r="I230" s="4">
        <f t="shared" si="56"/>
        <v>6.9431170867106928E-3</v>
      </c>
      <c r="T230">
        <v>224</v>
      </c>
      <c r="U230" s="4">
        <v>-1.3772524327917713E-2</v>
      </c>
      <c r="V230" s="4"/>
      <c r="W230">
        <v>225</v>
      </c>
      <c r="X230">
        <f t="shared" ca="1" si="57"/>
        <v>-0.82625208240981873</v>
      </c>
      <c r="Y230">
        <f t="shared" ca="1" si="57"/>
        <v>0.46195081015536266</v>
      </c>
      <c r="Z230">
        <f t="shared" ca="1" si="57"/>
        <v>-0.17955234645540719</v>
      </c>
      <c r="AA230" s="4"/>
      <c r="AB230">
        <v>225</v>
      </c>
      <c r="AC230" s="24">
        <f t="shared" ca="1" si="47"/>
        <v>-0.82625208240981873</v>
      </c>
      <c r="AD230" s="24">
        <f t="shared" ca="1" si="48"/>
        <v>-0.49136387294390743</v>
      </c>
      <c r="AE230" s="24">
        <f t="shared" ca="1" si="49"/>
        <v>-0.63801478481463492</v>
      </c>
      <c r="AF230" s="24"/>
      <c r="AG230">
        <v>225</v>
      </c>
      <c r="AH230">
        <f t="shared" ca="1" si="58"/>
        <v>305.12445661724325</v>
      </c>
      <c r="AI230">
        <f t="shared" ca="1" si="59"/>
        <v>162.59138228041246</v>
      </c>
      <c r="AJ230">
        <f t="shared" ca="1" si="60"/>
        <v>52.433156258600881</v>
      </c>
      <c r="AL230">
        <v>225</v>
      </c>
      <c r="AM230" s="4">
        <f t="shared" ca="1" si="50"/>
        <v>-1.3946308783978068E-2</v>
      </c>
      <c r="AN230" s="4">
        <f t="shared" ca="1" si="51"/>
        <v>-1.015836041777729E-2</v>
      </c>
      <c r="AO230" s="4">
        <f t="shared" ca="1" si="52"/>
        <v>-1.1254809248249953E-2</v>
      </c>
      <c r="AP230" s="4">
        <f t="shared" ca="1" si="53"/>
        <v>-1.1623679576779322E-2</v>
      </c>
    </row>
    <row r="231" spans="1:42" x14ac:dyDescent="0.3">
      <c r="A231" s="1">
        <v>45929</v>
      </c>
      <c r="B231" s="3">
        <f>Data!B228</f>
        <v>314.16262817382801</v>
      </c>
      <c r="C231" s="3">
        <f>Data!H228</f>
        <v>160.184814453125</v>
      </c>
      <c r="D231" s="3">
        <f>Data!N228</f>
        <v>52.419998168945298</v>
      </c>
      <c r="F231" s="1">
        <v>45929</v>
      </c>
      <c r="G231" s="4">
        <f t="shared" si="54"/>
        <v>-1.1706152575262641E-3</v>
      </c>
      <c r="H231" s="4">
        <f t="shared" si="55"/>
        <v>6.5580482239051552E-3</v>
      </c>
      <c r="I231" s="4">
        <f t="shared" si="56"/>
        <v>4.0222005009602491E-3</v>
      </c>
      <c r="T231">
        <v>225</v>
      </c>
      <c r="U231" s="4">
        <v>-1.3716598050674579E-2</v>
      </c>
      <c r="V231" s="4"/>
      <c r="W231">
        <v>226</v>
      </c>
      <c r="X231">
        <f t="shared" ca="1" si="57"/>
        <v>0.39887859096364114</v>
      </c>
      <c r="Y231">
        <f t="shared" ca="1" si="57"/>
        <v>-0.9523929864682994</v>
      </c>
      <c r="Z231">
        <f t="shared" ca="1" si="57"/>
        <v>1.1278294104089206</v>
      </c>
      <c r="AA231" s="4"/>
      <c r="AB231">
        <v>226</v>
      </c>
      <c r="AC231" s="24">
        <f t="shared" ca="1" si="47"/>
        <v>0.39887859096364114</v>
      </c>
      <c r="AD231" s="24">
        <f t="shared" ca="1" si="48"/>
        <v>-0.12218693147140758</v>
      </c>
      <c r="AE231" s="24">
        <f t="shared" ca="1" si="49"/>
        <v>0.63506146543178899</v>
      </c>
      <c r="AF231" s="24"/>
      <c r="AG231">
        <v>226</v>
      </c>
      <c r="AH231">
        <f t="shared" ca="1" si="58"/>
        <v>311.54773000707399</v>
      </c>
      <c r="AI231">
        <f t="shared" ca="1" si="59"/>
        <v>163.84419434042442</v>
      </c>
      <c r="AJ231">
        <f t="shared" ca="1" si="60"/>
        <v>53.631274820928574</v>
      </c>
      <c r="AL231">
        <v>226</v>
      </c>
      <c r="AM231" s="4">
        <f t="shared" ca="1" si="50"/>
        <v>6.8114256367584058E-3</v>
      </c>
      <c r="AN231" s="4">
        <f t="shared" ca="1" si="51"/>
        <v>-2.5313538312170536E-3</v>
      </c>
      <c r="AO231" s="4">
        <f t="shared" ca="1" si="52"/>
        <v>1.1338413265559399E-2</v>
      </c>
      <c r="AP231" s="4">
        <f t="shared" ca="1" si="53"/>
        <v>4.4324101382085196E-3</v>
      </c>
    </row>
    <row r="232" spans="1:42" x14ac:dyDescent="0.3">
      <c r="A232" s="1">
        <v>45930</v>
      </c>
      <c r="B232" s="3">
        <f>Data!B229</f>
        <v>313.90386962890602</v>
      </c>
      <c r="C232" s="3">
        <f>Data!H229</f>
        <v>157.998123168945</v>
      </c>
      <c r="D232" s="3">
        <f>Data!N229</f>
        <v>51.590000152587798</v>
      </c>
      <c r="F232" s="1">
        <v>45930</v>
      </c>
      <c r="G232" s="4">
        <f t="shared" si="54"/>
        <v>-8.2364521339184371E-4</v>
      </c>
      <c r="H232" s="4">
        <f t="shared" si="55"/>
        <v>-1.3651052327559365E-2</v>
      </c>
      <c r="I232" s="4">
        <f t="shared" si="56"/>
        <v>-1.5833613989883921E-2</v>
      </c>
      <c r="T232">
        <v>226</v>
      </c>
      <c r="U232" s="4">
        <v>-1.3715356609598096E-2</v>
      </c>
      <c r="V232" s="4"/>
      <c r="W232">
        <v>227</v>
      </c>
      <c r="X232">
        <f t="shared" ca="1" si="57"/>
        <v>-0.7110262625005882</v>
      </c>
      <c r="Y232">
        <f t="shared" ca="1" si="57"/>
        <v>-0.64049154961142585</v>
      </c>
      <c r="Z232">
        <f t="shared" ca="1" si="57"/>
        <v>-0.88865747052672861</v>
      </c>
      <c r="AA232" s="4"/>
      <c r="AB232">
        <v>227</v>
      </c>
      <c r="AC232" s="24">
        <f t="shared" ca="1" si="47"/>
        <v>-0.7110262625005882</v>
      </c>
      <c r="AD232" s="24">
        <f t="shared" ca="1" si="48"/>
        <v>-0.93431413618624004</v>
      </c>
      <c r="AE232" s="24">
        <f t="shared" ca="1" si="49"/>
        <v>-1.2081716948290697</v>
      </c>
      <c r="AF232" s="24"/>
      <c r="AG232">
        <v>227</v>
      </c>
      <c r="AH232">
        <f t="shared" ca="1" si="58"/>
        <v>305.72289260296969</v>
      </c>
      <c r="AI232">
        <f t="shared" ca="1" si="59"/>
        <v>161.10085412659669</v>
      </c>
      <c r="AJ232">
        <f t="shared" ca="1" si="60"/>
        <v>51.905283667482401</v>
      </c>
      <c r="AL232">
        <v>227</v>
      </c>
      <c r="AM232" s="4">
        <f t="shared" ca="1" si="50"/>
        <v>-1.2012376580627038E-2</v>
      </c>
      <c r="AN232" s="4">
        <f t="shared" ca="1" si="51"/>
        <v>-1.9232561097564549E-2</v>
      </c>
      <c r="AO232" s="4">
        <f t="shared" ca="1" si="52"/>
        <v>-2.120903521976869E-2</v>
      </c>
      <c r="AP232" s="4">
        <f t="shared" ca="1" si="53"/>
        <v>-1.7659447979144538E-2</v>
      </c>
    </row>
    <row r="233" spans="1:42" x14ac:dyDescent="0.3">
      <c r="A233" s="1">
        <v>45931</v>
      </c>
      <c r="B233" s="3">
        <f>Data!B230</f>
        <v>309.20669555664</v>
      </c>
      <c r="C233" s="3">
        <f>Data!H230</f>
        <v>155.94064331054599</v>
      </c>
      <c r="D233" s="3">
        <f>Data!N230</f>
        <v>50.680000305175703</v>
      </c>
      <c r="F233" s="1">
        <v>45931</v>
      </c>
      <c r="G233" s="4">
        <f t="shared" si="54"/>
        <v>-1.496373420888053E-2</v>
      </c>
      <c r="H233" s="4">
        <f t="shared" si="55"/>
        <v>-1.3022179106513598E-2</v>
      </c>
      <c r="I233" s="4">
        <f t="shared" si="56"/>
        <v>-1.763907433069567E-2</v>
      </c>
      <c r="T233">
        <v>227</v>
      </c>
      <c r="U233" s="4">
        <v>-1.3651065588274202E-2</v>
      </c>
      <c r="V233" s="4"/>
      <c r="W233">
        <v>228</v>
      </c>
      <c r="X233">
        <f t="shared" ca="1" si="57"/>
        <v>1.0823872374393422</v>
      </c>
      <c r="Y233">
        <f t="shared" ca="1" si="57"/>
        <v>-0.10166190625096883</v>
      </c>
      <c r="Z233">
        <f t="shared" ca="1" si="57"/>
        <v>0.58589948800737024</v>
      </c>
      <c r="AA233" s="4"/>
      <c r="AB233">
        <v>228</v>
      </c>
      <c r="AC233" s="24">
        <f t="shared" ca="1" si="47"/>
        <v>1.0823872374393422</v>
      </c>
      <c r="AD233" s="24">
        <f t="shared" ca="1" si="48"/>
        <v>0.89177537342408741</v>
      </c>
      <c r="AE233" s="24">
        <f t="shared" ca="1" si="49"/>
        <v>1.1527631814699872</v>
      </c>
      <c r="AF233" s="24"/>
      <c r="AG233">
        <v>228</v>
      </c>
      <c r="AH233">
        <f t="shared" ca="1" si="58"/>
        <v>315.18990018682314</v>
      </c>
      <c r="AI233">
        <f t="shared" ca="1" si="59"/>
        <v>167.33499273149269</v>
      </c>
      <c r="AJ233">
        <f t="shared" ca="1" si="60"/>
        <v>54.126289872531395</v>
      </c>
      <c r="AL233">
        <v>228</v>
      </c>
      <c r="AM233" s="4">
        <f t="shared" ca="1" si="50"/>
        <v>1.8581623901408495E-2</v>
      </c>
      <c r="AN233" s="4">
        <f t="shared" ca="1" si="51"/>
        <v>1.8720311259536437E-2</v>
      </c>
      <c r="AO233" s="4">
        <f t="shared" ca="1" si="52"/>
        <v>2.0673036365646658E-2</v>
      </c>
      <c r="AP233" s="4">
        <f t="shared" ca="1" si="53"/>
        <v>1.9264522583931118E-2</v>
      </c>
    </row>
    <row r="234" spans="1:42" x14ac:dyDescent="0.3">
      <c r="A234" s="1">
        <v>45932</v>
      </c>
      <c r="B234" s="3">
        <f>Data!B231</f>
        <v>306.06198120117102</v>
      </c>
      <c r="C234" s="3">
        <f>Data!H231</f>
        <v>154.36027526855401</v>
      </c>
      <c r="D234" s="3">
        <f>Data!N231</f>
        <v>50.4799995422363</v>
      </c>
      <c r="F234" s="1">
        <v>45932</v>
      </c>
      <c r="G234" s="4">
        <f t="shared" si="54"/>
        <v>-1.0170266040998244E-2</v>
      </c>
      <c r="H234" s="4">
        <f t="shared" si="55"/>
        <v>-1.0134420433579927E-2</v>
      </c>
      <c r="I234" s="4">
        <f t="shared" si="56"/>
        <v>-3.9463449434703479E-3</v>
      </c>
      <c r="T234">
        <v>228</v>
      </c>
      <c r="U234" s="4">
        <v>-1.3498840315224182E-2</v>
      </c>
      <c r="V234" s="4"/>
      <c r="W234">
        <v>229</v>
      </c>
      <c r="X234">
        <f t="shared" ca="1" si="57"/>
        <v>-0.18463525228706856</v>
      </c>
      <c r="Y234">
        <f t="shared" ca="1" si="57"/>
        <v>0.61979487772777664</v>
      </c>
      <c r="Z234">
        <f t="shared" ca="1" si="57"/>
        <v>-1.0160896053670427</v>
      </c>
      <c r="AA234" s="4"/>
      <c r="AB234">
        <v>229</v>
      </c>
      <c r="AC234" s="24">
        <f t="shared" ca="1" si="47"/>
        <v>-0.18463525228706856</v>
      </c>
      <c r="AD234" s="24">
        <f t="shared" ca="1" si="48"/>
        <v>0.14473222213414041</v>
      </c>
      <c r="AE234" s="24">
        <f t="shared" ca="1" si="49"/>
        <v>-0.49529319654044379</v>
      </c>
      <c r="AF234" s="24"/>
      <c r="AG234">
        <v>229</v>
      </c>
      <c r="AH234">
        <f t="shared" ca="1" si="58"/>
        <v>308.47171641014097</v>
      </c>
      <c r="AI234">
        <f t="shared" ca="1" si="59"/>
        <v>164.75600034257826</v>
      </c>
      <c r="AJ234">
        <f t="shared" ca="1" si="60"/>
        <v>52.566131221229305</v>
      </c>
      <c r="AL234">
        <v>229</v>
      </c>
      <c r="AM234" s="4">
        <f t="shared" ca="1" si="50"/>
        <v>-3.1291559708683803E-3</v>
      </c>
      <c r="AN234" s="4">
        <f t="shared" ca="1" si="51"/>
        <v>3.0196386967651367E-3</v>
      </c>
      <c r="AO234" s="4">
        <f t="shared" ca="1" si="52"/>
        <v>-8.7472669950086068E-3</v>
      </c>
      <c r="AP234" s="4">
        <f t="shared" ca="1" si="53"/>
        <v>-2.3550714110570411E-3</v>
      </c>
    </row>
    <row r="235" spans="1:42" x14ac:dyDescent="0.3">
      <c r="A235" s="1">
        <v>45933</v>
      </c>
      <c r="B235" s="3">
        <f>Data!B232</f>
        <v>308.52999877929602</v>
      </c>
      <c r="C235" s="3">
        <f>Data!H232</f>
        <v>156.63641357421801</v>
      </c>
      <c r="D235" s="3">
        <f>Data!N232</f>
        <v>50.639999389648402</v>
      </c>
      <c r="F235" s="1">
        <v>45933</v>
      </c>
      <c r="G235" s="4">
        <f t="shared" si="54"/>
        <v>8.0637835788652801E-3</v>
      </c>
      <c r="H235" s="4">
        <f t="shared" si="55"/>
        <v>1.4745622225044608E-2</v>
      </c>
      <c r="I235" s="4">
        <f t="shared" si="56"/>
        <v>3.1695691137680893E-3</v>
      </c>
      <c r="T235">
        <v>229</v>
      </c>
      <c r="U235" s="4">
        <v>-1.3426714249987627E-2</v>
      </c>
      <c r="V235" s="4"/>
      <c r="W235">
        <v>230</v>
      </c>
      <c r="X235">
        <f t="shared" ca="1" si="57"/>
        <v>-0.80289929077898614</v>
      </c>
      <c r="Y235">
        <f t="shared" ca="1" si="57"/>
        <v>-0.33758835439293239</v>
      </c>
      <c r="Z235">
        <f t="shared" ca="1" si="57"/>
        <v>0.34939892244663845</v>
      </c>
      <c r="AA235" s="4"/>
      <c r="AB235">
        <v>230</v>
      </c>
      <c r="AC235" s="24">
        <f t="shared" ca="1" si="47"/>
        <v>-0.80289929077898614</v>
      </c>
      <c r="AD235" s="24">
        <f t="shared" ca="1" si="48"/>
        <v>-0.86500748775675784</v>
      </c>
      <c r="AE235" s="24">
        <f t="shared" ca="1" si="49"/>
        <v>-0.57121272136983625</v>
      </c>
      <c r="AF235" s="24"/>
      <c r="AG235">
        <v>230</v>
      </c>
      <c r="AH235">
        <f t="shared" ca="1" si="58"/>
        <v>305.24564678624853</v>
      </c>
      <c r="AI235">
        <f t="shared" ca="1" si="59"/>
        <v>161.33316614951471</v>
      </c>
      <c r="AJ235">
        <f t="shared" ca="1" si="60"/>
        <v>52.49535440215255</v>
      </c>
      <c r="AL235">
        <v>230</v>
      </c>
      <c r="AM235" s="4">
        <f t="shared" ca="1" si="50"/>
        <v>-1.3554665272961008E-2</v>
      </c>
      <c r="AN235" s="4">
        <f t="shared" ca="1" si="51"/>
        <v>-1.7818266499445845E-2</v>
      </c>
      <c r="AO235" s="4">
        <f t="shared" ca="1" si="52"/>
        <v>-1.0081923240642721E-2</v>
      </c>
      <c r="AP235" s="4">
        <f t="shared" ca="1" si="53"/>
        <v>-1.4218283153859458E-2</v>
      </c>
    </row>
    <row r="236" spans="1:42" x14ac:dyDescent="0.3">
      <c r="A236" s="1">
        <v>45936</v>
      </c>
      <c r="B236" s="3">
        <f>Data!B233</f>
        <v>309.17999267578102</v>
      </c>
      <c r="C236" s="3">
        <f>Data!H233</f>
        <v>157.133377075195</v>
      </c>
      <c r="D236" s="3">
        <f>Data!N233</f>
        <v>50.389999389648402</v>
      </c>
      <c r="F236" s="1">
        <v>45936</v>
      </c>
      <c r="G236" s="4">
        <f t="shared" si="54"/>
        <v>2.106744559870144E-3</v>
      </c>
      <c r="H236" s="4">
        <f t="shared" si="55"/>
        <v>3.1727201206730449E-3</v>
      </c>
      <c r="I236" s="4">
        <f t="shared" si="56"/>
        <v>-4.9368089062635789E-3</v>
      </c>
      <c r="T236">
        <v>230</v>
      </c>
      <c r="U236" s="4">
        <v>-1.3417474568568321E-2</v>
      </c>
      <c r="V236" s="4"/>
      <c r="W236">
        <v>231</v>
      </c>
      <c r="X236">
        <f t="shared" ca="1" si="57"/>
        <v>2.1105622125850965</v>
      </c>
      <c r="Y236">
        <f t="shared" ca="1" si="57"/>
        <v>-0.52045138741369457</v>
      </c>
      <c r="Z236">
        <f t="shared" ca="1" si="57"/>
        <v>0.77953136049340399</v>
      </c>
      <c r="AA236" s="4"/>
      <c r="AB236">
        <v>231</v>
      </c>
      <c r="AC236" s="24">
        <f t="shared" ca="1" si="47"/>
        <v>2.1105622125850965</v>
      </c>
      <c r="AD236" s="24">
        <f t="shared" ca="1" si="48"/>
        <v>1.5801151560581277</v>
      </c>
      <c r="AE236" s="24">
        <f t="shared" ca="1" si="49"/>
        <v>1.9746529713961709</v>
      </c>
      <c r="AF236" s="24"/>
      <c r="AG236">
        <v>231</v>
      </c>
      <c r="AH236">
        <f t="shared" ca="1" si="58"/>
        <v>320.74902873934269</v>
      </c>
      <c r="AI236">
        <f t="shared" ca="1" si="59"/>
        <v>169.74704701167693</v>
      </c>
      <c r="AJ236">
        <f t="shared" ca="1" si="60"/>
        <v>54.921564445877223</v>
      </c>
      <c r="AL236">
        <v>231</v>
      </c>
      <c r="AM236" s="4">
        <f t="shared" ca="1" si="50"/>
        <v>3.6546749640354204E-2</v>
      </c>
      <c r="AN236" s="4">
        <f t="shared" ca="1" si="51"/>
        <v>3.3404679704975848E-2</v>
      </c>
      <c r="AO236" s="4">
        <f t="shared" ca="1" si="52"/>
        <v>3.5669728646475107E-2</v>
      </c>
      <c r="AP236" s="4">
        <f t="shared" ca="1" si="53"/>
        <v>3.502681536803913E-2</v>
      </c>
    </row>
    <row r="237" spans="1:42" x14ac:dyDescent="0.3">
      <c r="A237" s="1">
        <v>45937</v>
      </c>
      <c r="B237" s="3">
        <f>Data!B234</f>
        <v>307.69000244140602</v>
      </c>
      <c r="C237" s="3">
        <f>Data!H234</f>
        <v>155.02621459960901</v>
      </c>
      <c r="D237" s="3">
        <f>Data!N234</f>
        <v>50.290000915527301</v>
      </c>
      <c r="F237" s="1">
        <v>45937</v>
      </c>
      <c r="G237" s="4">
        <f t="shared" si="54"/>
        <v>-4.8191677006004241E-3</v>
      </c>
      <c r="H237" s="4">
        <f t="shared" si="55"/>
        <v>-1.3410024749723415E-2</v>
      </c>
      <c r="I237" s="4">
        <f t="shared" si="56"/>
        <v>-1.9844904808957731E-3</v>
      </c>
      <c r="T237">
        <v>231</v>
      </c>
      <c r="U237" s="4">
        <v>-1.3388019302544893E-2</v>
      </c>
      <c r="V237" s="4"/>
      <c r="W237">
        <v>232</v>
      </c>
      <c r="X237">
        <f t="shared" ca="1" si="57"/>
        <v>0.68919242878543285</v>
      </c>
      <c r="Y237">
        <f t="shared" ca="1" si="57"/>
        <v>-1.1090573137133337</v>
      </c>
      <c r="Z237">
        <f t="shared" ca="1" si="57"/>
        <v>-0.90831568280132602</v>
      </c>
      <c r="AA237" s="4"/>
      <c r="AB237">
        <v>232</v>
      </c>
      <c r="AC237" s="24">
        <f t="shared" ca="1" si="47"/>
        <v>0.68919242878543285</v>
      </c>
      <c r="AD237" s="24">
        <f t="shared" ca="1" si="48"/>
        <v>5.3242695395018691E-2</v>
      </c>
      <c r="AE237" s="24">
        <f t="shared" ca="1" si="49"/>
        <v>-0.20459842828505298</v>
      </c>
      <c r="AF237" s="24"/>
      <c r="AG237">
        <v>232</v>
      </c>
      <c r="AH237">
        <f t="shared" ca="1" si="58"/>
        <v>313.08953726572793</v>
      </c>
      <c r="AI237">
        <f t="shared" ca="1" si="59"/>
        <v>164.44289849535735</v>
      </c>
      <c r="AJ237">
        <f t="shared" ca="1" si="60"/>
        <v>52.838017973203819</v>
      </c>
      <c r="AL237">
        <v>232</v>
      </c>
      <c r="AM237" s="4">
        <f t="shared" ca="1" si="50"/>
        <v>1.1793998175827269E-2</v>
      </c>
      <c r="AN237" s="4">
        <f t="shared" ca="1" si="51"/>
        <v>1.1135029504383276E-3</v>
      </c>
      <c r="AO237" s="4">
        <f t="shared" ca="1" si="52"/>
        <v>-3.6202302566887834E-3</v>
      </c>
      <c r="AP237" s="4">
        <f t="shared" ca="1" si="53"/>
        <v>2.8975315559168768E-3</v>
      </c>
    </row>
    <row r="238" spans="1:42" x14ac:dyDescent="0.3">
      <c r="A238" s="1">
        <v>45938</v>
      </c>
      <c r="B238" s="3">
        <f>Data!B235</f>
        <v>304.02999877929602</v>
      </c>
      <c r="C238" s="3">
        <f>Data!H235</f>
        <v>154.70814514160099</v>
      </c>
      <c r="D238" s="3">
        <f>Data!N235</f>
        <v>49.840000152587798</v>
      </c>
      <c r="F238" s="1">
        <v>45938</v>
      </c>
      <c r="G238" s="4">
        <f t="shared" si="54"/>
        <v>-1.1895101020732657E-2</v>
      </c>
      <c r="H238" s="4">
        <f t="shared" si="55"/>
        <v>-2.0517140202996886E-3</v>
      </c>
      <c r="I238" s="4">
        <f t="shared" si="56"/>
        <v>-8.9481160220175049E-3</v>
      </c>
      <c r="T238">
        <v>232</v>
      </c>
      <c r="U238" s="4">
        <v>-1.3296897438073841E-2</v>
      </c>
      <c r="V238" s="4"/>
      <c r="W238">
        <v>233</v>
      </c>
      <c r="X238">
        <f t="shared" ca="1" si="57"/>
        <v>0.43930649499049462</v>
      </c>
      <c r="Y238">
        <f t="shared" ca="1" si="57"/>
        <v>1.341695720114036</v>
      </c>
      <c r="Z238">
        <f t="shared" ca="1" si="57"/>
        <v>-1.2682248346589848</v>
      </c>
      <c r="AA238" s="4"/>
      <c r="AB238">
        <v>233</v>
      </c>
      <c r="AC238" s="24">
        <f t="shared" ca="1" si="47"/>
        <v>0.43930649499049462</v>
      </c>
      <c r="AD238" s="24">
        <f t="shared" ca="1" si="48"/>
        <v>1.0433810250976367</v>
      </c>
      <c r="AE238" s="24">
        <f t="shared" ca="1" si="49"/>
        <v>8.5300563277006969E-2</v>
      </c>
      <c r="AF238" s="24"/>
      <c r="AG238">
        <v>233</v>
      </c>
      <c r="AH238">
        <f t="shared" ca="1" si="58"/>
        <v>311.76197981465674</v>
      </c>
      <c r="AI238">
        <f t="shared" ca="1" si="59"/>
        <v>167.86328324742672</v>
      </c>
      <c r="AJ238">
        <f t="shared" ca="1" si="60"/>
        <v>53.110560933993433</v>
      </c>
      <c r="AL238">
        <v>233</v>
      </c>
      <c r="AM238" s="4">
        <f t="shared" ca="1" si="50"/>
        <v>7.5038047923050577E-3</v>
      </c>
      <c r="AN238" s="4">
        <f t="shared" ca="1" si="51"/>
        <v>2.1936496171268249E-2</v>
      </c>
      <c r="AO238" s="4">
        <f t="shared" ca="1" si="52"/>
        <v>1.5191807759966647E-3</v>
      </c>
      <c r="AP238" s="4">
        <f t="shared" ca="1" si="53"/>
        <v>1.1481494138997817E-2</v>
      </c>
    </row>
    <row r="239" spans="1:42" x14ac:dyDescent="0.3">
      <c r="A239" s="1">
        <v>45939</v>
      </c>
      <c r="B239" s="3">
        <f>Data!B236</f>
        <v>305.52999877929602</v>
      </c>
      <c r="C239" s="3">
        <f>Data!H236</f>
        <v>155.32440185546801</v>
      </c>
      <c r="D239" s="3">
        <f>Data!N236</f>
        <v>49.790000915527301</v>
      </c>
      <c r="F239" s="1">
        <v>45939</v>
      </c>
      <c r="G239" s="4">
        <f t="shared" si="54"/>
        <v>4.9337236655020433E-3</v>
      </c>
      <c r="H239" s="4">
        <f t="shared" si="55"/>
        <v>3.9833501545958327E-3</v>
      </c>
      <c r="I239" s="4">
        <f t="shared" si="56"/>
        <v>-1.0031949620269431E-3</v>
      </c>
      <c r="T239">
        <v>233</v>
      </c>
      <c r="U239" s="4">
        <v>-1.329649427338998E-2</v>
      </c>
      <c r="V239" s="4"/>
      <c r="W239">
        <v>234</v>
      </c>
      <c r="X239">
        <f t="shared" ca="1" si="57"/>
        <v>-0.56968277090552766</v>
      </c>
      <c r="Y239">
        <f t="shared" ca="1" si="57"/>
        <v>0.54034897637121548</v>
      </c>
      <c r="Z239">
        <f t="shared" ca="1" si="57"/>
        <v>-0.99598795253909778</v>
      </c>
      <c r="AA239" s="4"/>
      <c r="AB239">
        <v>234</v>
      </c>
      <c r="AC239" s="24">
        <f t="shared" ca="1" si="47"/>
        <v>-0.56968277090552766</v>
      </c>
      <c r="AD239" s="24">
        <f t="shared" ca="1" si="48"/>
        <v>-0.22947333128649589</v>
      </c>
      <c r="AE239" s="24">
        <f t="shared" ca="1" si="49"/>
        <v>-0.82130819542092082</v>
      </c>
      <c r="AF239" s="24"/>
      <c r="AG239">
        <v>234</v>
      </c>
      <c r="AH239">
        <f t="shared" ca="1" si="58"/>
        <v>306.45857628767715</v>
      </c>
      <c r="AI239">
        <f t="shared" ca="1" si="59"/>
        <v>163.47912325071235</v>
      </c>
      <c r="AJ239">
        <f t="shared" ca="1" si="60"/>
        <v>52.26287346393763</v>
      </c>
      <c r="AL239">
        <v>234</v>
      </c>
      <c r="AM239" s="4">
        <f t="shared" ca="1" si="50"/>
        <v>-9.63490864208294E-3</v>
      </c>
      <c r="AN239" s="4">
        <f t="shared" ca="1" si="51"/>
        <v>-4.7538736286160121E-3</v>
      </c>
      <c r="AO239" s="4">
        <f t="shared" ca="1" si="52"/>
        <v>-1.4465874656189093E-2</v>
      </c>
      <c r="AP239" s="4">
        <f t="shared" ca="1" si="53"/>
        <v>-9.1317844409280133E-3</v>
      </c>
    </row>
    <row r="240" spans="1:42" x14ac:dyDescent="0.3">
      <c r="A240" s="1">
        <v>45940</v>
      </c>
      <c r="B240" s="3">
        <f>Data!B237</f>
        <v>300.89001464843699</v>
      </c>
      <c r="C240" s="3">
        <f>Data!H237</f>
        <v>150.94108581542901</v>
      </c>
      <c r="D240" s="3">
        <f>Data!N237</f>
        <v>48.650001525878899</v>
      </c>
      <c r="F240" s="1">
        <v>45940</v>
      </c>
      <c r="G240" s="4">
        <f t="shared" si="54"/>
        <v>-1.5186672828846448E-2</v>
      </c>
      <c r="H240" s="4">
        <f t="shared" si="55"/>
        <v>-2.8220395428387057E-2</v>
      </c>
      <c r="I240" s="4">
        <f t="shared" si="56"/>
        <v>-2.289615120880395E-2</v>
      </c>
      <c r="T240">
        <v>234</v>
      </c>
      <c r="U240" s="4">
        <v>-1.3292924975660435E-2</v>
      </c>
      <c r="V240" s="4"/>
      <c r="W240">
        <v>235</v>
      </c>
      <c r="X240">
        <f t="shared" ca="1" si="57"/>
        <v>-0.30237148525400065</v>
      </c>
      <c r="Y240">
        <f t="shared" ca="1" si="57"/>
        <v>0.26304954044150675</v>
      </c>
      <c r="Z240">
        <f t="shared" ca="1" si="57"/>
        <v>4.7009827818741606E-2</v>
      </c>
      <c r="AA240" s="4"/>
      <c r="AB240">
        <v>235</v>
      </c>
      <c r="AC240" s="24">
        <f t="shared" ca="1" si="47"/>
        <v>-0.30237148525400065</v>
      </c>
      <c r="AD240" s="24">
        <f t="shared" ca="1" si="48"/>
        <v>-0.1335016957061449</v>
      </c>
      <c r="AE240" s="24">
        <f t="shared" ca="1" si="49"/>
        <v>-0.15033157717996773</v>
      </c>
      <c r="AF240" s="24"/>
      <c r="AG240">
        <v>235</v>
      </c>
      <c r="AH240">
        <f t="shared" ca="1" si="58"/>
        <v>307.85475762386227</v>
      </c>
      <c r="AI240">
        <f t="shared" ca="1" si="59"/>
        <v>163.80565436045012</v>
      </c>
      <c r="AJ240">
        <f t="shared" ca="1" si="60"/>
        <v>52.888929294460638</v>
      </c>
      <c r="AL240">
        <v>235</v>
      </c>
      <c r="AM240" s="4">
        <f t="shared" ca="1" si="50"/>
        <v>-5.1229472758420602E-3</v>
      </c>
      <c r="AN240" s="4">
        <f t="shared" ca="1" si="51"/>
        <v>-2.7659817458838276E-3</v>
      </c>
      <c r="AO240" s="4">
        <f t="shared" ca="1" si="52"/>
        <v>-2.6601826906176296E-3</v>
      </c>
      <c r="AP240" s="4">
        <f t="shared" ca="1" si="53"/>
        <v>-3.4413316882914379E-3</v>
      </c>
    </row>
    <row r="241" spans="1:42" x14ac:dyDescent="0.3">
      <c r="A241" s="1">
        <v>45943</v>
      </c>
      <c r="B241" s="3">
        <f>Data!B238</f>
        <v>307.97000122070301</v>
      </c>
      <c r="C241" s="3">
        <f>Data!H238</f>
        <v>154.19129943847599</v>
      </c>
      <c r="D241" s="3">
        <f>Data!N238</f>
        <v>48.860000610351499</v>
      </c>
      <c r="F241" s="1">
        <v>45943</v>
      </c>
      <c r="G241" s="4">
        <f t="shared" si="54"/>
        <v>2.3530147986261296E-2</v>
      </c>
      <c r="H241" s="4">
        <f t="shared" si="55"/>
        <v>2.1532994846885867E-2</v>
      </c>
      <c r="I241" s="4">
        <f t="shared" si="56"/>
        <v>4.3165278085528502E-3</v>
      </c>
      <c r="T241">
        <v>235</v>
      </c>
      <c r="U241" s="4">
        <v>-1.3237317543721559E-2</v>
      </c>
      <c r="V241" s="4"/>
      <c r="W241">
        <v>236</v>
      </c>
      <c r="X241">
        <f t="shared" ca="1" si="57"/>
        <v>-1.3316257624119856</v>
      </c>
      <c r="Y241">
        <f t="shared" ca="1" si="57"/>
        <v>1.1570075843303076</v>
      </c>
      <c r="Z241">
        <f t="shared" ca="1" si="57"/>
        <v>0.63574029056869397</v>
      </c>
      <c r="AA241" s="4"/>
      <c r="AB241">
        <v>236</v>
      </c>
      <c r="AC241" s="24">
        <f t="shared" ca="1" si="47"/>
        <v>-1.3316257624119856</v>
      </c>
      <c r="AD241" s="24">
        <f t="shared" ca="1" si="48"/>
        <v>-0.58864625664152548</v>
      </c>
      <c r="AE241" s="24">
        <f t="shared" ca="1" si="49"/>
        <v>-0.44487264047327696</v>
      </c>
      <c r="AF241" s="24"/>
      <c r="AG241">
        <v>236</v>
      </c>
      <c r="AH241">
        <f t="shared" ca="1" si="58"/>
        <v>302.51355671667693</v>
      </c>
      <c r="AI241">
        <f t="shared" ca="1" si="59"/>
        <v>162.26284959012455</v>
      </c>
      <c r="AJ241">
        <f t="shared" ca="1" si="60"/>
        <v>52.61318906775486</v>
      </c>
      <c r="AL241">
        <v>236</v>
      </c>
      <c r="AM241" s="4">
        <f t="shared" ca="1" si="50"/>
        <v>-2.2383808396074012E-2</v>
      </c>
      <c r="AN241" s="4">
        <f t="shared" ca="1" si="51"/>
        <v>-1.2158437741986883E-2</v>
      </c>
      <c r="AO241" s="4">
        <f t="shared" ca="1" si="52"/>
        <v>-7.8598853693480075E-3</v>
      </c>
      <c r="AP241" s="4">
        <f t="shared" ca="1" si="53"/>
        <v>-1.3936483226421359E-2</v>
      </c>
    </row>
    <row r="242" spans="1:42" x14ac:dyDescent="0.3">
      <c r="A242" s="1">
        <v>45944</v>
      </c>
      <c r="B242" s="3">
        <f>Data!B239</f>
        <v>302.079986572265</v>
      </c>
      <c r="C242" s="3">
        <f>Data!H239</f>
        <v>154.40002441406199</v>
      </c>
      <c r="D242" s="3">
        <f>Data!N239</f>
        <v>50.090000152587798</v>
      </c>
      <c r="F242" s="1">
        <v>45944</v>
      </c>
      <c r="G242" s="4">
        <f t="shared" si="54"/>
        <v>-1.9125286960066656E-2</v>
      </c>
      <c r="H242" s="4">
        <f t="shared" si="55"/>
        <v>1.3536754430769626E-3</v>
      </c>
      <c r="I242" s="4">
        <f t="shared" si="56"/>
        <v>2.5173956751357807E-2</v>
      </c>
      <c r="T242">
        <v>236</v>
      </c>
      <c r="U242" s="4">
        <v>-1.3071427121562073E-2</v>
      </c>
      <c r="V242" s="4"/>
      <c r="W242">
        <v>237</v>
      </c>
      <c r="X242">
        <f t="shared" ca="1" si="57"/>
        <v>0.50783130535502052</v>
      </c>
      <c r="Y242">
        <f t="shared" ca="1" si="57"/>
        <v>-0.82687609489853253</v>
      </c>
      <c r="Z242">
        <f t="shared" ca="1" si="57"/>
        <v>-0.55170978435484053</v>
      </c>
      <c r="AA242" s="4"/>
      <c r="AB242">
        <v>237</v>
      </c>
      <c r="AC242" s="24">
        <f t="shared" ca="1" si="47"/>
        <v>0.50783130535502052</v>
      </c>
      <c r="AD242" s="24">
        <f t="shared" ca="1" si="48"/>
        <v>3.4468342359524784E-2</v>
      </c>
      <c r="AE242" s="24">
        <f t="shared" ca="1" si="49"/>
        <v>-9.3752059063699572E-2</v>
      </c>
      <c r="AF242" s="24"/>
      <c r="AG242">
        <v>237</v>
      </c>
      <c r="AH242">
        <f t="shared" ca="1" si="58"/>
        <v>312.12546723055868</v>
      </c>
      <c r="AI242">
        <f t="shared" ca="1" si="59"/>
        <v>164.37872120971858</v>
      </c>
      <c r="AJ242">
        <f t="shared" ca="1" si="60"/>
        <v>52.942062517525819</v>
      </c>
      <c r="AL242">
        <v>237</v>
      </c>
      <c r="AM242" s="4">
        <f t="shared" ca="1" si="50"/>
        <v>8.6784668044370683E-3</v>
      </c>
      <c r="AN242" s="4">
        <f t="shared" ca="1" si="51"/>
        <v>7.227974361014855E-4</v>
      </c>
      <c r="AO242" s="4">
        <f t="shared" ca="1" si="52"/>
        <v>-1.6582361643445731E-3</v>
      </c>
      <c r="AP242" s="4">
        <f t="shared" ca="1" si="53"/>
        <v>2.3951881664683429E-3</v>
      </c>
    </row>
    <row r="243" spans="1:42" x14ac:dyDescent="0.3">
      <c r="A243" s="1">
        <v>45945</v>
      </c>
      <c r="B243" s="3">
        <f>Data!B240</f>
        <v>305.69000244140602</v>
      </c>
      <c r="C243" s="3">
        <f>Data!H240</f>
        <v>161.66578674316401</v>
      </c>
      <c r="D243" s="3">
        <f>Data!N240</f>
        <v>52.279998779296797</v>
      </c>
      <c r="F243" s="1">
        <v>45945</v>
      </c>
      <c r="G243" s="4">
        <f t="shared" si="54"/>
        <v>1.1950529759035877E-2</v>
      </c>
      <c r="H243" s="4">
        <f t="shared" si="55"/>
        <v>4.7058038732021634E-2</v>
      </c>
      <c r="I243" s="4">
        <f t="shared" si="56"/>
        <v>4.3721274107360042E-2</v>
      </c>
      <c r="T243">
        <v>237</v>
      </c>
      <c r="U243" s="4">
        <v>-1.3009873186676081E-2</v>
      </c>
      <c r="V243" s="4"/>
      <c r="W243">
        <v>238</v>
      </c>
      <c r="X243">
        <f t="shared" ca="1" si="57"/>
        <v>-1.1071663176102979</v>
      </c>
      <c r="Y243">
        <f t="shared" ca="1" si="57"/>
        <v>0.16861037499335021</v>
      </c>
      <c r="Z243">
        <f t="shared" ca="1" si="57"/>
        <v>0.64842886692017998</v>
      </c>
      <c r="AA243" s="4"/>
      <c r="AB243">
        <v>238</v>
      </c>
      <c r="AC243" s="24">
        <f t="shared" ca="1" si="47"/>
        <v>-1.1071663176102979</v>
      </c>
      <c r="AD243" s="24">
        <f t="shared" ca="1" si="48"/>
        <v>-0.88034938631177029</v>
      </c>
      <c r="AE243" s="24">
        <f t="shared" ca="1" si="49"/>
        <v>-0.52806686560128246</v>
      </c>
      <c r="AF243" s="24"/>
      <c r="AG243">
        <v>238</v>
      </c>
      <c r="AH243">
        <f t="shared" ca="1" si="58"/>
        <v>303.6704069527247</v>
      </c>
      <c r="AI243">
        <f t="shared" ca="1" si="59"/>
        <v>161.28171210698594</v>
      </c>
      <c r="AJ243">
        <f t="shared" ca="1" si="60"/>
        <v>52.53556590680882</v>
      </c>
      <c r="AL243">
        <v>238</v>
      </c>
      <c r="AM243" s="4">
        <f t="shared" ca="1" si="50"/>
        <v>-1.8645279999872755E-2</v>
      </c>
      <c r="AN243" s="4">
        <f t="shared" ca="1" si="51"/>
        <v>-1.8131514059713028E-2</v>
      </c>
      <c r="AO243" s="4">
        <f t="shared" ca="1" si="52"/>
        <v>-9.3236448023643614E-3</v>
      </c>
      <c r="AP243" s="4">
        <f t="shared" ca="1" si="53"/>
        <v>-1.5643283064556347E-2</v>
      </c>
    </row>
    <row r="244" spans="1:42" x14ac:dyDescent="0.3">
      <c r="A244" s="1">
        <v>45946</v>
      </c>
      <c r="B244" s="3">
        <f>Data!B241</f>
        <v>298.54000854492102</v>
      </c>
      <c r="C244" s="3">
        <f>Data!H241</f>
        <v>159.05171203613199</v>
      </c>
      <c r="D244" s="3">
        <f>Data!N241</f>
        <v>50.439998626708899</v>
      </c>
      <c r="F244" s="1">
        <v>45946</v>
      </c>
      <c r="G244" s="4">
        <f t="shared" si="54"/>
        <v>-2.3389688375090034E-2</v>
      </c>
      <c r="H244" s="4">
        <f t="shared" si="55"/>
        <v>-1.6169622278738305E-2</v>
      </c>
      <c r="I244" s="4">
        <f t="shared" si="56"/>
        <v>-3.5195107030426165E-2</v>
      </c>
      <c r="T244">
        <v>238</v>
      </c>
      <c r="U244" s="4">
        <v>-1.2992773597837759E-2</v>
      </c>
      <c r="V244" s="4"/>
      <c r="W244">
        <v>239</v>
      </c>
      <c r="X244">
        <f t="shared" ca="1" si="57"/>
        <v>-0.23052659537161344</v>
      </c>
      <c r="Y244">
        <f t="shared" ca="1" si="57"/>
        <v>-0.64058450094999864</v>
      </c>
      <c r="Z244">
        <f t="shared" ca="1" si="57"/>
        <v>-0.12378644760482325</v>
      </c>
      <c r="AA244" s="4"/>
      <c r="AB244">
        <v>239</v>
      </c>
      <c r="AC244" s="24">
        <f t="shared" ca="1" si="47"/>
        <v>-0.23052659537161344</v>
      </c>
      <c r="AD244" s="24">
        <f t="shared" ca="1" si="48"/>
        <v>-0.51624028940385691</v>
      </c>
      <c r="AE244" s="24">
        <f t="shared" ca="1" si="49"/>
        <v>-0.42781672163027207</v>
      </c>
      <c r="AF244" s="24"/>
      <c r="AG244">
        <v>239</v>
      </c>
      <c r="AH244">
        <f t="shared" ca="1" si="58"/>
        <v>308.23109070987419</v>
      </c>
      <c r="AI244">
        <f t="shared" ca="1" si="59"/>
        <v>162.50730879815109</v>
      </c>
      <c r="AJ244">
        <f t="shared" ca="1" si="60"/>
        <v>52.629117005896489</v>
      </c>
      <c r="AL244">
        <v>239</v>
      </c>
      <c r="AM244" s="4">
        <f t="shared" ca="1" si="50"/>
        <v>-3.9067726279531367E-3</v>
      </c>
      <c r="AN244" s="4">
        <f t="shared" ca="1" si="51"/>
        <v>-1.0670192178844795E-2</v>
      </c>
      <c r="AO244" s="4">
        <f t="shared" ca="1" si="52"/>
        <v>-7.5595282411512477E-3</v>
      </c>
      <c r="AP244" s="4">
        <f t="shared" ca="1" si="53"/>
        <v>-7.7079671322692334E-3</v>
      </c>
    </row>
    <row r="245" spans="1:42" x14ac:dyDescent="0.3">
      <c r="A245" s="1">
        <v>45947</v>
      </c>
      <c r="B245" s="3">
        <f>Data!B242</f>
        <v>297.55999755859301</v>
      </c>
      <c r="C245" s="3">
        <f>Data!H242</f>
        <v>157.709869384765</v>
      </c>
      <c r="D245" s="3">
        <f>Data!N242</f>
        <v>51.279998779296797</v>
      </c>
      <c r="F245" s="1">
        <v>45947</v>
      </c>
      <c r="G245" s="4">
        <f t="shared" si="54"/>
        <v>-3.2826788982306399E-3</v>
      </c>
      <c r="H245" s="4">
        <f t="shared" si="55"/>
        <v>-8.4365181247603171E-3</v>
      </c>
      <c r="I245" s="4">
        <f t="shared" si="56"/>
        <v>1.6653453121687978E-2</v>
      </c>
      <c r="T245">
        <v>239</v>
      </c>
      <c r="U245" s="4">
        <v>-1.2937030014009832E-2</v>
      </c>
      <c r="V245" s="4"/>
      <c r="W245">
        <v>240</v>
      </c>
      <c r="X245">
        <f t="shared" ca="1" si="57"/>
        <v>0.86227395372027194</v>
      </c>
      <c r="Y245">
        <f t="shared" ca="1" si="57"/>
        <v>-0.10473427602321742</v>
      </c>
      <c r="Z245">
        <f t="shared" ca="1" si="57"/>
        <v>0.75900218450601942</v>
      </c>
      <c r="AA245" s="4"/>
      <c r="AB245">
        <v>240</v>
      </c>
      <c r="AC245" s="24">
        <f t="shared" ca="1" si="47"/>
        <v>0.86227395372027194</v>
      </c>
      <c r="AD245" s="24">
        <f t="shared" ca="1" si="48"/>
        <v>0.69872402900278663</v>
      </c>
      <c r="AE245" s="24">
        <f t="shared" ca="1" si="49"/>
        <v>1.0601049907718019</v>
      </c>
      <c r="AF245" s="24"/>
      <c r="AG245">
        <v>240</v>
      </c>
      <c r="AH245">
        <f t="shared" ca="1" si="58"/>
        <v>314.01237184954334</v>
      </c>
      <c r="AI245">
        <f t="shared" ca="1" si="59"/>
        <v>166.66468488856066</v>
      </c>
      <c r="AJ245">
        <f t="shared" ca="1" si="60"/>
        <v>54.037357653472128</v>
      </c>
      <c r="AL245">
        <v>240</v>
      </c>
      <c r="AM245" s="4">
        <f t="shared" ca="1" si="50"/>
        <v>1.4776271238567951E-2</v>
      </c>
      <c r="AN245" s="4">
        <f t="shared" ca="1" si="51"/>
        <v>1.463953769720594E-2</v>
      </c>
      <c r="AO245" s="4">
        <f t="shared" ca="1" si="52"/>
        <v>1.8996019184684743E-2</v>
      </c>
      <c r="AP245" s="4">
        <f t="shared" ca="1" si="53"/>
        <v>1.5987502205858185E-2</v>
      </c>
    </row>
    <row r="246" spans="1:42" x14ac:dyDescent="0.3">
      <c r="A246" s="1">
        <v>45950</v>
      </c>
      <c r="B246" s="3">
        <f>Data!B243</f>
        <v>302.35998535156199</v>
      </c>
      <c r="C246" s="3">
        <f>Data!H243</f>
        <v>160.98991394042901</v>
      </c>
      <c r="D246" s="3">
        <f>Data!N243</f>
        <v>52.040000915527301</v>
      </c>
      <c r="F246" s="1">
        <v>45950</v>
      </c>
      <c r="G246" s="4">
        <f t="shared" si="54"/>
        <v>1.6131159538754103E-2</v>
      </c>
      <c r="H246" s="4">
        <f t="shared" si="55"/>
        <v>2.0797966344526353E-2</v>
      </c>
      <c r="I246" s="4">
        <f t="shared" si="56"/>
        <v>1.482063483467444E-2</v>
      </c>
      <c r="T246">
        <v>240</v>
      </c>
      <c r="U246" s="4">
        <v>-1.2813946327410498E-2</v>
      </c>
      <c r="V246" s="4"/>
      <c r="W246">
        <v>241</v>
      </c>
      <c r="X246">
        <f t="shared" ca="1" si="57"/>
        <v>-0.88578763245602576</v>
      </c>
      <c r="Y246">
        <f t="shared" ca="1" si="57"/>
        <v>0.61665717099390438</v>
      </c>
      <c r="Z246">
        <f t="shared" ca="1" si="57"/>
        <v>-1.306552781784144</v>
      </c>
      <c r="AA246" s="4"/>
      <c r="AB246">
        <v>241</v>
      </c>
      <c r="AC246" s="24">
        <f t="shared" ca="1" si="47"/>
        <v>-0.88578763245602576</v>
      </c>
      <c r="AD246" s="24">
        <f t="shared" ca="1" si="48"/>
        <v>-0.46694036285911905</v>
      </c>
      <c r="AE246" s="24">
        <f t="shared" ca="1" si="49"/>
        <v>-1.2158733191069482</v>
      </c>
      <c r="AF246" s="24"/>
      <c r="AG246">
        <v>241</v>
      </c>
      <c r="AH246">
        <f t="shared" ca="1" si="58"/>
        <v>304.81571234575631</v>
      </c>
      <c r="AI246">
        <f t="shared" ca="1" si="59"/>
        <v>162.67396741426168</v>
      </c>
      <c r="AJ246">
        <f t="shared" ca="1" si="60"/>
        <v>51.898189714594075</v>
      </c>
      <c r="AL246">
        <v>241</v>
      </c>
      <c r="AM246" s="4">
        <f t="shared" ca="1" si="50"/>
        <v>-1.4944060429049832E-2</v>
      </c>
      <c r="AN246" s="4">
        <f t="shared" ca="1" si="51"/>
        <v>-9.6555895873192688E-3</v>
      </c>
      <c r="AO246" s="4">
        <f t="shared" ca="1" si="52"/>
        <v>-2.1342807670298947E-2</v>
      </c>
      <c r="AP246" s="4">
        <f t="shared" ca="1" si="53"/>
        <v>-1.4748296264732341E-2</v>
      </c>
    </row>
    <row r="247" spans="1:42" x14ac:dyDescent="0.3">
      <c r="A247" s="1">
        <v>45951</v>
      </c>
      <c r="B247" s="3">
        <f>Data!B244</f>
        <v>297.08999633789</v>
      </c>
      <c r="C247" s="3">
        <f>Data!H244</f>
        <v>158.26647949218699</v>
      </c>
      <c r="D247" s="3">
        <f>Data!N244</f>
        <v>51.520000457763601</v>
      </c>
      <c r="F247" s="1">
        <v>45951</v>
      </c>
      <c r="G247" s="4">
        <f t="shared" si="54"/>
        <v>-1.7429518682984591E-2</v>
      </c>
      <c r="H247" s="4">
        <f t="shared" si="55"/>
        <v>-1.6916801690134209E-2</v>
      </c>
      <c r="I247" s="4">
        <f t="shared" si="56"/>
        <v>-9.9923222255083877E-3</v>
      </c>
      <c r="T247">
        <v>241</v>
      </c>
      <c r="U247" s="4">
        <v>-1.2779143943681038E-2</v>
      </c>
      <c r="V247" s="4"/>
      <c r="W247">
        <v>242</v>
      </c>
      <c r="X247">
        <f t="shared" ca="1" si="57"/>
        <v>0.94969399416695288</v>
      </c>
      <c r="Y247">
        <f t="shared" ca="1" si="57"/>
        <v>-0.60555810060623172</v>
      </c>
      <c r="Z247">
        <f t="shared" ca="1" si="57"/>
        <v>-0.77628578211589494</v>
      </c>
      <c r="AA247" s="4"/>
      <c r="AB247">
        <v>242</v>
      </c>
      <c r="AC247" s="24">
        <f t="shared" ca="1" si="47"/>
        <v>0.94969399416695288</v>
      </c>
      <c r="AD247" s="24">
        <f t="shared" ca="1" si="48"/>
        <v>0.52801914656159599</v>
      </c>
      <c r="AE247" s="24">
        <f t="shared" ca="1" si="49"/>
        <v>0.21402641976000536</v>
      </c>
      <c r="AF247" s="24"/>
      <c r="AG247">
        <v>242</v>
      </c>
      <c r="AH247">
        <f t="shared" ca="1" si="58"/>
        <v>314.47951064353492</v>
      </c>
      <c r="AI247">
        <f t="shared" ca="1" si="59"/>
        <v>166.07420507352268</v>
      </c>
      <c r="AJ247">
        <f t="shared" ca="1" si="60"/>
        <v>53.232030345367342</v>
      </c>
      <c r="AL247">
        <v>242</v>
      </c>
      <c r="AM247" s="4">
        <f t="shared" ca="1" si="50"/>
        <v>1.628589762916377E-2</v>
      </c>
      <c r="AN247" s="4">
        <f t="shared" ca="1" si="51"/>
        <v>1.1044749953478039E-2</v>
      </c>
      <c r="AO247" s="4">
        <f t="shared" ca="1" si="52"/>
        <v>3.8097599607982424E-3</v>
      </c>
      <c r="AP247" s="4">
        <f t="shared" ca="1" si="53"/>
        <v>1.0446597258379821E-2</v>
      </c>
    </row>
    <row r="248" spans="1:42" x14ac:dyDescent="0.3">
      <c r="A248" s="1">
        <v>45952</v>
      </c>
      <c r="B248" s="3">
        <f>Data!B245</f>
        <v>294.10998535156199</v>
      </c>
      <c r="C248" s="3">
        <f>Data!H245</f>
        <v>157.16320800781199</v>
      </c>
      <c r="D248" s="3">
        <f>Data!N245</f>
        <v>51.099998474121001</v>
      </c>
      <c r="F248" s="1">
        <v>45952</v>
      </c>
      <c r="G248" s="4">
        <f t="shared" si="54"/>
        <v>-1.0030667552127004E-2</v>
      </c>
      <c r="H248" s="4">
        <f t="shared" si="55"/>
        <v>-6.9709738152700096E-3</v>
      </c>
      <c r="I248" s="4">
        <f t="shared" si="56"/>
        <v>-8.1522123429893512E-3</v>
      </c>
      <c r="T248">
        <v>242</v>
      </c>
      <c r="U248" s="4">
        <v>-1.277154081548626E-2</v>
      </c>
      <c r="V248" s="4"/>
      <c r="W248">
        <v>243</v>
      </c>
      <c r="X248">
        <f t="shared" ca="1" si="57"/>
        <v>0.66803098601944844</v>
      </c>
      <c r="Y248">
        <f t="shared" ca="1" si="57"/>
        <v>0.57387170303756729</v>
      </c>
      <c r="Z248">
        <f t="shared" ca="1" si="57"/>
        <v>0.75905724278157671</v>
      </c>
      <c r="AA248" s="4"/>
      <c r="AB248">
        <v>243</v>
      </c>
      <c r="AC248" s="24">
        <f t="shared" ca="1" si="47"/>
        <v>0.66803098601944844</v>
      </c>
      <c r="AD248" s="24">
        <f t="shared" ca="1" si="48"/>
        <v>0.86407440359894094</v>
      </c>
      <c r="AE248" s="24">
        <f t="shared" ca="1" si="49"/>
        <v>1.0889134882698475</v>
      </c>
      <c r="AF248" s="24"/>
      <c r="AG248">
        <v>243</v>
      </c>
      <c r="AH248">
        <f t="shared" ca="1" si="58"/>
        <v>312.97689509071205</v>
      </c>
      <c r="AI248">
        <f t="shared" ca="1" si="59"/>
        <v>167.23864473545643</v>
      </c>
      <c r="AJ248">
        <f t="shared" ca="1" si="60"/>
        <v>54.064992039481091</v>
      </c>
      <c r="AL248">
        <v>243</v>
      </c>
      <c r="AM248" s="4">
        <f t="shared" ca="1" si="50"/>
        <v>1.14299787403076E-2</v>
      </c>
      <c r="AN248" s="4">
        <f t="shared" ca="1" si="51"/>
        <v>1.8133753368033245E-2</v>
      </c>
      <c r="AO248" s="4">
        <f t="shared" ca="1" si="52"/>
        <v>1.9517127739183682E-2</v>
      </c>
      <c r="AP248" s="4">
        <f t="shared" ca="1" si="53"/>
        <v>1.6537633291060685E-2</v>
      </c>
    </row>
    <row r="249" spans="1:42" x14ac:dyDescent="0.3">
      <c r="A249" s="1">
        <v>45953</v>
      </c>
      <c r="B249" s="3">
        <f>Data!B246</f>
        <v>294.54000854492102</v>
      </c>
      <c r="C249" s="3">
        <f>Data!H246</f>
        <v>158.34600830078099</v>
      </c>
      <c r="D249" s="3">
        <f>Data!N246</f>
        <v>51.759998321533203</v>
      </c>
      <c r="F249" s="1">
        <v>45953</v>
      </c>
      <c r="G249" s="4">
        <f t="shared" si="54"/>
        <v>1.462116945281533E-3</v>
      </c>
      <c r="H249" s="4">
        <f t="shared" si="55"/>
        <v>7.5259363050810268E-3</v>
      </c>
      <c r="I249" s="4">
        <f t="shared" si="56"/>
        <v>1.291584867162876E-2</v>
      </c>
      <c r="T249">
        <v>243</v>
      </c>
      <c r="U249" s="4">
        <v>-1.269704887405384E-2</v>
      </c>
      <c r="V249" s="4"/>
      <c r="W249">
        <v>244</v>
      </c>
      <c r="X249">
        <f t="shared" ca="1" si="57"/>
        <v>-0.3029388425821693</v>
      </c>
      <c r="Y249">
        <f t="shared" ca="1" si="57"/>
        <v>0.60843695390853658</v>
      </c>
      <c r="Z249">
        <f t="shared" ca="1" si="57"/>
        <v>1.0099038019656277</v>
      </c>
      <c r="AA249" s="4"/>
      <c r="AB249">
        <v>244</v>
      </c>
      <c r="AC249" s="24">
        <f t="shared" ca="1" si="47"/>
        <v>-0.3029388425821693</v>
      </c>
      <c r="AD249" s="24">
        <f t="shared" ca="1" si="48"/>
        <v>3.6190686491473389E-2</v>
      </c>
      <c r="AE249" s="24">
        <f t="shared" ca="1" si="49"/>
        <v>0.4332319702026679</v>
      </c>
      <c r="AF249" s="24"/>
      <c r="AG249">
        <v>244</v>
      </c>
      <c r="AH249">
        <f t="shared" ca="1" si="58"/>
        <v>307.85178756006337</v>
      </c>
      <c r="AI249">
        <f t="shared" ca="1" si="59"/>
        <v>164.38460773894906</v>
      </c>
      <c r="AJ249">
        <f t="shared" ca="1" si="60"/>
        <v>53.439518681310219</v>
      </c>
      <c r="AL249">
        <v>244</v>
      </c>
      <c r="AM249" s="4">
        <f t="shared" ca="1" si="50"/>
        <v>-5.1325454653956548E-3</v>
      </c>
      <c r="AN249" s="4">
        <f t="shared" ca="1" si="51"/>
        <v>7.5863409400556137E-4</v>
      </c>
      <c r="AO249" s="4">
        <f t="shared" ca="1" si="52"/>
        <v>7.7224196009844093E-3</v>
      </c>
      <c r="AP249" s="4">
        <f t="shared" ca="1" si="53"/>
        <v>1.0804158782788511E-3</v>
      </c>
    </row>
    <row r="250" spans="1:42" x14ac:dyDescent="0.3">
      <c r="A250" s="1">
        <v>45954</v>
      </c>
      <c r="B250" s="3">
        <f>Data!B247</f>
        <v>300.44000244140602</v>
      </c>
      <c r="C250" s="3">
        <f>Data!H247</f>
        <v>162.86846923828099</v>
      </c>
      <c r="D250" s="3">
        <f>Data!N247</f>
        <v>52.569999694824197</v>
      </c>
      <c r="F250" s="1">
        <v>45954</v>
      </c>
      <c r="G250" s="4">
        <f t="shared" si="54"/>
        <v>2.0031213843008988E-2</v>
      </c>
      <c r="H250" s="4">
        <f t="shared" si="55"/>
        <v>2.856062483690458E-2</v>
      </c>
      <c r="I250" s="4">
        <f t="shared" si="56"/>
        <v>1.5649176962087008E-2</v>
      </c>
      <c r="T250">
        <v>244</v>
      </c>
      <c r="U250" s="4">
        <v>-1.2550503111753342E-2</v>
      </c>
      <c r="V250" s="4"/>
      <c r="W250">
        <v>245</v>
      </c>
      <c r="X250">
        <f t="shared" ca="1" si="57"/>
        <v>-0.18157747015483983</v>
      </c>
      <c r="Y250">
        <f t="shared" ca="1" si="57"/>
        <v>-0.59642761191858318</v>
      </c>
      <c r="Z250">
        <f t="shared" ca="1" si="57"/>
        <v>0.95810068184748531</v>
      </c>
      <c r="AA250" s="4"/>
      <c r="AB250">
        <v>245</v>
      </c>
      <c r="AC250" s="24">
        <f t="shared" ca="1" si="47"/>
        <v>-0.18157747015483983</v>
      </c>
      <c r="AD250" s="24">
        <f t="shared" ca="1" si="48"/>
        <v>-0.45188804646056502</v>
      </c>
      <c r="AE250" s="24">
        <f t="shared" ca="1" si="49"/>
        <v>0.17340071312718924</v>
      </c>
      <c r="AF250" s="24"/>
      <c r="AG250">
        <v>245</v>
      </c>
      <c r="AH250">
        <f t="shared" ca="1" si="58"/>
        <v>308.48775619409923</v>
      </c>
      <c r="AI250">
        <f t="shared" ca="1" si="59"/>
        <v>162.72488588585787</v>
      </c>
      <c r="AJ250">
        <f t="shared" ca="1" si="60"/>
        <v>53.193664789777522</v>
      </c>
      <c r="AL250">
        <v>245</v>
      </c>
      <c r="AM250" s="4">
        <f t="shared" ca="1" si="50"/>
        <v>-3.0773210955074015E-3</v>
      </c>
      <c r="AN250" s="4">
        <f t="shared" ca="1" si="51"/>
        <v>-9.3456025344823557E-3</v>
      </c>
      <c r="AO250" s="4">
        <f t="shared" ca="1" si="52"/>
        <v>3.0862910474858118E-3</v>
      </c>
      <c r="AP250" s="4">
        <f t="shared" ca="1" si="53"/>
        <v>-3.7355500281994192E-3</v>
      </c>
    </row>
    <row r="251" spans="1:42" x14ac:dyDescent="0.3">
      <c r="A251" s="1">
        <v>45957</v>
      </c>
      <c r="B251" s="3">
        <f>Data!B248</f>
        <v>304.14999389648398</v>
      </c>
      <c r="C251" s="3">
        <f>Data!H248</f>
        <v>165.01541137695301</v>
      </c>
      <c r="D251" s="3">
        <f>Data!N248</f>
        <v>53.020000457763601</v>
      </c>
      <c r="F251" s="1">
        <v>45957</v>
      </c>
      <c r="G251" s="4">
        <f t="shared" si="54"/>
        <v>1.2348526910298752E-2</v>
      </c>
      <c r="H251" s="4">
        <f t="shared" si="55"/>
        <v>1.31820612590825E-2</v>
      </c>
      <c r="I251" s="4">
        <f t="shared" si="56"/>
        <v>8.560029780325662E-3</v>
      </c>
      <c r="T251">
        <v>245</v>
      </c>
      <c r="U251" s="4">
        <v>-1.2442828457401722E-2</v>
      </c>
      <c r="V251" s="4"/>
      <c r="W251">
        <v>246</v>
      </c>
      <c r="X251">
        <f t="shared" ca="1" si="57"/>
        <v>-1.6961938515289665</v>
      </c>
      <c r="Y251">
        <f t="shared" ca="1" si="57"/>
        <v>1.412227682532408</v>
      </c>
      <c r="Z251">
        <f t="shared" ca="1" si="57"/>
        <v>0.60237280858850151</v>
      </c>
      <c r="AA251" s="4"/>
      <c r="AB251">
        <v>246</v>
      </c>
      <c r="AC251" s="24">
        <f t="shared" ca="1" si="47"/>
        <v>-1.6961938515289665</v>
      </c>
      <c r="AD251" s="24">
        <f t="shared" ca="1" si="48"/>
        <v>-0.78012786896577024</v>
      </c>
      <c r="AE251" s="24">
        <f t="shared" ca="1" si="49"/>
        <v>-0.68892477769895533</v>
      </c>
      <c r="AF251" s="24"/>
      <c r="AG251">
        <v>246</v>
      </c>
      <c r="AH251">
        <f t="shared" ca="1" si="58"/>
        <v>300.64397970641812</v>
      </c>
      <c r="AI251">
        <f t="shared" ca="1" si="59"/>
        <v>161.61813431809722</v>
      </c>
      <c r="AJ251">
        <f t="shared" ca="1" si="60"/>
        <v>52.385804409498924</v>
      </c>
      <c r="AL251">
        <v>246</v>
      </c>
      <c r="AM251" s="4">
        <f t="shared" ca="1" si="50"/>
        <v>-2.8425616163357814E-2</v>
      </c>
      <c r="AN251" s="4">
        <f t="shared" ca="1" si="51"/>
        <v>-1.6083406045821147E-2</v>
      </c>
      <c r="AO251" s="4">
        <f t="shared" ca="1" si="52"/>
        <v>-1.2147734954302325E-2</v>
      </c>
      <c r="AP251" s="4">
        <f t="shared" ca="1" si="53"/>
        <v>-1.8605367753626503E-2</v>
      </c>
    </row>
    <row r="252" spans="1:42" x14ac:dyDescent="0.3">
      <c r="A252" s="1">
        <v>45958</v>
      </c>
      <c r="B252" s="3">
        <f>Data!B249</f>
        <v>305.35998535156199</v>
      </c>
      <c r="C252" s="3">
        <f>Data!H249</f>
        <v>164.21031188964801</v>
      </c>
      <c r="D252" s="3">
        <f>Data!N249</f>
        <v>52.869998931884702</v>
      </c>
      <c r="F252" s="1">
        <v>45958</v>
      </c>
      <c r="G252" s="4">
        <f t="shared" si="54"/>
        <v>3.9782721662320331E-3</v>
      </c>
      <c r="H252" s="4">
        <f t="shared" si="55"/>
        <v>-4.8789351284642679E-3</v>
      </c>
      <c r="I252" s="4">
        <f t="shared" si="56"/>
        <v>-2.8291498412640337E-3</v>
      </c>
      <c r="T252">
        <v>246</v>
      </c>
      <c r="U252" s="4">
        <v>-1.2340724305275042E-2</v>
      </c>
      <c r="V252" s="4"/>
      <c r="W252">
        <v>247</v>
      </c>
      <c r="X252">
        <f t="shared" ca="1" si="57"/>
        <v>1.8149853303668557</v>
      </c>
      <c r="Y252">
        <f t="shared" ca="1" si="57"/>
        <v>-1.5521009062888842</v>
      </c>
      <c r="Z252">
        <f t="shared" ca="1" si="57"/>
        <v>2.4996596059804919</v>
      </c>
      <c r="AA252" s="4"/>
      <c r="AB252">
        <v>247</v>
      </c>
      <c r="AC252" s="24">
        <f t="shared" ca="1" si="47"/>
        <v>1.8149853303668557</v>
      </c>
      <c r="AD252" s="24">
        <f t="shared" ca="1" si="48"/>
        <v>0.81457636671945977</v>
      </c>
      <c r="AE252" s="24">
        <f t="shared" ca="1" si="49"/>
        <v>2.321603566669912</v>
      </c>
      <c r="AF252" s="24"/>
      <c r="AG252">
        <v>247</v>
      </c>
      <c r="AH252">
        <f t="shared" ca="1" si="58"/>
        <v>319.14093933497361</v>
      </c>
      <c r="AI252">
        <f t="shared" ca="1" si="59"/>
        <v>167.0666214807039</v>
      </c>
      <c r="AJ252">
        <f t="shared" ca="1" si="60"/>
        <v>55.260777338564623</v>
      </c>
      <c r="AL252">
        <v>247</v>
      </c>
      <c r="AM252" s="4">
        <f t="shared" ca="1" si="50"/>
        <v>3.1349976787194755E-2</v>
      </c>
      <c r="AN252" s="4">
        <f t="shared" ca="1" si="51"/>
        <v>1.7086491341335774E-2</v>
      </c>
      <c r="AO252" s="4">
        <f t="shared" ca="1" si="52"/>
        <v>4.2066351322239459E-2</v>
      </c>
      <c r="AP252" s="4">
        <f t="shared" ca="1" si="53"/>
        <v>2.8859494969364574E-2</v>
      </c>
    </row>
    <row r="253" spans="1:42" x14ac:dyDescent="0.3">
      <c r="A253" s="1">
        <v>45959</v>
      </c>
      <c r="B253" s="3">
        <f>Data!B250</f>
        <v>305.510009765625</v>
      </c>
      <c r="C253" s="3">
        <f>Data!H250</f>
        <v>163.03744506835901</v>
      </c>
      <c r="D253" s="3">
        <f>Data!N250</f>
        <v>52.580001831054602</v>
      </c>
      <c r="F253" s="1">
        <v>45959</v>
      </c>
      <c r="G253" s="4">
        <f t="shared" si="54"/>
        <v>4.91303449239755E-4</v>
      </c>
      <c r="H253" s="4">
        <f t="shared" si="55"/>
        <v>-7.142467533203356E-3</v>
      </c>
      <c r="I253" s="4">
        <f t="shared" si="56"/>
        <v>-5.4850975352528364E-3</v>
      </c>
      <c r="T253">
        <v>247</v>
      </c>
      <c r="U253" s="4">
        <v>-1.2218148566952747E-2</v>
      </c>
      <c r="V253" s="4"/>
      <c r="W253">
        <v>248</v>
      </c>
      <c r="X253">
        <f t="shared" ca="1" si="57"/>
        <v>0.69534503557542171</v>
      </c>
      <c r="Y253">
        <f t="shared" ca="1" si="57"/>
        <v>-1.0454608590311505</v>
      </c>
      <c r="Z253">
        <f t="shared" ca="1" si="57"/>
        <v>1.0679315212163116</v>
      </c>
      <c r="AA253" s="4"/>
      <c r="AB253">
        <v>248</v>
      </c>
      <c r="AC253" s="24">
        <f t="shared" ca="1" si="47"/>
        <v>0.69534503557542171</v>
      </c>
      <c r="AD253" s="24">
        <f t="shared" ca="1" si="48"/>
        <v>8.9933047577255509E-2</v>
      </c>
      <c r="AE253" s="24">
        <f t="shared" ca="1" si="49"/>
        <v>0.82095516268307933</v>
      </c>
      <c r="AF253" s="24"/>
      <c r="AG253">
        <v>248</v>
      </c>
      <c r="AH253">
        <f t="shared" ca="1" si="58"/>
        <v>313.12229514430481</v>
      </c>
      <c r="AI253">
        <f t="shared" ca="1" si="59"/>
        <v>164.56839125391133</v>
      </c>
      <c r="AJ253">
        <f t="shared" ca="1" si="60"/>
        <v>53.80849919229567</v>
      </c>
      <c r="AL253">
        <v>248</v>
      </c>
      <c r="AM253" s="4">
        <f t="shared" ca="1" si="50"/>
        <v>1.1899859985284422E-2</v>
      </c>
      <c r="AN253" s="4">
        <f t="shared" ca="1" si="51"/>
        <v>1.8774915219146315E-3</v>
      </c>
      <c r="AO253" s="4">
        <f t="shared" ca="1" si="52"/>
        <v>1.4680377728064409E-2</v>
      </c>
      <c r="AP253" s="4">
        <f t="shared" ca="1" si="53"/>
        <v>8.7250679227705019E-3</v>
      </c>
    </row>
    <row r="254" spans="1:42" x14ac:dyDescent="0.3">
      <c r="A254" s="1">
        <v>45960</v>
      </c>
      <c r="B254" s="3">
        <f>Data!B251</f>
        <v>309.44000244140602</v>
      </c>
      <c r="C254" s="3">
        <f>Data!H251</f>
        <v>164.259994506835</v>
      </c>
      <c r="D254" s="3">
        <f>Data!N251</f>
        <v>53.029998779296797</v>
      </c>
      <c r="F254" s="1">
        <v>45960</v>
      </c>
      <c r="G254" s="4">
        <f t="shared" si="54"/>
        <v>1.2863711662985944E-2</v>
      </c>
      <c r="H254" s="4">
        <f t="shared" si="55"/>
        <v>7.4985806969889435E-3</v>
      </c>
      <c r="I254" s="4">
        <f t="shared" si="56"/>
        <v>8.5583288811605929E-3</v>
      </c>
      <c r="T254">
        <v>248</v>
      </c>
      <c r="U254" s="4">
        <v>-1.2011434805655197E-2</v>
      </c>
      <c r="V254" s="4"/>
      <c r="W254">
        <v>249</v>
      </c>
      <c r="X254">
        <f t="shared" ca="1" si="57"/>
        <v>0.57174144840595775</v>
      </c>
      <c r="Y254">
        <f t="shared" ca="1" si="57"/>
        <v>0.37233657226020728</v>
      </c>
      <c r="Z254">
        <f t="shared" ca="1" si="57"/>
        <v>-1.9221797062864021</v>
      </c>
      <c r="AA254" s="4"/>
      <c r="AB254">
        <v>249</v>
      </c>
      <c r="AC254" s="24">
        <f t="shared" ca="1" si="47"/>
        <v>0.57174144840595775</v>
      </c>
      <c r="AD254" s="24">
        <f t="shared" ca="1" si="48"/>
        <v>0.68098112920314247</v>
      </c>
      <c r="AE254" s="24">
        <f t="shared" ca="1" si="49"/>
        <v>-0.40608301201616848</v>
      </c>
      <c r="AF254" s="24"/>
      <c r="AG254">
        <v>249</v>
      </c>
      <c r="AH254">
        <f t="shared" ca="1" si="58"/>
        <v>312.46485824439532</v>
      </c>
      <c r="AI254">
        <f t="shared" ca="1" si="59"/>
        <v>166.60321334994498</v>
      </c>
      <c r="AJ254">
        <f t="shared" ca="1" si="60"/>
        <v>52.649420359783974</v>
      </c>
      <c r="AL254">
        <v>249</v>
      </c>
      <c r="AM254" s="4">
        <f t="shared" ca="1" si="50"/>
        <v>9.7752578177479066E-3</v>
      </c>
      <c r="AN254" s="4">
        <f t="shared" ca="1" si="51"/>
        <v>1.4265304526188016E-2</v>
      </c>
      <c r="AO254" s="4">
        <f t="shared" ca="1" si="52"/>
        <v>-7.1766627998001153E-3</v>
      </c>
      <c r="AP254" s="4">
        <f t="shared" ca="1" si="53"/>
        <v>6.4857003158595439E-3</v>
      </c>
    </row>
    <row r="255" spans="1:42" x14ac:dyDescent="0.3">
      <c r="J255" s="1"/>
      <c r="K255" s="3"/>
      <c r="L255" s="3"/>
      <c r="M255" s="3"/>
      <c r="O255" s="1"/>
      <c r="P255" s="4"/>
      <c r="Q255" s="4"/>
      <c r="R255" s="4"/>
      <c r="S255" s="4"/>
      <c r="T255">
        <v>249</v>
      </c>
      <c r="U255" s="4">
        <v>-1.2009965137591505E-2</v>
      </c>
      <c r="V255" s="4"/>
      <c r="W255">
        <v>250</v>
      </c>
      <c r="X255">
        <f t="shared" ca="1" si="57"/>
        <v>-0.67125610396873847</v>
      </c>
      <c r="Y255">
        <f t="shared" ca="1" si="57"/>
        <v>1.366545107246554</v>
      </c>
      <c r="Z255">
        <f t="shared" ca="1" si="57"/>
        <v>-0.81499327155211554</v>
      </c>
      <c r="AA255" s="4"/>
      <c r="AB255">
        <v>250</v>
      </c>
      <c r="AC255" s="24">
        <f t="shared" ca="1" si="47"/>
        <v>-0.67125610396873847</v>
      </c>
      <c r="AD255" s="24">
        <f t="shared" ca="1" si="48"/>
        <v>8.9239530594925842E-2</v>
      </c>
      <c r="AE255" s="24">
        <f t="shared" ca="1" si="49"/>
        <v>-0.58428882887563127</v>
      </c>
      <c r="AF255" s="24"/>
      <c r="AG255">
        <v>250</v>
      </c>
      <c r="AH255">
        <f t="shared" ca="1" si="58"/>
        <v>305.92971495678103</v>
      </c>
      <c r="AI255">
        <f t="shared" ca="1" si="59"/>
        <v>164.56601831589367</v>
      </c>
      <c r="AJ255">
        <f t="shared" ca="1" si="60"/>
        <v>52.483173679722363</v>
      </c>
      <c r="AL255">
        <v>250</v>
      </c>
      <c r="AM255" s="4">
        <f t="shared" ca="1" si="50"/>
        <v>-1.1344000313242231E-2</v>
      </c>
      <c r="AN255" s="4">
        <f t="shared" ca="1" si="51"/>
        <v>1.8630452897399064E-3</v>
      </c>
      <c r="AO255" s="4">
        <f t="shared" ca="1" si="52"/>
        <v>-1.0311618181441773E-2</v>
      </c>
      <c r="AP255" s="4">
        <f t="shared" ca="1" si="53"/>
        <v>-5.7514674325092382E-3</v>
      </c>
    </row>
    <row r="256" spans="1:42" x14ac:dyDescent="0.3">
      <c r="J256" s="1"/>
      <c r="K256" s="3"/>
      <c r="L256" s="3"/>
      <c r="M256" s="3"/>
      <c r="O256" s="1"/>
      <c r="P256" s="4"/>
      <c r="Q256" s="4"/>
      <c r="R256" s="4"/>
      <c r="S256" s="4"/>
      <c r="T256">
        <v>250</v>
      </c>
      <c r="U256" s="4">
        <v>-1.1983250102477938E-2</v>
      </c>
      <c r="V256" s="4"/>
      <c r="W256">
        <v>251</v>
      </c>
      <c r="X256">
        <f t="shared" ca="1" si="57"/>
        <v>-0.73352889873995242</v>
      </c>
      <c r="Y256">
        <f t="shared" ca="1" si="57"/>
        <v>-0.981386641119396</v>
      </c>
      <c r="Z256">
        <f t="shared" ca="1" si="57"/>
        <v>0.23613503408019509</v>
      </c>
      <c r="AA256" s="4"/>
      <c r="AB256">
        <v>251</v>
      </c>
      <c r="AC256" s="24">
        <f t="shared" ca="1" si="47"/>
        <v>-0.73352889873995242</v>
      </c>
      <c r="AD256" s="24">
        <f t="shared" ca="1" si="48"/>
        <v>-1.1218679455535174</v>
      </c>
      <c r="AE256" s="24">
        <f t="shared" ca="1" si="49"/>
        <v>-0.74979225933770388</v>
      </c>
      <c r="AF256" s="24"/>
      <c r="AG256">
        <v>251</v>
      </c>
      <c r="AH256">
        <f t="shared" ca="1" si="58"/>
        <v>305.60593092058696</v>
      </c>
      <c r="AI256">
        <f t="shared" ca="1" si="59"/>
        <v>160.47386033908464</v>
      </c>
      <c r="AJ256">
        <f t="shared" ca="1" si="60"/>
        <v>52.329247132856537</v>
      </c>
      <c r="AL256">
        <v>251</v>
      </c>
      <c r="AM256" s="4">
        <f t="shared" ca="1" si="50"/>
        <v>-1.2390355127227193E-2</v>
      </c>
      <c r="AN256" s="4">
        <f t="shared" ca="1" si="51"/>
        <v>-2.3049642605417309E-2</v>
      </c>
      <c r="AO256" s="4">
        <f t="shared" ca="1" si="52"/>
        <v>-1.3214249718478954E-2</v>
      </c>
      <c r="AP256" s="4">
        <f t="shared" ca="1" si="53"/>
        <v>-1.6901238495878768E-2</v>
      </c>
    </row>
    <row r="257" spans="10:42" x14ac:dyDescent="0.3">
      <c r="J257" s="1"/>
      <c r="K257" s="3"/>
      <c r="M257" s="3"/>
      <c r="O257" s="1"/>
      <c r="P257" s="4"/>
      <c r="Q257" s="4"/>
      <c r="R257" s="4"/>
      <c r="S257" s="4"/>
      <c r="T257">
        <v>251</v>
      </c>
      <c r="U257" s="4">
        <v>-1.1903320227319514E-2</v>
      </c>
      <c r="V257" s="4"/>
      <c r="W257">
        <v>252</v>
      </c>
      <c r="X257">
        <f t="shared" ca="1" si="57"/>
        <v>-0.56561443109437604</v>
      </c>
      <c r="Y257">
        <f t="shared" ca="1" si="57"/>
        <v>2.3075152244692982</v>
      </c>
      <c r="Z257">
        <f t="shared" ca="1" si="57"/>
        <v>-2.1264109158606361</v>
      </c>
      <c r="AA257" s="4"/>
      <c r="AB257">
        <v>252</v>
      </c>
      <c r="AC257" s="24">
        <f t="shared" ca="1" si="47"/>
        <v>-0.56561443109437604</v>
      </c>
      <c r="AD257" s="24">
        <f t="shared" ca="1" si="48"/>
        <v>0.64481977395322487</v>
      </c>
      <c r="AE257" s="24">
        <f t="shared" ca="1" si="49"/>
        <v>-0.90387442153357012</v>
      </c>
      <c r="AF257" s="24"/>
      <c r="AG257">
        <v>252</v>
      </c>
      <c r="AH257">
        <f t="shared" ca="1" si="58"/>
        <v>306.47977792287156</v>
      </c>
      <c r="AI257">
        <f t="shared" ca="1" si="59"/>
        <v>166.47799994603503</v>
      </c>
      <c r="AJ257">
        <f t="shared" ca="1" si="60"/>
        <v>52.1863487606619</v>
      </c>
      <c r="AL257">
        <v>252</v>
      </c>
      <c r="AM257" s="4">
        <f t="shared" ca="1" si="50"/>
        <v>-9.5663924999321859E-3</v>
      </c>
      <c r="AN257" s="4">
        <f t="shared" ca="1" si="51"/>
        <v>1.3503016640535215E-2</v>
      </c>
      <c r="AO257" s="4">
        <f t="shared" ca="1" si="52"/>
        <v>-1.5908920197151954E-2</v>
      </c>
      <c r="AP257" s="4">
        <f t="shared" ca="1" si="53"/>
        <v>-2.2413871529111556E-3</v>
      </c>
    </row>
    <row r="258" spans="10:42" x14ac:dyDescent="0.3">
      <c r="J258" s="1"/>
      <c r="T258">
        <v>252</v>
      </c>
      <c r="U258" s="4">
        <v>-1.1881142255823264E-2</v>
      </c>
      <c r="V258" s="4"/>
      <c r="W258">
        <v>253</v>
      </c>
      <c r="X258">
        <f t="shared" ca="1" si="57"/>
        <v>1.3264333943367315</v>
      </c>
      <c r="Y258">
        <f t="shared" ca="1" si="57"/>
        <v>0.20782309084811107</v>
      </c>
      <c r="Z258">
        <f t="shared" ca="1" si="57"/>
        <v>0.46844119740483864</v>
      </c>
      <c r="AB258">
        <v>253</v>
      </c>
      <c r="AC258" s="24">
        <f t="shared" ca="1" si="47"/>
        <v>1.3264333943367315</v>
      </c>
      <c r="AD258" s="24">
        <f t="shared" ca="1" si="48"/>
        <v>1.2566342078264712</v>
      </c>
      <c r="AE258" s="24">
        <f t="shared" ca="1" si="49"/>
        <v>1.3777805924452602</v>
      </c>
      <c r="AF258" s="24"/>
      <c r="AG258">
        <v>253</v>
      </c>
      <c r="AH258">
        <f t="shared" ca="1" si="58"/>
        <v>316.50062358117731</v>
      </c>
      <c r="AI258">
        <f t="shared" ca="1" si="59"/>
        <v>168.609217227958</v>
      </c>
      <c r="AJ258">
        <f t="shared" ca="1" si="60"/>
        <v>54.342868653224848</v>
      </c>
      <c r="AL258">
        <v>253</v>
      </c>
      <c r="AM258" s="4">
        <f t="shared" ca="1" si="50"/>
        <v>2.2817415602587543E-2</v>
      </c>
      <c r="AN258" s="4">
        <f t="shared" ca="1" si="51"/>
        <v>2.6477674823872199E-2</v>
      </c>
      <c r="AO258" s="4">
        <f t="shared" ca="1" si="52"/>
        <v>2.4757116804622781E-2</v>
      </c>
      <c r="AP258" s="4">
        <f t="shared" ca="1" si="53"/>
        <v>2.4863429651711975E-2</v>
      </c>
    </row>
    <row r="259" spans="10:42" x14ac:dyDescent="0.3">
      <c r="T259">
        <v>253</v>
      </c>
      <c r="U259" s="4">
        <v>-1.1861456123176396E-2</v>
      </c>
      <c r="V259" s="4"/>
      <c r="W259">
        <v>254</v>
      </c>
      <c r="X259">
        <f t="shared" ca="1" si="57"/>
        <v>0.163772948959439</v>
      </c>
      <c r="Y259">
        <f t="shared" ca="1" si="57"/>
        <v>1.7330882627479065</v>
      </c>
      <c r="Z259">
        <f t="shared" ca="1" si="57"/>
        <v>-5.4637785076243242E-2</v>
      </c>
      <c r="AB259">
        <v>254</v>
      </c>
      <c r="AC259" s="24">
        <f t="shared" ca="1" si="47"/>
        <v>0.163772948959439</v>
      </c>
      <c r="AD259" s="24">
        <f t="shared" ca="1" si="48"/>
        <v>0.99647277036437498</v>
      </c>
      <c r="AE259" s="24">
        <f t="shared" ca="1" si="49"/>
        <v>0.58435950264973102</v>
      </c>
      <c r="AF259" s="24"/>
      <c r="AG259">
        <v>254</v>
      </c>
      <c r="AH259">
        <f t="shared" ca="1" si="58"/>
        <v>310.30468990176115</v>
      </c>
      <c r="AI259">
        <f t="shared" ca="1" si="59"/>
        <v>167.69964710808327</v>
      </c>
      <c r="AJ259">
        <f t="shared" ca="1" si="60"/>
        <v>53.583038786171159</v>
      </c>
      <c r="AL259">
        <v>254</v>
      </c>
      <c r="AM259" s="4">
        <f t="shared" ca="1" si="50"/>
        <v>2.7943622464223772E-3</v>
      </c>
      <c r="AN259" s="4">
        <f t="shared" ca="1" si="51"/>
        <v>2.0940294145116001E-2</v>
      </c>
      <c r="AO259" s="4">
        <f t="shared" ca="1" si="52"/>
        <v>1.0428814248629958E-2</v>
      </c>
      <c r="AP259" s="4">
        <f t="shared" ca="1" si="53"/>
        <v>1.23430706065621E-2</v>
      </c>
    </row>
    <row r="260" spans="10:42" x14ac:dyDescent="0.3">
      <c r="T260">
        <v>254</v>
      </c>
      <c r="U260" s="4">
        <v>-1.1841254210473561E-2</v>
      </c>
      <c r="V260" s="4"/>
      <c r="W260">
        <v>255</v>
      </c>
      <c r="X260">
        <f t="shared" ca="1" si="57"/>
        <v>-0.82738353895180705</v>
      </c>
      <c r="Y260">
        <f t="shared" ca="1" si="57"/>
        <v>-0.10168431651693625</v>
      </c>
      <c r="Z260">
        <f t="shared" ca="1" si="57"/>
        <v>0.24940566766517752</v>
      </c>
      <c r="AB260">
        <v>255</v>
      </c>
      <c r="AC260" s="24">
        <f t="shared" ca="1" si="47"/>
        <v>-0.82738353895180705</v>
      </c>
      <c r="AD260" s="24">
        <f t="shared" ca="1" si="48"/>
        <v>-0.77007383172940291</v>
      </c>
      <c r="AE260" s="24">
        <f t="shared" ca="1" si="49"/>
        <v>-0.57682503808597962</v>
      </c>
      <c r="AF260" s="24"/>
      <c r="AG260">
        <v>255</v>
      </c>
      <c r="AH260">
        <f t="shared" ca="1" si="58"/>
        <v>305.11858610424594</v>
      </c>
      <c r="AI260">
        <f t="shared" ca="1" si="59"/>
        <v>161.65192227821908</v>
      </c>
      <c r="AJ260">
        <f t="shared" ca="1" si="60"/>
        <v>52.490126041976438</v>
      </c>
      <c r="AL260">
        <v>255</v>
      </c>
      <c r="AM260" s="4">
        <f t="shared" ca="1" si="50"/>
        <v>-1.3965280193462881E-2</v>
      </c>
      <c r="AN260" s="4">
        <f t="shared" ca="1" si="51"/>
        <v>-1.5877707998507185E-2</v>
      </c>
      <c r="AO260" s="4">
        <f t="shared" ca="1" si="52"/>
        <v>-1.0180515741047502E-2</v>
      </c>
      <c r="AP260" s="4">
        <f t="shared" ca="1" si="53"/>
        <v>-1.3594821979755988E-2</v>
      </c>
    </row>
    <row r="261" spans="10:42" x14ac:dyDescent="0.3">
      <c r="T261">
        <v>255</v>
      </c>
      <c r="U261" s="4">
        <v>-1.1798954904346648E-2</v>
      </c>
      <c r="V261" s="4"/>
      <c r="W261">
        <v>256</v>
      </c>
      <c r="X261">
        <f t="shared" ca="1" si="57"/>
        <v>0.32556349731680162</v>
      </c>
      <c r="Y261">
        <f t="shared" ca="1" si="57"/>
        <v>-4.4992380891044924E-2</v>
      </c>
      <c r="Z261">
        <f t="shared" ca="1" si="57"/>
        <v>0.5740761815980866</v>
      </c>
      <c r="AB261">
        <v>256</v>
      </c>
      <c r="AC261" s="24">
        <f t="shared" ca="1" si="47"/>
        <v>0.32556349731680162</v>
      </c>
      <c r="AD261" s="24">
        <f t="shared" ca="1" si="48"/>
        <v>0.2611282606947003</v>
      </c>
      <c r="AE261" s="24">
        <f t="shared" ca="1" si="49"/>
        <v>0.5446662355597589</v>
      </c>
      <c r="AF261" s="24"/>
      <c r="AG261">
        <v>256</v>
      </c>
      <c r="AH261">
        <f t="shared" ca="1" si="58"/>
        <v>311.159568350602</v>
      </c>
      <c r="AI261">
        <f t="shared" ca="1" si="59"/>
        <v>165.15520082243467</v>
      </c>
      <c r="AJ261">
        <f t="shared" ca="1" si="60"/>
        <v>53.545306309552842</v>
      </c>
      <c r="AL261">
        <v>256</v>
      </c>
      <c r="AM261" s="4">
        <f t="shared" ca="1" si="50"/>
        <v>5.5570252573327039E-3</v>
      </c>
      <c r="AN261" s="4">
        <f t="shared" ca="1" si="51"/>
        <v>5.4499351365948634E-3</v>
      </c>
      <c r="AO261" s="4">
        <f t="shared" ca="1" si="52"/>
        <v>9.7172834644156936E-3</v>
      </c>
      <c r="AP261" s="4">
        <f t="shared" ca="1" si="53"/>
        <v>6.7622666711624644E-3</v>
      </c>
    </row>
    <row r="262" spans="10:42" x14ac:dyDescent="0.3">
      <c r="T262">
        <v>256</v>
      </c>
      <c r="U262" s="4">
        <v>-1.1781898351087906E-2</v>
      </c>
      <c r="V262" s="4"/>
      <c r="W262">
        <v>257</v>
      </c>
      <c r="X262">
        <f t="shared" ca="1" si="57"/>
        <v>1.2168484606640466</v>
      </c>
      <c r="Y262">
        <f t="shared" ca="1" si="57"/>
        <v>-0.33746132948707919</v>
      </c>
      <c r="Z262">
        <f t="shared" ca="1" si="57"/>
        <v>-0.42120036083531526</v>
      </c>
      <c r="AB262">
        <v>257</v>
      </c>
      <c r="AC262" s="24">
        <f t="shared" ref="AC262:AC325" ca="1" si="61">SUMPRODUCT($Q$24:$S$24,X262:Z262)</f>
        <v>1.2168484606640466</v>
      </c>
      <c r="AD262" s="24">
        <f t="shared" ref="AD262:AD325" ca="1" si="62">SUMPRODUCT($Q$25:$S$25,X262:Z262)</f>
        <v>0.89259267393804442</v>
      </c>
      <c r="AE262" s="24">
        <f t="shared" ref="AE262:AE325" ca="1" si="63">SUMPRODUCT($Q$26:$S$26,X262:Z262)</f>
        <v>0.68630363095042102</v>
      </c>
      <c r="AF262" s="24"/>
      <c r="AG262">
        <v>257</v>
      </c>
      <c r="AH262">
        <f t="shared" ca="1" si="58"/>
        <v>315.91139178349238</v>
      </c>
      <c r="AI262">
        <f t="shared" ca="1" si="59"/>
        <v>167.33783626423087</v>
      </c>
      <c r="AJ262">
        <f t="shared" ca="1" si="60"/>
        <v>53.680068904433583</v>
      </c>
      <c r="AL262">
        <v>257</v>
      </c>
      <c r="AM262" s="4">
        <f t="shared" ref="AM262:AM325" ca="1" si="64">AH262/$AH$2-1</f>
        <v>2.091322806045981E-2</v>
      </c>
      <c r="AN262" s="4">
        <f t="shared" ref="AN262:AN325" ca="1" si="65">AI262/$AI$2-1</f>
        <v>1.8737622429835232E-2</v>
      </c>
      <c r="AO262" s="4">
        <f t="shared" ref="AO262:AO325" ca="1" si="66">AJ262/$AJ$2-1</f>
        <v>1.2258535547818639E-2</v>
      </c>
      <c r="AP262" s="4">
        <f t="shared" ref="AP262:AP325" ca="1" si="67">SUMPRODUCT($P$6:$R$6,AM262:AO262)</f>
        <v>1.7446578054417627E-2</v>
      </c>
    </row>
    <row r="263" spans="10:42" x14ac:dyDescent="0.3">
      <c r="T263">
        <v>257</v>
      </c>
      <c r="U263" s="4">
        <v>-1.1652549667062983E-2</v>
      </c>
      <c r="V263" s="4"/>
      <c r="W263">
        <v>258</v>
      </c>
      <c r="X263">
        <f t="shared" ref="X263:Z326" ca="1" si="68">_xlfn.NORM.S.INV(RAND())</f>
        <v>-0.19048580780654317</v>
      </c>
      <c r="Y263">
        <f t="shared" ca="1" si="68"/>
        <v>-1.6534248602269785</v>
      </c>
      <c r="Z263">
        <f t="shared" ca="1" si="68"/>
        <v>0.19641092256807779</v>
      </c>
      <c r="AB263">
        <v>258</v>
      </c>
      <c r="AC263" s="24">
        <f t="shared" ca="1" si="61"/>
        <v>-0.19048580780654317</v>
      </c>
      <c r="AD263" s="24">
        <f t="shared" ca="1" si="62"/>
        <v>-0.980464360138388</v>
      </c>
      <c r="AE263" s="24">
        <f t="shared" ca="1" si="63"/>
        <v>-0.51222037874472826</v>
      </c>
      <c r="AF263" s="24"/>
      <c r="AG263">
        <v>258</v>
      </c>
      <c r="AH263">
        <f t="shared" ref="AH263:AH326" ca="1" si="69">$L$21*EXP(($L$19-(($L$20^2)/2))*(1/252)+$L$20*AC263)</f>
        <v>308.44102928622834</v>
      </c>
      <c r="AI263">
        <f t="shared" ref="AI263:AI326" ca="1" si="70">$M$21*EXP(($M$19-(($M$20^2)/2))*(1/252)+$M$20*AD263)</f>
        <v>160.94634671601582</v>
      </c>
      <c r="AJ263">
        <f t="shared" ref="AJ263:AJ326" ca="1" si="71">$N$21*EXP(($N$19-(($N$20^2)/2))*(1/252)+$N$20*AE263)</f>
        <v>52.550342406238535</v>
      </c>
      <c r="AL263">
        <v>258</v>
      </c>
      <c r="AM263" s="4">
        <f t="shared" ca="1" si="64"/>
        <v>-3.228325837952517E-3</v>
      </c>
      <c r="AN263" s="4">
        <f t="shared" ca="1" si="65"/>
        <v>-2.0173188248105656E-2</v>
      </c>
      <c r="AO263" s="4">
        <f t="shared" ca="1" si="66"/>
        <v>-9.045000643023271E-3</v>
      </c>
      <c r="AP263" s="4">
        <f t="shared" ca="1" si="67"/>
        <v>-1.1751273243534997E-2</v>
      </c>
    </row>
    <row r="264" spans="10:42" x14ac:dyDescent="0.3">
      <c r="T264">
        <v>258</v>
      </c>
      <c r="U264" s="4">
        <v>-1.1564640378454328E-2</v>
      </c>
      <c r="V264" s="4"/>
      <c r="W264">
        <v>259</v>
      </c>
      <c r="X264">
        <f t="shared" ca="1" si="68"/>
        <v>1.7829568995872416</v>
      </c>
      <c r="Y264">
        <f t="shared" ca="1" si="68"/>
        <v>-0.14309453767398675</v>
      </c>
      <c r="Z264">
        <f t="shared" ca="1" si="68"/>
        <v>-1.3675541231610839</v>
      </c>
      <c r="AB264">
        <v>259</v>
      </c>
      <c r="AC264" s="24">
        <f t="shared" ca="1" si="61"/>
        <v>1.7829568995872416</v>
      </c>
      <c r="AD264" s="24">
        <f t="shared" ca="1" si="62"/>
        <v>1.4809793166008081</v>
      </c>
      <c r="AE264" s="24">
        <f t="shared" ca="1" si="63"/>
        <v>0.72174163916054079</v>
      </c>
      <c r="AF264" s="24"/>
      <c r="AG264">
        <v>259</v>
      </c>
      <c r="AH264">
        <f t="shared" ca="1" si="69"/>
        <v>318.96717315426355</v>
      </c>
      <c r="AI264">
        <f t="shared" ca="1" si="70"/>
        <v>169.39752750848461</v>
      </c>
      <c r="AJ264">
        <f t="shared" ca="1" si="71"/>
        <v>53.713839834893534</v>
      </c>
      <c r="AL264">
        <v>259</v>
      </c>
      <c r="AM264" s="4">
        <f t="shared" ca="1" si="64"/>
        <v>3.078842631104739E-2</v>
      </c>
      <c r="AN264" s="4">
        <f t="shared" ca="1" si="65"/>
        <v>3.1276836560687027E-2</v>
      </c>
      <c r="AO264" s="4">
        <f t="shared" ca="1" si="66"/>
        <v>1.289536246159062E-2</v>
      </c>
      <c r="AP264" s="4">
        <f t="shared" ca="1" si="67"/>
        <v>2.5615871256066215E-2</v>
      </c>
    </row>
    <row r="265" spans="10:42" x14ac:dyDescent="0.3">
      <c r="T265">
        <v>259</v>
      </c>
      <c r="U265" s="4">
        <v>-1.1404784177571636E-2</v>
      </c>
      <c r="V265" s="4"/>
      <c r="W265">
        <v>260</v>
      </c>
      <c r="X265">
        <f t="shared" ca="1" si="68"/>
        <v>0.90545082804791444</v>
      </c>
      <c r="Y265">
        <f t="shared" ca="1" si="68"/>
        <v>-0.75893849301962124</v>
      </c>
      <c r="Z265">
        <f t="shared" ca="1" si="68"/>
        <v>-0.4049627105264576</v>
      </c>
      <c r="AB265">
        <v>260</v>
      </c>
      <c r="AC265" s="24">
        <f t="shared" ca="1" si="61"/>
        <v>0.90545082804791444</v>
      </c>
      <c r="AD265" s="24">
        <f t="shared" ca="1" si="62"/>
        <v>0.41394316586438962</v>
      </c>
      <c r="AE265" s="24">
        <f t="shared" ca="1" si="63"/>
        <v>0.3240260345832815</v>
      </c>
      <c r="AF265" s="24"/>
      <c r="AG265">
        <v>260</v>
      </c>
      <c r="AH265">
        <f t="shared" ca="1" si="69"/>
        <v>314.24300553230034</v>
      </c>
      <c r="AI265">
        <f t="shared" ca="1" si="70"/>
        <v>165.68077508122286</v>
      </c>
      <c r="AJ265">
        <f t="shared" ca="1" si="71"/>
        <v>53.336049244504444</v>
      </c>
      <c r="AL265">
        <v>260</v>
      </c>
      <c r="AM265" s="4">
        <f t="shared" ca="1" si="64"/>
        <v>1.5521597249870123E-2</v>
      </c>
      <c r="AN265" s="4">
        <f t="shared" ca="1" si="65"/>
        <v>8.6495837203302006E-3</v>
      </c>
      <c r="AO265" s="4">
        <f t="shared" ca="1" si="66"/>
        <v>5.7712704554526706E-3</v>
      </c>
      <c r="AP265" s="4">
        <f t="shared" ca="1" si="67"/>
        <v>9.8476937997289179E-3</v>
      </c>
    </row>
    <row r="266" spans="10:42" x14ac:dyDescent="0.3">
      <c r="T266">
        <v>260</v>
      </c>
      <c r="U266" s="4">
        <v>-1.1339505733081146E-2</v>
      </c>
      <c r="V266" s="4"/>
      <c r="W266">
        <v>261</v>
      </c>
      <c r="X266">
        <f t="shared" ca="1" si="68"/>
        <v>-1.216752078295533</v>
      </c>
      <c r="Y266">
        <f t="shared" ca="1" si="68"/>
        <v>0.17855205608731703</v>
      </c>
      <c r="Z266">
        <f t="shared" ca="1" si="68"/>
        <v>0.19506054068576778</v>
      </c>
      <c r="AB266">
        <v>261</v>
      </c>
      <c r="AC266" s="24">
        <f t="shared" ca="1" si="61"/>
        <v>-1.216752078295533</v>
      </c>
      <c r="AD266" s="24">
        <f t="shared" ca="1" si="62"/>
        <v>-0.97080970866115601</v>
      </c>
      <c r="AE266" s="24">
        <f t="shared" ca="1" si="63"/>
        <v>-0.84486079104031853</v>
      </c>
      <c r="AF266" s="24"/>
      <c r="AG266">
        <v>261</v>
      </c>
      <c r="AH266">
        <f t="shared" ca="1" si="69"/>
        <v>303.10505701163743</v>
      </c>
      <c r="AI266">
        <f t="shared" ca="1" si="70"/>
        <v>160.97865748657114</v>
      </c>
      <c r="AJ266">
        <f t="shared" ca="1" si="71"/>
        <v>52.241032822915805</v>
      </c>
      <c r="AL266">
        <v>261</v>
      </c>
      <c r="AM266" s="4">
        <f t="shared" ca="1" si="64"/>
        <v>-2.0472289877803251E-2</v>
      </c>
      <c r="AN266" s="4">
        <f t="shared" ca="1" si="65"/>
        <v>-1.9976483197357675E-2</v>
      </c>
      <c r="AO266" s="4">
        <f t="shared" ca="1" si="66"/>
        <v>-1.4877729106963611E-2</v>
      </c>
      <c r="AP266" s="4">
        <f t="shared" ca="1" si="67"/>
        <v>-1.8595598974373129E-2</v>
      </c>
    </row>
    <row r="267" spans="10:42" x14ac:dyDescent="0.3">
      <c r="T267">
        <v>261</v>
      </c>
      <c r="U267" s="4">
        <v>-1.1317390748558299E-2</v>
      </c>
      <c r="V267" s="4"/>
      <c r="W267">
        <v>262</v>
      </c>
      <c r="X267">
        <f t="shared" ca="1" si="68"/>
        <v>1.3485034421385054</v>
      </c>
      <c r="Y267">
        <f t="shared" ca="1" si="68"/>
        <v>-0.19599273249705926</v>
      </c>
      <c r="Z267">
        <f t="shared" ca="1" si="68"/>
        <v>-0.60332494188959507</v>
      </c>
      <c r="AB267">
        <v>262</v>
      </c>
      <c r="AC267" s="24">
        <f t="shared" ca="1" si="61"/>
        <v>1.3485034421385054</v>
      </c>
      <c r="AD267" s="24">
        <f t="shared" ca="1" si="62"/>
        <v>1.0768629713902611</v>
      </c>
      <c r="AE267" s="24">
        <f t="shared" ca="1" si="63"/>
        <v>0.74038484291935003</v>
      </c>
      <c r="AF267" s="24"/>
      <c r="AG267">
        <v>262</v>
      </c>
      <c r="AH267">
        <f t="shared" ca="1" si="69"/>
        <v>316.61942583363538</v>
      </c>
      <c r="AI267">
        <f t="shared" ca="1" si="70"/>
        <v>167.98018030615668</v>
      </c>
      <c r="AJ267">
        <f t="shared" ca="1" si="71"/>
        <v>53.731614551126682</v>
      </c>
      <c r="AL267">
        <v>262</v>
      </c>
      <c r="AM267" s="4">
        <f t="shared" ca="1" si="64"/>
        <v>2.3201342216860876E-2</v>
      </c>
      <c r="AN267" s="4">
        <f t="shared" ca="1" si="65"/>
        <v>2.2648154899133965E-2</v>
      </c>
      <c r="AO267" s="4">
        <f t="shared" ca="1" si="66"/>
        <v>1.3230544747887096E-2</v>
      </c>
      <c r="AP267" s="4">
        <f t="shared" ca="1" si="67"/>
        <v>1.9988828049077978E-2</v>
      </c>
    </row>
    <row r="268" spans="10:42" x14ac:dyDescent="0.3">
      <c r="T268">
        <v>262</v>
      </c>
      <c r="U268" s="4">
        <v>-1.1045424385004488E-2</v>
      </c>
      <c r="V268" s="4"/>
      <c r="W268">
        <v>263</v>
      </c>
      <c r="X268">
        <f t="shared" ca="1" si="68"/>
        <v>1.2568624019927954</v>
      </c>
      <c r="Y268">
        <f t="shared" ca="1" si="68"/>
        <v>0.48788920686402659</v>
      </c>
      <c r="Z268">
        <f t="shared" ca="1" si="68"/>
        <v>-0.13941321622820627</v>
      </c>
      <c r="AB268">
        <v>263</v>
      </c>
      <c r="AC268" s="24">
        <f t="shared" ca="1" si="61"/>
        <v>1.2568624019927954</v>
      </c>
      <c r="AD268" s="24">
        <f t="shared" ca="1" si="62"/>
        <v>1.3340948347321775</v>
      </c>
      <c r="AE268" s="24">
        <f t="shared" ca="1" si="63"/>
        <v>1.0898106477088776</v>
      </c>
      <c r="AF268" s="24"/>
      <c r="AG268">
        <v>263</v>
      </c>
      <c r="AH268">
        <f t="shared" ca="1" si="69"/>
        <v>316.12641715783479</v>
      </c>
      <c r="AI268">
        <f t="shared" ca="1" si="70"/>
        <v>168.88098508437366</v>
      </c>
      <c r="AJ268">
        <f t="shared" ca="1" si="71"/>
        <v>54.065852861394823</v>
      </c>
      <c r="AL268">
        <v>263</v>
      </c>
      <c r="AM268" s="4">
        <f t="shared" ca="1" si="64"/>
        <v>2.1608113571854215E-2</v>
      </c>
      <c r="AN268" s="4">
        <f t="shared" ca="1" si="65"/>
        <v>2.813217297012871E-2</v>
      </c>
      <c r="AO268" s="4">
        <f t="shared" ca="1" si="66"/>
        <v>1.9533360474117689E-2</v>
      </c>
      <c r="AP268" s="4">
        <f t="shared" ca="1" si="67"/>
        <v>2.3595311401843056E-2</v>
      </c>
    </row>
    <row r="269" spans="10:42" x14ac:dyDescent="0.3">
      <c r="T269">
        <v>263</v>
      </c>
      <c r="U269" s="4">
        <v>-1.102321893516065E-2</v>
      </c>
      <c r="V269" s="4"/>
      <c r="W269">
        <v>264</v>
      </c>
      <c r="X269">
        <f t="shared" ca="1" si="68"/>
        <v>9.1693601737369845E-2</v>
      </c>
      <c r="Y269">
        <f t="shared" ca="1" si="68"/>
        <v>0.12878481863160224</v>
      </c>
      <c r="Z269">
        <f t="shared" ca="1" si="68"/>
        <v>-0.71385833109458141</v>
      </c>
      <c r="AB269">
        <v>264</v>
      </c>
      <c r="AC269" s="24">
        <f t="shared" ca="1" si="61"/>
        <v>9.1693601737369845E-2</v>
      </c>
      <c r="AD269" s="24">
        <f t="shared" ca="1" si="62"/>
        <v>0.14324703228753183</v>
      </c>
      <c r="AE269" s="24">
        <f t="shared" ca="1" si="63"/>
        <v>-0.25190077207784356</v>
      </c>
      <c r="AF269" s="24"/>
      <c r="AG269">
        <v>264</v>
      </c>
      <c r="AH269">
        <f t="shared" ca="1" si="69"/>
        <v>309.92458944277138</v>
      </c>
      <c r="AI269">
        <f t="shared" ca="1" si="70"/>
        <v>164.75091286500074</v>
      </c>
      <c r="AJ269">
        <f t="shared" ca="1" si="71"/>
        <v>52.793680495336396</v>
      </c>
      <c r="AL269">
        <v>264</v>
      </c>
      <c r="AM269" s="4">
        <f t="shared" ca="1" si="64"/>
        <v>1.5660127893681874E-3</v>
      </c>
      <c r="AN269" s="4">
        <f t="shared" ca="1" si="65"/>
        <v>2.9886665931022627E-3</v>
      </c>
      <c r="AO269" s="4">
        <f t="shared" ca="1" si="66"/>
        <v>-4.4563132076227419E-3</v>
      </c>
      <c r="AP269" s="4">
        <f t="shared" ca="1" si="67"/>
        <v>3.2837651176453875E-4</v>
      </c>
    </row>
    <row r="270" spans="10:42" x14ac:dyDescent="0.3">
      <c r="T270">
        <v>264</v>
      </c>
      <c r="U270" s="4">
        <v>-1.1000804750310345E-2</v>
      </c>
      <c r="V270" s="4"/>
      <c r="W270">
        <v>265</v>
      </c>
      <c r="X270">
        <f t="shared" ca="1" si="68"/>
        <v>1.6441857355273812</v>
      </c>
      <c r="Y270">
        <f t="shared" ca="1" si="68"/>
        <v>0.42868235187742942</v>
      </c>
      <c r="Z270">
        <f t="shared" ca="1" si="68"/>
        <v>0.44720952916350554</v>
      </c>
      <c r="AB270">
        <v>265</v>
      </c>
      <c r="AC270" s="24">
        <f t="shared" ca="1" si="61"/>
        <v>1.6441857355273812</v>
      </c>
      <c r="AD270" s="24">
        <f t="shared" ca="1" si="62"/>
        <v>1.6419610347203537</v>
      </c>
      <c r="AE270" s="24">
        <f t="shared" ca="1" si="63"/>
        <v>1.6873306386072042</v>
      </c>
      <c r="AF270" s="24"/>
      <c r="AG270">
        <v>265</v>
      </c>
      <c r="AH270">
        <f t="shared" ca="1" si="69"/>
        <v>318.21538021077248</v>
      </c>
      <c r="AI270">
        <f t="shared" ca="1" si="70"/>
        <v>169.96545989208167</v>
      </c>
      <c r="AJ270">
        <f t="shared" ca="1" si="71"/>
        <v>54.642226727593162</v>
      </c>
      <c r="AL270">
        <v>265</v>
      </c>
      <c r="AM270" s="4">
        <f t="shared" ca="1" si="64"/>
        <v>2.835889897922339E-2</v>
      </c>
      <c r="AN270" s="4">
        <f t="shared" ca="1" si="65"/>
        <v>3.4734357579740749E-2</v>
      </c>
      <c r="AO270" s="4">
        <f t="shared" ca="1" si="66"/>
        <v>3.0402187165913919E-2</v>
      </c>
      <c r="AP270" s="4">
        <f t="shared" ca="1" si="67"/>
        <v>3.1522068875437494E-2</v>
      </c>
    </row>
    <row r="271" spans="10:42" x14ac:dyDescent="0.3">
      <c r="T271">
        <v>265</v>
      </c>
      <c r="U271" s="4">
        <v>-1.084524412369965E-2</v>
      </c>
      <c r="V271" s="4"/>
      <c r="W271">
        <v>266</v>
      </c>
      <c r="X271">
        <f t="shared" ca="1" si="68"/>
        <v>-0.52087760236346059</v>
      </c>
      <c r="Y271">
        <f t="shared" ca="1" si="68"/>
        <v>-4.7362778665116387E-2</v>
      </c>
      <c r="Z271">
        <f t="shared" ca="1" si="68"/>
        <v>-0.39078858010848166</v>
      </c>
      <c r="AB271">
        <v>266</v>
      </c>
      <c r="AC271" s="24">
        <f t="shared" ca="1" si="61"/>
        <v>-0.52087760236346059</v>
      </c>
      <c r="AD271" s="24">
        <f t="shared" ca="1" si="62"/>
        <v>-0.4765931091678226</v>
      </c>
      <c r="AE271" s="24">
        <f t="shared" ca="1" si="63"/>
        <v>-0.63655988513172801</v>
      </c>
      <c r="AF271" s="24"/>
      <c r="AG271">
        <v>266</v>
      </c>
      <c r="AH271">
        <f t="shared" ca="1" si="69"/>
        <v>306.7130149810705</v>
      </c>
      <c r="AI271">
        <f t="shared" ca="1" si="70"/>
        <v>162.64132281265194</v>
      </c>
      <c r="AJ271">
        <f t="shared" ca="1" si="71"/>
        <v>52.434510102960452</v>
      </c>
      <c r="AL271">
        <v>266</v>
      </c>
      <c r="AM271" s="4">
        <f t="shared" ca="1" si="64"/>
        <v>-8.8126533053911604E-3</v>
      </c>
      <c r="AN271" s="4">
        <f t="shared" ca="1" si="65"/>
        <v>-9.8543269713533554E-3</v>
      </c>
      <c r="AO271" s="4">
        <f t="shared" ca="1" si="66"/>
        <v>-1.1229279465283071E-2</v>
      </c>
      <c r="AP271" s="4">
        <f t="shared" ca="1" si="67"/>
        <v>-9.9543106197436115E-3</v>
      </c>
    </row>
    <row r="272" spans="10:42" x14ac:dyDescent="0.3">
      <c r="T272">
        <v>266</v>
      </c>
      <c r="U272" s="4">
        <v>-1.0754605274165108E-2</v>
      </c>
      <c r="V272" s="4"/>
      <c r="W272">
        <v>267</v>
      </c>
      <c r="X272">
        <f t="shared" ca="1" si="68"/>
        <v>0.23182498167737464</v>
      </c>
      <c r="Y272">
        <f t="shared" ca="1" si="68"/>
        <v>-0.8227345647896479</v>
      </c>
      <c r="Z272">
        <f t="shared" ca="1" si="68"/>
        <v>0.80706366544507702</v>
      </c>
      <c r="AB272">
        <v>267</v>
      </c>
      <c r="AC272" s="24">
        <f t="shared" ca="1" si="61"/>
        <v>0.23182498167737464</v>
      </c>
      <c r="AD272" s="24">
        <f t="shared" ca="1" si="62"/>
        <v>-0.20366525223881202</v>
      </c>
      <c r="AE272" s="24">
        <f t="shared" ca="1" si="63"/>
        <v>0.37170600409312116</v>
      </c>
      <c r="AF272" s="24"/>
      <c r="AG272">
        <v>267</v>
      </c>
      <c r="AH272">
        <f t="shared" ca="1" si="69"/>
        <v>310.66398068990009</v>
      </c>
      <c r="AI272">
        <f t="shared" ca="1" si="70"/>
        <v>163.56686787237484</v>
      </c>
      <c r="AJ272">
        <f t="shared" ca="1" si="71"/>
        <v>53.381199961599975</v>
      </c>
      <c r="AL272">
        <v>267</v>
      </c>
      <c r="AM272" s="4">
        <f t="shared" ca="1" si="64"/>
        <v>3.9554622506372539E-3</v>
      </c>
      <c r="AN272" s="4">
        <f t="shared" ca="1" si="65"/>
        <v>-4.2196923026885935E-3</v>
      </c>
      <c r="AO272" s="4">
        <f t="shared" ca="1" si="66"/>
        <v>6.6226888626723657E-3</v>
      </c>
      <c r="AP272" s="4">
        <f t="shared" ca="1" si="67"/>
        <v>1.4855684129174481E-3</v>
      </c>
    </row>
    <row r="273" spans="20:42" x14ac:dyDescent="0.3">
      <c r="T273">
        <v>267</v>
      </c>
      <c r="U273" s="4">
        <v>-1.0625914380224056E-2</v>
      </c>
      <c r="V273" s="4"/>
      <c r="W273">
        <v>268</v>
      </c>
      <c r="X273">
        <f t="shared" ca="1" si="68"/>
        <v>2.5963582654706722E-2</v>
      </c>
      <c r="Y273">
        <f t="shared" ca="1" si="68"/>
        <v>-1.3572932031794729</v>
      </c>
      <c r="Z273">
        <f t="shared" ca="1" si="68"/>
        <v>-0.57035904377351909</v>
      </c>
      <c r="AB273">
        <v>268</v>
      </c>
      <c r="AC273" s="24">
        <f t="shared" ca="1" si="61"/>
        <v>2.5963582654706722E-2</v>
      </c>
      <c r="AD273" s="24">
        <f t="shared" ca="1" si="62"/>
        <v>-0.64619931126903007</v>
      </c>
      <c r="AE273" s="24">
        <f t="shared" ca="1" si="63"/>
        <v>-0.64295007196766285</v>
      </c>
      <c r="AF273" s="24"/>
      <c r="AG273">
        <v>268</v>
      </c>
      <c r="AH273">
        <f t="shared" ca="1" si="69"/>
        <v>309.57837718283457</v>
      </c>
      <c r="AI273">
        <f t="shared" ca="1" si="70"/>
        <v>162.068799582911</v>
      </c>
      <c r="AJ273">
        <f t="shared" ca="1" si="71"/>
        <v>52.428564030079983</v>
      </c>
      <c r="AL273">
        <v>268</v>
      </c>
      <c r="AM273" s="4">
        <f t="shared" ca="1" si="64"/>
        <v>4.471779354213723E-4</v>
      </c>
      <c r="AN273" s="4">
        <f t="shared" ca="1" si="65"/>
        <v>-1.3339796646789859E-2</v>
      </c>
      <c r="AO273" s="4">
        <f t="shared" ca="1" si="66"/>
        <v>-1.1341406054333536E-2</v>
      </c>
      <c r="AP273" s="4">
        <f t="shared" ca="1" si="67"/>
        <v>-8.6041870943895926E-3</v>
      </c>
    </row>
    <row r="274" spans="20:42" x14ac:dyDescent="0.3">
      <c r="T274">
        <v>268</v>
      </c>
      <c r="U274" s="4">
        <v>-1.0590165162927623E-2</v>
      </c>
      <c r="V274" s="4"/>
      <c r="W274">
        <v>269</v>
      </c>
      <c r="X274">
        <f t="shared" ca="1" si="68"/>
        <v>0.56744463996264682</v>
      </c>
      <c r="Y274">
        <f t="shared" ca="1" si="68"/>
        <v>0.66575289018021178</v>
      </c>
      <c r="Z274">
        <f t="shared" ca="1" si="68"/>
        <v>1.5011148606394067</v>
      </c>
      <c r="AB274">
        <v>269</v>
      </c>
      <c r="AC274" s="24">
        <f t="shared" ca="1" si="61"/>
        <v>0.56744463996264682</v>
      </c>
      <c r="AD274" s="24">
        <f t="shared" ca="1" si="62"/>
        <v>0.82182000872578298</v>
      </c>
      <c r="AE274" s="24">
        <f t="shared" ca="1" si="63"/>
        <v>1.4087814421608127</v>
      </c>
      <c r="AF274" s="24"/>
      <c r="AG274">
        <v>269</v>
      </c>
      <c r="AH274">
        <f t="shared" ca="1" si="69"/>
        <v>312.44202873162476</v>
      </c>
      <c r="AI274">
        <f t="shared" ca="1" si="70"/>
        <v>167.09178465202172</v>
      </c>
      <c r="AJ274">
        <f t="shared" ca="1" si="71"/>
        <v>54.372774748619847</v>
      </c>
      <c r="AL274">
        <v>269</v>
      </c>
      <c r="AM274" s="4">
        <f t="shared" ca="1" si="64"/>
        <v>9.7014809544127001E-3</v>
      </c>
      <c r="AN274" s="4">
        <f t="shared" ca="1" si="65"/>
        <v>1.7239682453958016E-2</v>
      </c>
      <c r="AO274" s="4">
        <f t="shared" ca="1" si="66"/>
        <v>2.5321063553319867E-2</v>
      </c>
      <c r="AP274" s="4">
        <f t="shared" ca="1" si="67"/>
        <v>1.7402636333902977E-2</v>
      </c>
    </row>
    <row r="275" spans="20:42" x14ac:dyDescent="0.3">
      <c r="T275">
        <v>269</v>
      </c>
      <c r="U275" s="4">
        <v>-1.0526474533404006E-2</v>
      </c>
      <c r="V275" s="4"/>
      <c r="W275">
        <v>270</v>
      </c>
      <c r="X275">
        <f t="shared" ca="1" si="68"/>
        <v>1.17902741551497</v>
      </c>
      <c r="Y275">
        <f t="shared" ca="1" si="68"/>
        <v>-0.94187895868279747</v>
      </c>
      <c r="Z275">
        <f t="shared" ca="1" si="68"/>
        <v>-4.7280788622919297E-2</v>
      </c>
      <c r="AB275">
        <v>270</v>
      </c>
      <c r="AC275" s="24">
        <f t="shared" ca="1" si="61"/>
        <v>1.17902741551497</v>
      </c>
      <c r="AD275" s="24">
        <f t="shared" ca="1" si="62"/>
        <v>0.56186113028522244</v>
      </c>
      <c r="AE275" s="24">
        <f t="shared" ca="1" si="63"/>
        <v>0.67835561605845718</v>
      </c>
      <c r="AF275" s="24"/>
      <c r="AG275">
        <v>270</v>
      </c>
      <c r="AH275">
        <f t="shared" ca="1" si="69"/>
        <v>315.70828496591395</v>
      </c>
      <c r="AI275">
        <f t="shared" ca="1" si="70"/>
        <v>166.19110030506684</v>
      </c>
      <c r="AJ275">
        <f t="shared" ca="1" si="71"/>
        <v>53.672497696205923</v>
      </c>
      <c r="AL275">
        <v>270</v>
      </c>
      <c r="AM275" s="4">
        <f t="shared" ca="1" si="64"/>
        <v>2.0256859084322398E-2</v>
      </c>
      <c r="AN275" s="4">
        <f t="shared" ca="1" si="65"/>
        <v>1.1756397557601828E-2</v>
      </c>
      <c r="AO275" s="4">
        <f t="shared" ca="1" si="66"/>
        <v>1.2115763373540922E-2</v>
      </c>
      <c r="AP275" s="4">
        <f t="shared" ca="1" si="67"/>
        <v>1.4414345760399726E-2</v>
      </c>
    </row>
    <row r="276" spans="20:42" x14ac:dyDescent="0.3">
      <c r="T276">
        <v>270</v>
      </c>
      <c r="U276" s="4">
        <v>-1.0496053486217327E-2</v>
      </c>
      <c r="V276" s="4"/>
      <c r="W276">
        <v>271</v>
      </c>
      <c r="X276">
        <f t="shared" ca="1" si="68"/>
        <v>-1.373250034875827</v>
      </c>
      <c r="Y276">
        <f t="shared" ca="1" si="68"/>
        <v>-0.10708043978433525</v>
      </c>
      <c r="Z276">
        <f t="shared" ca="1" si="68"/>
        <v>-0.8170296457165539</v>
      </c>
      <c r="AB276">
        <v>271</v>
      </c>
      <c r="AC276" s="24">
        <f t="shared" ca="1" si="61"/>
        <v>-1.373250034875827</v>
      </c>
      <c r="AD276" s="24">
        <f t="shared" ca="1" si="62"/>
        <v>-1.2477330592193414</v>
      </c>
      <c r="AE276" s="24">
        <f t="shared" ca="1" si="63"/>
        <v>-1.5650979639540026</v>
      </c>
      <c r="AF276" s="24"/>
      <c r="AG276">
        <v>271</v>
      </c>
      <c r="AH276">
        <f t="shared" ca="1" si="69"/>
        <v>302.29951267441083</v>
      </c>
      <c r="AI276">
        <f t="shared" ca="1" si="70"/>
        <v>160.05446119507255</v>
      </c>
      <c r="AJ276">
        <f t="shared" ca="1" si="71"/>
        <v>51.577536156873073</v>
      </c>
      <c r="AL276">
        <v>271</v>
      </c>
      <c r="AM276" s="4">
        <f t="shared" ca="1" si="64"/>
        <v>-2.3075522591321285E-2</v>
      </c>
      <c r="AN276" s="4">
        <f t="shared" ca="1" si="65"/>
        <v>-2.560290668698062E-2</v>
      </c>
      <c r="AO276" s="4">
        <f t="shared" ca="1" si="66"/>
        <v>-2.7389452307337692E-2</v>
      </c>
      <c r="AP276" s="4">
        <f t="shared" ca="1" si="67"/>
        <v>-2.5380655144389939E-2</v>
      </c>
    </row>
    <row r="277" spans="20:42" x14ac:dyDescent="0.3">
      <c r="T277">
        <v>271</v>
      </c>
      <c r="U277" s="4">
        <v>-1.0425932235726344E-2</v>
      </c>
      <c r="V277" s="4"/>
      <c r="W277">
        <v>272</v>
      </c>
      <c r="X277">
        <f t="shared" ca="1" si="68"/>
        <v>-0.99730187857496433</v>
      </c>
      <c r="Y277">
        <f t="shared" ca="1" si="68"/>
        <v>-6.3117765927708985E-2</v>
      </c>
      <c r="Z277">
        <f t="shared" ca="1" si="68"/>
        <v>-1.2579685016678963</v>
      </c>
      <c r="AB277">
        <v>272</v>
      </c>
      <c r="AC277" s="24">
        <f t="shared" ca="1" si="61"/>
        <v>-0.99730187857496433</v>
      </c>
      <c r="AD277" s="24">
        <f t="shared" ca="1" si="62"/>
        <v>-0.89892955363610316</v>
      </c>
      <c r="AE277" s="24">
        <f t="shared" ca="1" si="63"/>
        <v>-1.469886536123453</v>
      </c>
      <c r="AF277" s="24"/>
      <c r="AG277">
        <v>272</v>
      </c>
      <c r="AH277">
        <f t="shared" ca="1" si="69"/>
        <v>304.23825310295155</v>
      </c>
      <c r="AI277">
        <f t="shared" ca="1" si="70"/>
        <v>161.2194194487584</v>
      </c>
      <c r="AJ277">
        <f t="shared" ca="1" si="71"/>
        <v>51.664761105297515</v>
      </c>
      <c r="AL277">
        <v>272</v>
      </c>
      <c r="AM277" s="4">
        <f t="shared" ca="1" si="64"/>
        <v>-1.6810203262066836E-2</v>
      </c>
      <c r="AN277" s="4">
        <f t="shared" ca="1" si="65"/>
        <v>-1.851074613271142E-2</v>
      </c>
      <c r="AO277" s="4">
        <f t="shared" ca="1" si="66"/>
        <v>-2.5744629557341803E-2</v>
      </c>
      <c r="AP277" s="4">
        <f t="shared" ca="1" si="67"/>
        <v>-2.0170748298907158E-2</v>
      </c>
    </row>
    <row r="278" spans="20:42" x14ac:dyDescent="0.3">
      <c r="T278">
        <v>272</v>
      </c>
      <c r="U278" s="4">
        <v>-1.0406711193958208E-2</v>
      </c>
      <c r="V278" s="4"/>
      <c r="W278">
        <v>273</v>
      </c>
      <c r="X278">
        <f t="shared" ca="1" si="68"/>
        <v>-1.7110821911378555</v>
      </c>
      <c r="Y278">
        <f t="shared" ca="1" si="68"/>
        <v>0.21399108546123741</v>
      </c>
      <c r="Z278">
        <f t="shared" ca="1" si="68"/>
        <v>-0.1143491056494239</v>
      </c>
      <c r="AB278">
        <v>273</v>
      </c>
      <c r="AC278" s="24">
        <f t="shared" ca="1" si="61"/>
        <v>-1.7110821911378555</v>
      </c>
      <c r="AD278" s="24">
        <f t="shared" ca="1" si="62"/>
        <v>-1.3835020728434424</v>
      </c>
      <c r="AE278" s="24">
        <f t="shared" ca="1" si="63"/>
        <v>-1.3955936734451482</v>
      </c>
      <c r="AF278" s="24"/>
      <c r="AG278">
        <v>273</v>
      </c>
      <c r="AH278">
        <f t="shared" ca="1" si="69"/>
        <v>300.56787541629137</v>
      </c>
      <c r="AI278">
        <f t="shared" ca="1" si="70"/>
        <v>159.6032897346721</v>
      </c>
      <c r="AJ278">
        <f t="shared" ca="1" si="71"/>
        <v>51.73292461368316</v>
      </c>
      <c r="AL278">
        <v>273</v>
      </c>
      <c r="AM278" s="4">
        <f t="shared" ca="1" si="64"/>
        <v>-2.8671558153812504E-2</v>
      </c>
      <c r="AN278" s="4">
        <f t="shared" ca="1" si="65"/>
        <v>-2.8349597758991374E-2</v>
      </c>
      <c r="AO278" s="4">
        <f t="shared" ca="1" si="66"/>
        <v>-2.445925316747366E-2</v>
      </c>
      <c r="AP278" s="4">
        <f t="shared" ca="1" si="67"/>
        <v>-2.7279082499982399E-2</v>
      </c>
    </row>
    <row r="279" spans="20:42" x14ac:dyDescent="0.3">
      <c r="T279">
        <v>273</v>
      </c>
      <c r="U279" s="4">
        <v>-1.0393208368261086E-2</v>
      </c>
      <c r="V279" s="4"/>
      <c r="W279">
        <v>274</v>
      </c>
      <c r="X279">
        <f t="shared" ca="1" si="68"/>
        <v>-0.83606984033665077</v>
      </c>
      <c r="Y279">
        <f t="shared" ca="1" si="68"/>
        <v>1.1280286188453912</v>
      </c>
      <c r="Z279">
        <f t="shared" ca="1" si="68"/>
        <v>0.79811741456085317</v>
      </c>
      <c r="AB279">
        <v>274</v>
      </c>
      <c r="AC279" s="24">
        <f t="shared" ca="1" si="61"/>
        <v>-0.83606984033665077</v>
      </c>
      <c r="AD279" s="24">
        <f t="shared" ca="1" si="62"/>
        <v>-0.17170409193282843</v>
      </c>
      <c r="AE279" s="24">
        <f t="shared" ca="1" si="63"/>
        <v>3.4022775445941011E-2</v>
      </c>
      <c r="AF279" s="24"/>
      <c r="AG279">
        <v>274</v>
      </c>
      <c r="AH279">
        <f t="shared" ca="1" si="69"/>
        <v>305.07352136958656</v>
      </c>
      <c r="AI279">
        <f t="shared" ca="1" si="70"/>
        <v>163.67559757075529</v>
      </c>
      <c r="AJ279">
        <f t="shared" ca="1" si="71"/>
        <v>53.062250976248038</v>
      </c>
      <c r="AL279">
        <v>274</v>
      </c>
      <c r="AM279" s="4">
        <f t="shared" ca="1" si="64"/>
        <v>-1.41109133834314E-2</v>
      </c>
      <c r="AN279" s="4">
        <f t="shared" ca="1" si="65"/>
        <v>-3.5577557264279136E-3</v>
      </c>
      <c r="AO279" s="4">
        <f t="shared" ca="1" si="66"/>
        <v>6.0818777472482211E-4</v>
      </c>
      <c r="AP279" s="4">
        <f t="shared" ca="1" si="67"/>
        <v>-5.4739199731831389E-3</v>
      </c>
    </row>
    <row r="280" spans="20:42" x14ac:dyDescent="0.3">
      <c r="T280">
        <v>274</v>
      </c>
      <c r="U280" s="4">
        <v>-1.0154813509919213E-2</v>
      </c>
      <c r="V280" s="4"/>
      <c r="W280">
        <v>275</v>
      </c>
      <c r="X280">
        <f t="shared" ca="1" si="68"/>
        <v>1.7227649607207614</v>
      </c>
      <c r="Y280">
        <f t="shared" ca="1" si="68"/>
        <v>0.7469521295107846</v>
      </c>
      <c r="Z280">
        <f t="shared" ca="1" si="68"/>
        <v>-1.8309519167071893</v>
      </c>
      <c r="AB280">
        <v>275</v>
      </c>
      <c r="AC280" s="24">
        <f t="shared" ca="1" si="61"/>
        <v>1.7227649607207614</v>
      </c>
      <c r="AD280" s="24">
        <f t="shared" ca="1" si="62"/>
        <v>1.8671629991468643</v>
      </c>
      <c r="AE280" s="24">
        <f t="shared" ca="1" si="63"/>
        <v>0.68312416843613433</v>
      </c>
      <c r="AF280" s="24"/>
      <c r="AG280">
        <v>275</v>
      </c>
      <c r="AH280">
        <f t="shared" ca="1" si="69"/>
        <v>318.64086538230424</v>
      </c>
      <c r="AI280">
        <f t="shared" ca="1" si="70"/>
        <v>170.76315328070115</v>
      </c>
      <c r="AJ280">
        <f t="shared" ca="1" si="71"/>
        <v>53.67704004859096</v>
      </c>
      <c r="AL280">
        <v>275</v>
      </c>
      <c r="AM280" s="4">
        <f t="shared" ca="1" si="64"/>
        <v>2.973391568092576E-2</v>
      </c>
      <c r="AN280" s="4">
        <f t="shared" ca="1" si="65"/>
        <v>3.9590642830537481E-2</v>
      </c>
      <c r="AO280" s="4">
        <f t="shared" ca="1" si="66"/>
        <v>1.2201419652809298E-2</v>
      </c>
      <c r="AP280" s="4">
        <f t="shared" ca="1" si="67"/>
        <v>2.8416857732335508E-2</v>
      </c>
    </row>
    <row r="281" spans="20:42" x14ac:dyDescent="0.3">
      <c r="T281">
        <v>275</v>
      </c>
      <c r="U281" s="4">
        <v>-1.0145032554985235E-2</v>
      </c>
      <c r="V281" s="4"/>
      <c r="W281">
        <v>276</v>
      </c>
      <c r="X281">
        <f t="shared" ca="1" si="68"/>
        <v>0.48844970817484762</v>
      </c>
      <c r="Y281">
        <f t="shared" ca="1" si="68"/>
        <v>1.8500139339346893</v>
      </c>
      <c r="Z281">
        <f t="shared" ca="1" si="68"/>
        <v>0.15817632865592354</v>
      </c>
      <c r="AB281">
        <v>276</v>
      </c>
      <c r="AC281" s="24">
        <f t="shared" ca="1" si="61"/>
        <v>0.48844970817484762</v>
      </c>
      <c r="AD281" s="24">
        <f t="shared" ca="1" si="62"/>
        <v>1.3366128612256767</v>
      </c>
      <c r="AE281" s="24">
        <f t="shared" ca="1" si="63"/>
        <v>0.98965279069824752</v>
      </c>
      <c r="AF281" s="24"/>
      <c r="AG281">
        <v>276</v>
      </c>
      <c r="AH281">
        <f t="shared" ca="1" si="69"/>
        <v>312.02261527840778</v>
      </c>
      <c r="AI281">
        <f t="shared" ca="1" si="70"/>
        <v>168.88982683819603</v>
      </c>
      <c r="AJ281">
        <f t="shared" ca="1" si="71"/>
        <v>53.969836279145206</v>
      </c>
      <c r="AL281">
        <v>276</v>
      </c>
      <c r="AM281" s="4">
        <f t="shared" ca="1" si="64"/>
        <v>8.3460858861994502E-3</v>
      </c>
      <c r="AN281" s="4">
        <f t="shared" ca="1" si="65"/>
        <v>2.8186000768241737E-2</v>
      </c>
      <c r="AO281" s="4">
        <f t="shared" ca="1" si="66"/>
        <v>1.7722751677967663E-2</v>
      </c>
      <c r="AP281" s="4">
        <f t="shared" ca="1" si="67"/>
        <v>1.9095051576546829E-2</v>
      </c>
    </row>
    <row r="282" spans="20:42" x14ac:dyDescent="0.3">
      <c r="T282">
        <v>276</v>
      </c>
      <c r="U282" s="4">
        <v>-1.0125454341825891E-2</v>
      </c>
      <c r="V282" s="4"/>
      <c r="W282">
        <v>277</v>
      </c>
      <c r="X282">
        <f t="shared" ca="1" si="68"/>
        <v>-8.5308890935819112E-3</v>
      </c>
      <c r="Y282">
        <f t="shared" ca="1" si="68"/>
        <v>1.4343336012234635</v>
      </c>
      <c r="Z282">
        <f t="shared" ca="1" si="68"/>
        <v>-0.46826367666226887</v>
      </c>
      <c r="AB282">
        <v>277</v>
      </c>
      <c r="AC282" s="24">
        <f t="shared" ca="1" si="61"/>
        <v>-8.5308890935819112E-3</v>
      </c>
      <c r="AD282" s="24">
        <f t="shared" ca="1" si="62"/>
        <v>0.69932969724720628</v>
      </c>
      <c r="AE282" s="24">
        <f t="shared" ca="1" si="63"/>
        <v>0.15132871941325426</v>
      </c>
      <c r="AF282" s="24"/>
      <c r="AG282">
        <v>277</v>
      </c>
      <c r="AH282">
        <f t="shared" ca="1" si="69"/>
        <v>309.39684313633438</v>
      </c>
      <c r="AI282">
        <f t="shared" ca="1" si="70"/>
        <v>166.66678366956825</v>
      </c>
      <c r="AJ282">
        <f t="shared" ca="1" si="71"/>
        <v>53.172832332373389</v>
      </c>
      <c r="AL282">
        <v>277</v>
      </c>
      <c r="AM282" s="4">
        <f t="shared" ca="1" si="64"/>
        <v>-1.3947551942583569E-4</v>
      </c>
      <c r="AN282" s="4">
        <f t="shared" ca="1" si="65"/>
        <v>1.4652314886282936E-2</v>
      </c>
      <c r="AO282" s="4">
        <f t="shared" ca="1" si="66"/>
        <v>2.6934481682914235E-3</v>
      </c>
      <c r="AP282" s="4">
        <f t="shared" ca="1" si="67"/>
        <v>6.6271177491728506E-3</v>
      </c>
    </row>
    <row r="283" spans="20:42" x14ac:dyDescent="0.3">
      <c r="T283">
        <v>277</v>
      </c>
      <c r="U283" s="4">
        <v>-1.0070891141715355E-2</v>
      </c>
      <c r="V283" s="4"/>
      <c r="W283">
        <v>278</v>
      </c>
      <c r="X283">
        <f t="shared" ca="1" si="68"/>
        <v>-0.44206682018871718</v>
      </c>
      <c r="Y283">
        <f t="shared" ca="1" si="68"/>
        <v>-0.27407797115410093</v>
      </c>
      <c r="Z283">
        <f t="shared" ca="1" si="68"/>
        <v>0.63850339803921918</v>
      </c>
      <c r="AB283">
        <v>278</v>
      </c>
      <c r="AC283" s="24">
        <f t="shared" ca="1" si="61"/>
        <v>-0.44206682018871718</v>
      </c>
      <c r="AD283" s="24">
        <f t="shared" ca="1" si="62"/>
        <v>-0.51972536866537644</v>
      </c>
      <c r="AE283" s="24">
        <f t="shared" ca="1" si="63"/>
        <v>-0.11243473895276307</v>
      </c>
      <c r="AF283" s="24"/>
      <c r="AG283">
        <v>278</v>
      </c>
      <c r="AH283">
        <f t="shared" ca="1" si="69"/>
        <v>307.12432966926332</v>
      </c>
      <c r="AI283">
        <f t="shared" ca="1" si="70"/>
        <v>162.49553393617293</v>
      </c>
      <c r="AJ283">
        <f t="shared" ca="1" si="71"/>
        <v>52.924511911540193</v>
      </c>
      <c r="AL283">
        <v>278</v>
      </c>
      <c r="AM283" s="4">
        <f t="shared" ca="1" si="64"/>
        <v>-7.4834305644797539E-3</v>
      </c>
      <c r="AN283" s="4">
        <f t="shared" ca="1" si="65"/>
        <v>-1.0741876474302692E-2</v>
      </c>
      <c r="AO283" s="4">
        <f t="shared" ca="1" si="66"/>
        <v>-1.9891923474414375E-3</v>
      </c>
      <c r="AP283" s="4">
        <f t="shared" ca="1" si="67"/>
        <v>-7.1385374632974338E-3</v>
      </c>
    </row>
    <row r="284" spans="20:42" x14ac:dyDescent="0.3">
      <c r="T284">
        <v>278</v>
      </c>
      <c r="U284" s="4">
        <v>-1.0002901349561066E-2</v>
      </c>
      <c r="V284" s="4"/>
      <c r="W284">
        <v>279</v>
      </c>
      <c r="X284">
        <f t="shared" ca="1" si="68"/>
        <v>0.35462178202104871</v>
      </c>
      <c r="Y284">
        <f t="shared" ca="1" si="68"/>
        <v>0.17860783753240525</v>
      </c>
      <c r="Z284">
        <f t="shared" ca="1" si="68"/>
        <v>1.1511611325581947</v>
      </c>
      <c r="AB284">
        <v>279</v>
      </c>
      <c r="AC284" s="24">
        <f t="shared" ca="1" si="61"/>
        <v>0.35462178202104871</v>
      </c>
      <c r="AD284" s="24">
        <f t="shared" ca="1" si="62"/>
        <v>0.39659080490508331</v>
      </c>
      <c r="AE284" s="24">
        <f t="shared" ca="1" si="63"/>
        <v>0.92298802681333036</v>
      </c>
      <c r="AF284" s="24"/>
      <c r="AG284">
        <v>279</v>
      </c>
      <c r="AH284">
        <f t="shared" ca="1" si="69"/>
        <v>311.31335752723152</v>
      </c>
      <c r="AI284">
        <f t="shared" ca="1" si="70"/>
        <v>165.62101126082632</v>
      </c>
      <c r="AJ284">
        <f t="shared" ca="1" si="71"/>
        <v>53.906022473159211</v>
      </c>
      <c r="AL284">
        <v>279</v>
      </c>
      <c r="AM284" s="4">
        <f t="shared" ca="1" si="64"/>
        <v>6.0540171634086981E-3</v>
      </c>
      <c r="AN284" s="4">
        <f t="shared" ca="1" si="65"/>
        <v>8.2857469834791697E-3</v>
      </c>
      <c r="AO284" s="4">
        <f t="shared" ca="1" si="66"/>
        <v>1.6519398718229272E-2</v>
      </c>
      <c r="AP284" s="4">
        <f t="shared" ca="1" si="67"/>
        <v>1.0086323557883059E-2</v>
      </c>
    </row>
    <row r="285" spans="20:42" x14ac:dyDescent="0.3">
      <c r="T285">
        <v>279</v>
      </c>
      <c r="U285" s="4">
        <v>-9.993090366414225E-3</v>
      </c>
      <c r="V285" s="4"/>
      <c r="W285">
        <v>280</v>
      </c>
      <c r="X285">
        <f t="shared" ca="1" si="68"/>
        <v>0.31535127271336116</v>
      </c>
      <c r="Y285">
        <f t="shared" ca="1" si="68"/>
        <v>6.2706067409041999E-2</v>
      </c>
      <c r="Z285">
        <f t="shared" ca="1" si="68"/>
        <v>0.56412427677462396</v>
      </c>
      <c r="AB285">
        <v>280</v>
      </c>
      <c r="AC285" s="24">
        <f t="shared" ca="1" si="61"/>
        <v>0.31535127271336116</v>
      </c>
      <c r="AD285" s="24">
        <f t="shared" ca="1" si="62"/>
        <v>0.30530911897245666</v>
      </c>
      <c r="AE285" s="24">
        <f t="shared" ca="1" si="63"/>
        <v>0.56100978951482716</v>
      </c>
      <c r="AF285" s="24"/>
      <c r="AG285">
        <v>280</v>
      </c>
      <c r="AH285">
        <f t="shared" ca="1" si="69"/>
        <v>311.10553882612874</v>
      </c>
      <c r="AI285">
        <f t="shared" ca="1" si="70"/>
        <v>165.3069798927107</v>
      </c>
      <c r="AJ285">
        <f t="shared" ca="1" si="71"/>
        <v>53.560839296449693</v>
      </c>
      <c r="AL285">
        <v>280</v>
      </c>
      <c r="AM285" s="4">
        <f t="shared" ca="1" si="64"/>
        <v>5.3824210560433627E-3</v>
      </c>
      <c r="AN285" s="4">
        <f t="shared" ca="1" si="65"/>
        <v>6.3739523979597923E-3</v>
      </c>
      <c r="AO285" s="4">
        <f t="shared" ca="1" si="66"/>
        <v>1.0010192897838444E-2</v>
      </c>
      <c r="AP285" s="4">
        <f t="shared" ca="1" si="67"/>
        <v>7.1673651453484592E-3</v>
      </c>
    </row>
    <row r="286" spans="20:42" x14ac:dyDescent="0.3">
      <c r="T286">
        <v>280</v>
      </c>
      <c r="U286" s="4">
        <v>-9.9766703051754509E-3</v>
      </c>
      <c r="V286" s="4"/>
      <c r="W286">
        <v>281</v>
      </c>
      <c r="X286">
        <f t="shared" ca="1" si="68"/>
        <v>1.1180887150362544</v>
      </c>
      <c r="Y286">
        <f t="shared" ca="1" si="68"/>
        <v>0.67364173802530825</v>
      </c>
      <c r="Z286">
        <f t="shared" ca="1" si="68"/>
        <v>0.236984335841222</v>
      </c>
      <c r="AB286">
        <v>281</v>
      </c>
      <c r="AC286" s="24">
        <f t="shared" ca="1" si="61"/>
        <v>1.1180887150362544</v>
      </c>
      <c r="AD286" s="24">
        <f t="shared" ca="1" si="62"/>
        <v>1.3048648389103663</v>
      </c>
      <c r="AE286" s="24">
        <f t="shared" ca="1" si="63"/>
        <v>1.2188437847745768</v>
      </c>
      <c r="AF286" s="24"/>
      <c r="AG286">
        <v>281</v>
      </c>
      <c r="AH286">
        <f t="shared" ca="1" si="69"/>
        <v>315.38130623317323</v>
      </c>
      <c r="AI286">
        <f t="shared" ca="1" si="70"/>
        <v>168.77838126039671</v>
      </c>
      <c r="AJ286">
        <f t="shared" ca="1" si="71"/>
        <v>54.189802637702925</v>
      </c>
      <c r="AL286">
        <v>281</v>
      </c>
      <c r="AM286" s="4">
        <f t="shared" ca="1" si="64"/>
        <v>1.9200180147659562E-2</v>
      </c>
      <c r="AN286" s="4">
        <f t="shared" ca="1" si="65"/>
        <v>2.7507530163552341E-2</v>
      </c>
      <c r="AO286" s="4">
        <f t="shared" ca="1" si="66"/>
        <v>2.1870712523171409E-2</v>
      </c>
      <c r="AP286" s="4">
        <f t="shared" ca="1" si="67"/>
        <v>2.3324279866670228E-2</v>
      </c>
    </row>
    <row r="287" spans="20:42" x14ac:dyDescent="0.3">
      <c r="T287">
        <v>281</v>
      </c>
      <c r="U287" s="4">
        <v>-9.9577411612067571E-3</v>
      </c>
      <c r="V287" s="4"/>
      <c r="W287">
        <v>282</v>
      </c>
      <c r="X287">
        <f t="shared" ca="1" si="68"/>
        <v>0.70407315849457552</v>
      </c>
      <c r="Y287">
        <f t="shared" ca="1" si="68"/>
        <v>0.3472234004906653</v>
      </c>
      <c r="Z287">
        <f t="shared" ca="1" si="68"/>
        <v>8.3692564899941965E-2</v>
      </c>
      <c r="AB287">
        <v>282</v>
      </c>
      <c r="AC287" s="24">
        <f t="shared" ca="1" si="61"/>
        <v>0.70407315849457552</v>
      </c>
      <c r="AD287" s="24">
        <f t="shared" ca="1" si="62"/>
        <v>0.78375885284946067</v>
      </c>
      <c r="AE287" s="24">
        <f t="shared" ca="1" si="63"/>
        <v>0.71300854102498235</v>
      </c>
      <c r="AF287" s="24"/>
      <c r="AG287">
        <v>282</v>
      </c>
      <c r="AH287">
        <f t="shared" ca="1" si="69"/>
        <v>313.16877153666042</v>
      </c>
      <c r="AI287">
        <f t="shared" ca="1" si="70"/>
        <v>166.95960906603293</v>
      </c>
      <c r="AJ287">
        <f t="shared" ca="1" si="71"/>
        <v>53.705515587694606</v>
      </c>
      <c r="AL287">
        <v>282</v>
      </c>
      <c r="AM287" s="4">
        <f t="shared" ca="1" si="64"/>
        <v>1.2050055150708783E-2</v>
      </c>
      <c r="AN287" s="4">
        <f t="shared" ca="1" si="65"/>
        <v>1.6435009433082515E-2</v>
      </c>
      <c r="AO287" s="4">
        <f t="shared" ca="1" si="66"/>
        <v>1.273839004238364E-2</v>
      </c>
      <c r="AP287" s="4">
        <f t="shared" ca="1" si="67"/>
        <v>1.4010537331160734E-2</v>
      </c>
    </row>
    <row r="288" spans="20:42" x14ac:dyDescent="0.3">
      <c r="T288">
        <v>282</v>
      </c>
      <c r="U288" s="4">
        <v>-9.9276018258362859E-3</v>
      </c>
      <c r="V288" s="4"/>
      <c r="W288">
        <v>283</v>
      </c>
      <c r="X288">
        <f t="shared" ca="1" si="68"/>
        <v>4.0641087437260269E-2</v>
      </c>
      <c r="Y288">
        <f t="shared" ca="1" si="68"/>
        <v>-0.61599865604449155</v>
      </c>
      <c r="Z288">
        <f t="shared" ca="1" si="68"/>
        <v>-0.14346010671196938</v>
      </c>
      <c r="AB288">
        <v>283</v>
      </c>
      <c r="AC288" s="24">
        <f t="shared" ca="1" si="61"/>
        <v>4.0641087437260269E-2</v>
      </c>
      <c r="AD288" s="24">
        <f t="shared" ca="1" si="62"/>
        <v>-0.26816205012729433</v>
      </c>
      <c r="AE288" s="24">
        <f t="shared" ca="1" si="63"/>
        <v>-0.20968022292761732</v>
      </c>
      <c r="AF288" s="24"/>
      <c r="AG288">
        <v>283</v>
      </c>
      <c r="AH288">
        <f t="shared" ca="1" si="69"/>
        <v>309.65565278225978</v>
      </c>
      <c r="AI288">
        <f t="shared" ca="1" si="70"/>
        <v>163.34767403806609</v>
      </c>
      <c r="AJ288">
        <f t="shared" ca="1" si="71"/>
        <v>52.833252915892608</v>
      </c>
      <c r="AL288">
        <v>283</v>
      </c>
      <c r="AM288" s="4">
        <f t="shared" ca="1" si="64"/>
        <v>6.9690518081810815E-4</v>
      </c>
      <c r="AN288" s="4">
        <f t="shared" ca="1" si="65"/>
        <v>-5.5541245542349849E-3</v>
      </c>
      <c r="AO288" s="4">
        <f t="shared" ca="1" si="66"/>
        <v>-3.7100861386593076E-3</v>
      </c>
      <c r="AP288" s="4">
        <f t="shared" ca="1" si="67"/>
        <v>-3.1256041090463541E-3</v>
      </c>
    </row>
    <row r="289" spans="20:42" x14ac:dyDescent="0.3">
      <c r="T289">
        <v>283</v>
      </c>
      <c r="U289" s="4">
        <v>-9.9247789988497377E-3</v>
      </c>
      <c r="V289" s="4"/>
      <c r="W289">
        <v>284</v>
      </c>
      <c r="X289">
        <f t="shared" ca="1" si="68"/>
        <v>-0.80962236435696777</v>
      </c>
      <c r="Y289">
        <f t="shared" ca="1" si="68"/>
        <v>-1.1522689741537191</v>
      </c>
      <c r="Z289">
        <f t="shared" ca="1" si="68"/>
        <v>-1.3034592142755508</v>
      </c>
      <c r="AB289">
        <v>284</v>
      </c>
      <c r="AC289" s="24">
        <f t="shared" ca="1" si="61"/>
        <v>-0.80962236435696777</v>
      </c>
      <c r="AD289" s="24">
        <f t="shared" ca="1" si="62"/>
        <v>-1.2722832175524035</v>
      </c>
      <c r="AE289" s="24">
        <f t="shared" ca="1" si="63"/>
        <v>-1.6404412194345717</v>
      </c>
      <c r="AF289" s="24"/>
      <c r="AG289">
        <v>284</v>
      </c>
      <c r="AH289">
        <f t="shared" ca="1" si="69"/>
        <v>305.21075221603769</v>
      </c>
      <c r="AI289">
        <f t="shared" ca="1" si="70"/>
        <v>159.97278467085067</v>
      </c>
      <c r="AJ289">
        <f t="shared" ca="1" si="71"/>
        <v>51.508617193235416</v>
      </c>
      <c r="AL289">
        <v>284</v>
      </c>
      <c r="AM289" s="4">
        <f t="shared" ca="1" si="64"/>
        <v>-1.3667432109619293E-2</v>
      </c>
      <c r="AN289" s="4">
        <f t="shared" ca="1" si="65"/>
        <v>-2.6100145984151557E-2</v>
      </c>
      <c r="AO289" s="4">
        <f t="shared" ca="1" si="66"/>
        <v>-2.8689074506547674E-2</v>
      </c>
      <c r="AP289" s="4">
        <f t="shared" ca="1" si="67"/>
        <v>-2.3147010378510711E-2</v>
      </c>
    </row>
    <row r="290" spans="20:42" x14ac:dyDescent="0.3">
      <c r="T290">
        <v>284</v>
      </c>
      <c r="U290" s="4">
        <v>-9.8171398556975101E-3</v>
      </c>
      <c r="V290" s="4"/>
      <c r="W290">
        <v>285</v>
      </c>
      <c r="X290">
        <f t="shared" ca="1" si="68"/>
        <v>-0.50326562162053523</v>
      </c>
      <c r="Y290">
        <f t="shared" ca="1" si="68"/>
        <v>-0.60359087581824011</v>
      </c>
      <c r="Z290">
        <f t="shared" ca="1" si="68"/>
        <v>-0.46990504019430629</v>
      </c>
      <c r="AB290">
        <v>285</v>
      </c>
      <c r="AC290" s="24">
        <f t="shared" ca="1" si="61"/>
        <v>-0.50326562162053523</v>
      </c>
      <c r="AD290" s="24">
        <f t="shared" ca="1" si="62"/>
        <v>-0.73534322691640563</v>
      </c>
      <c r="AE290" s="24">
        <f t="shared" ca="1" si="63"/>
        <v>-0.81588222535792754</v>
      </c>
      <c r="AF290" s="24"/>
      <c r="AG290">
        <v>285</v>
      </c>
      <c r="AH290">
        <f t="shared" ca="1" si="69"/>
        <v>306.80488435901475</v>
      </c>
      <c r="AI290">
        <f t="shared" ca="1" si="70"/>
        <v>161.76869355615548</v>
      </c>
      <c r="AJ290">
        <f t="shared" ca="1" si="71"/>
        <v>52.267906333446149</v>
      </c>
      <c r="AL290">
        <v>285</v>
      </c>
      <c r="AM290" s="4">
        <f t="shared" ca="1" si="64"/>
        <v>-8.5157641597751743E-3</v>
      </c>
      <c r="AN290" s="4">
        <f t="shared" ca="1" si="65"/>
        <v>-1.5166815012743973E-2</v>
      </c>
      <c r="AO290" s="4">
        <f t="shared" ca="1" si="66"/>
        <v>-1.4370968572380405E-2</v>
      </c>
      <c r="AP290" s="4">
        <f t="shared" ca="1" si="67"/>
        <v>-1.2932745824744263E-2</v>
      </c>
    </row>
    <row r="291" spans="20:42" x14ac:dyDescent="0.3">
      <c r="T291">
        <v>285</v>
      </c>
      <c r="U291" s="4">
        <v>-9.7552107114183152E-3</v>
      </c>
      <c r="V291" s="4"/>
      <c r="W291">
        <v>286</v>
      </c>
      <c r="X291">
        <f t="shared" ca="1" si="68"/>
        <v>-1.6633090056011948</v>
      </c>
      <c r="Y291">
        <f t="shared" ca="1" si="68"/>
        <v>1.3258547488520362</v>
      </c>
      <c r="Z291">
        <f t="shared" ca="1" si="68"/>
        <v>0.47739374965894099</v>
      </c>
      <c r="AB291">
        <v>286</v>
      </c>
      <c r="AC291" s="24">
        <f t="shared" ca="1" si="61"/>
        <v>-1.6633090056011948</v>
      </c>
      <c r="AD291" s="24">
        <f t="shared" ca="1" si="62"/>
        <v>-0.7940716116509462</v>
      </c>
      <c r="AE291" s="24">
        <f t="shared" ca="1" si="63"/>
        <v>-0.74935504819032672</v>
      </c>
      <c r="AF291" s="24"/>
      <c r="AG291">
        <v>286</v>
      </c>
      <c r="AH291">
        <f t="shared" ca="1" si="69"/>
        <v>300.81214450474278</v>
      </c>
      <c r="AI291">
        <f t="shared" ca="1" si="70"/>
        <v>161.57128616239106</v>
      </c>
      <c r="AJ291">
        <f t="shared" ca="1" si="71"/>
        <v>52.329653165995488</v>
      </c>
      <c r="AL291">
        <v>286</v>
      </c>
      <c r="AM291" s="4">
        <f t="shared" ca="1" si="64"/>
        <v>-2.7882167362304644E-2</v>
      </c>
      <c r="AN291" s="4">
        <f t="shared" ca="1" si="65"/>
        <v>-1.6368613383413111E-2</v>
      </c>
      <c r="AO291" s="4">
        <f t="shared" ca="1" si="66"/>
        <v>-1.3206593049644333E-2</v>
      </c>
      <c r="AP291" s="4">
        <f t="shared" ca="1" si="67"/>
        <v>-1.8874073476949936E-2</v>
      </c>
    </row>
    <row r="292" spans="20:42" x14ac:dyDescent="0.3">
      <c r="T292">
        <v>286</v>
      </c>
      <c r="U292" s="4">
        <v>-9.6841518304301658E-3</v>
      </c>
      <c r="V292" s="4"/>
      <c r="W292">
        <v>287</v>
      </c>
      <c r="X292">
        <f t="shared" ca="1" si="68"/>
        <v>-0.45413826416445058</v>
      </c>
      <c r="Y292">
        <f t="shared" ca="1" si="68"/>
        <v>-0.33711149346233266</v>
      </c>
      <c r="Z292">
        <f t="shared" ca="1" si="68"/>
        <v>-0.57030636025147963</v>
      </c>
      <c r="AB292">
        <v>287</v>
      </c>
      <c r="AC292" s="24">
        <f t="shared" ca="1" si="61"/>
        <v>-0.45413826416445058</v>
      </c>
      <c r="AD292" s="24">
        <f t="shared" ca="1" si="62"/>
        <v>-0.5612887763455906</v>
      </c>
      <c r="AE292" s="24">
        <f t="shared" ca="1" si="63"/>
        <v>-0.75317765148626259</v>
      </c>
      <c r="AF292" s="24"/>
      <c r="AG292">
        <v>287</v>
      </c>
      <c r="AH292">
        <f t="shared" ca="1" si="69"/>
        <v>307.06129286226383</v>
      </c>
      <c r="AI292">
        <f t="shared" ca="1" si="70"/>
        <v>162.35517148617618</v>
      </c>
      <c r="AJ292">
        <f t="shared" ca="1" si="71"/>
        <v>52.326103263391246</v>
      </c>
      <c r="AL292">
        <v>287</v>
      </c>
      <c r="AM292" s="4">
        <f t="shared" ca="1" si="64"/>
        <v>-7.6871430984188915E-3</v>
      </c>
      <c r="AN292" s="4">
        <f t="shared" ca="1" si="65"/>
        <v>-1.1596390383292965E-2</v>
      </c>
      <c r="AO292" s="4">
        <f t="shared" ca="1" si="66"/>
        <v>-1.3273534454244729E-2</v>
      </c>
      <c r="AP292" s="4">
        <f t="shared" ca="1" si="67"/>
        <v>-1.0926759419116274E-2</v>
      </c>
    </row>
    <row r="293" spans="20:42" x14ac:dyDescent="0.3">
      <c r="T293">
        <v>287</v>
      </c>
      <c r="U293" s="4">
        <v>-9.5939197610784739E-3</v>
      </c>
      <c r="V293" s="4"/>
      <c r="W293">
        <v>288</v>
      </c>
      <c r="X293">
        <f t="shared" ca="1" si="68"/>
        <v>-1.3497507871929351</v>
      </c>
      <c r="Y293">
        <f t="shared" ca="1" si="68"/>
        <v>0.60273844269079579</v>
      </c>
      <c r="Z293">
        <f t="shared" ca="1" si="68"/>
        <v>0.31033856996462506</v>
      </c>
      <c r="AB293">
        <v>288</v>
      </c>
      <c r="AC293" s="24">
        <f t="shared" ca="1" si="61"/>
        <v>-1.3497507871929351</v>
      </c>
      <c r="AD293" s="24">
        <f t="shared" ca="1" si="62"/>
        <v>-0.87752863126017089</v>
      </c>
      <c r="AE293" s="24">
        <f t="shared" ca="1" si="63"/>
        <v>-0.77781730789856318</v>
      </c>
      <c r="AF293" s="24"/>
      <c r="AG293">
        <v>288</v>
      </c>
      <c r="AH293">
        <f t="shared" ca="1" si="69"/>
        <v>302.4203339772472</v>
      </c>
      <c r="AI293">
        <f t="shared" ca="1" si="70"/>
        <v>161.29117119434733</v>
      </c>
      <c r="AJ293">
        <f t="shared" ca="1" si="71"/>
        <v>52.303227153523927</v>
      </c>
      <c r="AL293">
        <v>288</v>
      </c>
      <c r="AM293" s="4">
        <f t="shared" ca="1" si="64"/>
        <v>-2.2685071124532552E-2</v>
      </c>
      <c r="AN293" s="4">
        <f t="shared" ca="1" si="65"/>
        <v>-1.8073927990811756E-2</v>
      </c>
      <c r="AO293" s="4">
        <f t="shared" ca="1" si="66"/>
        <v>-1.3704915000990026E-2</v>
      </c>
      <c r="AP293" s="4">
        <f t="shared" ca="1" si="67"/>
        <v>-1.8146567033981473E-2</v>
      </c>
    </row>
    <row r="294" spans="20:42" x14ac:dyDescent="0.3">
      <c r="T294">
        <v>288</v>
      </c>
      <c r="U294" s="4">
        <v>-9.5830358180687743E-3</v>
      </c>
      <c r="V294" s="4"/>
      <c r="W294">
        <v>289</v>
      </c>
      <c r="X294">
        <f t="shared" ca="1" si="68"/>
        <v>-0.39157160810972597</v>
      </c>
      <c r="Y294">
        <f t="shared" ca="1" si="68"/>
        <v>-0.47617053933320863</v>
      </c>
      <c r="Z294">
        <f t="shared" ca="1" si="68"/>
        <v>1.2410621034437592</v>
      </c>
      <c r="AB294">
        <v>289</v>
      </c>
      <c r="AC294" s="24">
        <f t="shared" ca="1" si="61"/>
        <v>-0.39157160810972597</v>
      </c>
      <c r="AD294" s="24">
        <f t="shared" ca="1" si="62"/>
        <v>-0.57536463543909511</v>
      </c>
      <c r="AE294" s="24">
        <f t="shared" ca="1" si="63"/>
        <v>0.17880172135752576</v>
      </c>
      <c r="AF294" s="24"/>
      <c r="AG294">
        <v>289</v>
      </c>
      <c r="AH294">
        <f t="shared" ca="1" si="69"/>
        <v>307.38815483745225</v>
      </c>
      <c r="AI294">
        <f t="shared" ca="1" si="70"/>
        <v>162.30766384248716</v>
      </c>
      <c r="AJ294">
        <f t="shared" ca="1" si="71"/>
        <v>53.198763726800415</v>
      </c>
      <c r="AL294">
        <v>289</v>
      </c>
      <c r="AM294" s="4">
        <f t="shared" ca="1" si="64"/>
        <v>-6.6308414806269811E-3</v>
      </c>
      <c r="AN294" s="4">
        <f t="shared" ca="1" si="65"/>
        <v>-1.1885612624117137E-2</v>
      </c>
      <c r="AO294" s="4">
        <f t="shared" ca="1" si="66"/>
        <v>3.1824429829989676E-3</v>
      </c>
      <c r="AP294" s="4">
        <f t="shared" ca="1" si="67"/>
        <v>-5.7887645989352591E-3</v>
      </c>
    </row>
    <row r="295" spans="20:42" x14ac:dyDescent="0.3">
      <c r="T295">
        <v>289</v>
      </c>
      <c r="U295" s="4">
        <v>-9.5721299888914882E-3</v>
      </c>
      <c r="V295" s="4"/>
      <c r="W295">
        <v>290</v>
      </c>
      <c r="X295">
        <f t="shared" ca="1" si="68"/>
        <v>0.29195871139090201</v>
      </c>
      <c r="Y295">
        <f t="shared" ca="1" si="68"/>
        <v>0.37716096086794826</v>
      </c>
      <c r="Z295">
        <f t="shared" ca="1" si="68"/>
        <v>-1.5534311955187878</v>
      </c>
      <c r="AB295">
        <v>290</v>
      </c>
      <c r="AC295" s="24">
        <f t="shared" ca="1" si="61"/>
        <v>0.29195871139090201</v>
      </c>
      <c r="AD295" s="24">
        <f t="shared" ca="1" si="62"/>
        <v>0.43989785892820543</v>
      </c>
      <c r="AE295" s="24">
        <f t="shared" ca="1" si="63"/>
        <v>-0.44597185714796977</v>
      </c>
      <c r="AF295" s="24"/>
      <c r="AG295">
        <v>290</v>
      </c>
      <c r="AH295">
        <f t="shared" ca="1" si="69"/>
        <v>310.98181182667798</v>
      </c>
      <c r="AI295">
        <f t="shared" ca="1" si="70"/>
        <v>165.77020672278277</v>
      </c>
      <c r="AJ295">
        <f t="shared" ca="1" si="71"/>
        <v>52.612162712332243</v>
      </c>
      <c r="AL295">
        <v>290</v>
      </c>
      <c r="AM295" s="4">
        <f t="shared" ca="1" si="64"/>
        <v>4.9825794115416766E-3</v>
      </c>
      <c r="AN295" s="4">
        <f t="shared" ca="1" si="65"/>
        <v>9.194035470912798E-3</v>
      </c>
      <c r="AO295" s="4">
        <f t="shared" ca="1" si="66"/>
        <v>-7.879239611215727E-3</v>
      </c>
      <c r="AP295" s="4">
        <f t="shared" ca="1" si="67"/>
        <v>2.8086161284629043E-3</v>
      </c>
    </row>
    <row r="296" spans="20:42" x14ac:dyDescent="0.3">
      <c r="T296">
        <v>290</v>
      </c>
      <c r="U296" s="4">
        <v>-9.5492918308853862E-3</v>
      </c>
      <c r="V296" s="4"/>
      <c r="W296">
        <v>291</v>
      </c>
      <c r="X296">
        <f t="shared" ca="1" si="68"/>
        <v>2.520111911916846</v>
      </c>
      <c r="Y296">
        <f t="shared" ca="1" si="68"/>
        <v>0.31698830987326326</v>
      </c>
      <c r="Z296">
        <f t="shared" ca="1" si="68"/>
        <v>-1.5892467984507945</v>
      </c>
      <c r="AB296">
        <v>291</v>
      </c>
      <c r="AC296" s="24">
        <f t="shared" ca="1" si="61"/>
        <v>2.520111911916846</v>
      </c>
      <c r="AD296" s="24">
        <f t="shared" ca="1" si="62"/>
        <v>2.3491355578700879</v>
      </c>
      <c r="AE296" s="24">
        <f t="shared" ca="1" si="63"/>
        <v>1.337919204028466</v>
      </c>
      <c r="AF296" s="24"/>
      <c r="AG296">
        <v>291</v>
      </c>
      <c r="AH296">
        <f t="shared" ca="1" si="69"/>
        <v>322.99058907557492</v>
      </c>
      <c r="AI296">
        <f t="shared" ca="1" si="70"/>
        <v>172.48296266933735</v>
      </c>
      <c r="AJ296">
        <f t="shared" ca="1" si="71"/>
        <v>54.304439089016498</v>
      </c>
      <c r="AL296">
        <v>291</v>
      </c>
      <c r="AM296" s="4">
        <f t="shared" ca="1" si="64"/>
        <v>4.3790675178574379E-2</v>
      </c>
      <c r="AN296" s="4">
        <f t="shared" ca="1" si="65"/>
        <v>5.0060686944441546E-2</v>
      </c>
      <c r="AO296" s="4">
        <f t="shared" ca="1" si="66"/>
        <v>2.4032440864721449E-2</v>
      </c>
      <c r="AP296" s="4">
        <f t="shared" ca="1" si="67"/>
        <v>4.0371209590765365E-2</v>
      </c>
    </row>
    <row r="297" spans="20:42" x14ac:dyDescent="0.3">
      <c r="T297">
        <v>291</v>
      </c>
      <c r="U297" s="4">
        <v>-9.4906461124222071E-3</v>
      </c>
      <c r="V297" s="4"/>
      <c r="W297">
        <v>292</v>
      </c>
      <c r="X297">
        <f t="shared" ca="1" si="68"/>
        <v>-1.0062599031498329</v>
      </c>
      <c r="Y297">
        <f t="shared" ca="1" si="68"/>
        <v>0.13216985596410169</v>
      </c>
      <c r="Z297">
        <f t="shared" ca="1" si="68"/>
        <v>-0.13466329162015278</v>
      </c>
      <c r="AB297">
        <v>292</v>
      </c>
      <c r="AC297" s="24">
        <f t="shared" ca="1" si="61"/>
        <v>-1.0062599031498329</v>
      </c>
      <c r="AD297" s="24">
        <f t="shared" ca="1" si="62"/>
        <v>-0.81049865832015799</v>
      </c>
      <c r="AE297" s="24">
        <f t="shared" ca="1" si="63"/>
        <v>-0.85319502770823985</v>
      </c>
      <c r="AF297" s="24"/>
      <c r="AG297">
        <v>292</v>
      </c>
      <c r="AH297">
        <f t="shared" ca="1" si="69"/>
        <v>304.19191285788219</v>
      </c>
      <c r="AI297">
        <f t="shared" ca="1" si="70"/>
        <v>161.5161120301276</v>
      </c>
      <c r="AJ297">
        <f t="shared" ca="1" si="71"/>
        <v>52.23330655882031</v>
      </c>
      <c r="AL297">
        <v>292</v>
      </c>
      <c r="AM297" s="4">
        <f t="shared" ca="1" si="64"/>
        <v>-1.6959958447898438E-2</v>
      </c>
      <c r="AN297" s="4">
        <f t="shared" ca="1" si="65"/>
        <v>-1.6704508513746608E-2</v>
      </c>
      <c r="AO297" s="4">
        <f t="shared" ca="1" si="66"/>
        <v>-1.5023425208667396E-2</v>
      </c>
      <c r="AP297" s="4">
        <f t="shared" ca="1" si="67"/>
        <v>-1.6276818502468392E-2</v>
      </c>
    </row>
    <row r="298" spans="20:42" x14ac:dyDescent="0.3">
      <c r="T298">
        <v>292</v>
      </c>
      <c r="U298" s="4">
        <v>-9.319137065387173E-3</v>
      </c>
      <c r="V298" s="4"/>
      <c r="W298">
        <v>293</v>
      </c>
      <c r="X298">
        <f t="shared" ca="1" si="68"/>
        <v>1.3794936700695253</v>
      </c>
      <c r="Y298">
        <f t="shared" ca="1" si="68"/>
        <v>0.95250143751639593</v>
      </c>
      <c r="Z298">
        <f t="shared" ca="1" si="68"/>
        <v>1.0062992197776257</v>
      </c>
      <c r="AB298">
        <v>293</v>
      </c>
      <c r="AC298" s="24">
        <f t="shared" ca="1" si="61"/>
        <v>1.3794936700695253</v>
      </c>
      <c r="AD298" s="24">
        <f t="shared" ca="1" si="62"/>
        <v>1.6697385968557983</v>
      </c>
      <c r="AE298" s="24">
        <f t="shared" ca="1" si="63"/>
        <v>1.8996270318483344</v>
      </c>
      <c r="AF298" s="24"/>
      <c r="AG298">
        <v>293</v>
      </c>
      <c r="AH298">
        <f t="shared" ca="1" si="69"/>
        <v>316.78632036202515</v>
      </c>
      <c r="AI298">
        <f t="shared" ca="1" si="70"/>
        <v>170.06364965687672</v>
      </c>
      <c r="AJ298">
        <f t="shared" ca="1" si="71"/>
        <v>54.848485995525415</v>
      </c>
      <c r="AL298">
        <v>293</v>
      </c>
      <c r="AM298" s="4">
        <f t="shared" ca="1" si="64"/>
        <v>2.3740685957402086E-2</v>
      </c>
      <c r="AN298" s="4">
        <f t="shared" ca="1" si="65"/>
        <v>3.5332127992980134E-2</v>
      </c>
      <c r="AO298" s="4">
        <f t="shared" ca="1" si="66"/>
        <v>3.4291669962069893E-2</v>
      </c>
      <c r="AP298" s="4">
        <f t="shared" ca="1" si="67"/>
        <v>3.1542557973033646E-2</v>
      </c>
    </row>
    <row r="299" spans="20:42" x14ac:dyDescent="0.3">
      <c r="T299">
        <v>293</v>
      </c>
      <c r="U299" s="4">
        <v>-9.3061817413382271E-3</v>
      </c>
      <c r="V299" s="4"/>
      <c r="W299">
        <v>294</v>
      </c>
      <c r="X299">
        <f t="shared" ca="1" si="68"/>
        <v>-0.77498810824243758</v>
      </c>
      <c r="Y299">
        <f t="shared" ca="1" si="68"/>
        <v>1.0807846956687361</v>
      </c>
      <c r="Z299">
        <f t="shared" ca="1" si="68"/>
        <v>-1.9297623001916826</v>
      </c>
      <c r="AB299">
        <v>294</v>
      </c>
      <c r="AC299" s="24">
        <f t="shared" ca="1" si="61"/>
        <v>-0.77498810824243758</v>
      </c>
      <c r="AD299" s="24">
        <f t="shared" ca="1" si="62"/>
        <v>-0.14183114324369128</v>
      </c>
      <c r="AE299" s="24">
        <f t="shared" ca="1" si="63"/>
        <v>-1.3136034285612914</v>
      </c>
      <c r="AF299" s="24"/>
      <c r="AG299">
        <v>294</v>
      </c>
      <c r="AH299">
        <f t="shared" ca="1" si="69"/>
        <v>305.3905560389897</v>
      </c>
      <c r="AI299">
        <f t="shared" ca="1" si="70"/>
        <v>163.77728866196031</v>
      </c>
      <c r="AJ299">
        <f t="shared" ca="1" si="71"/>
        <v>51.808254845129781</v>
      </c>
      <c r="AL299">
        <v>294</v>
      </c>
      <c r="AM299" s="4">
        <f t="shared" ca="1" si="64"/>
        <v>-1.3086370121726976E-2</v>
      </c>
      <c r="AN299" s="4">
        <f t="shared" ca="1" si="65"/>
        <v>-2.9386695544701968E-3</v>
      </c>
      <c r="AO299" s="4">
        <f t="shared" ca="1" si="66"/>
        <v>-2.303873208166074E-2</v>
      </c>
      <c r="AP299" s="4">
        <f t="shared" ca="1" si="67"/>
        <v>-1.2012998482804394E-2</v>
      </c>
    </row>
    <row r="300" spans="20:42" x14ac:dyDescent="0.3">
      <c r="T300">
        <v>294</v>
      </c>
      <c r="U300" s="4">
        <v>-9.2940711621352194E-3</v>
      </c>
      <c r="V300" s="4"/>
      <c r="W300">
        <v>295</v>
      </c>
      <c r="X300">
        <f t="shared" ca="1" si="68"/>
        <v>0.56213573244574211</v>
      </c>
      <c r="Y300">
        <f t="shared" ca="1" si="68"/>
        <v>-1.4877255486221097</v>
      </c>
      <c r="Z300">
        <f t="shared" ca="1" si="68"/>
        <v>-0.93534071123090257</v>
      </c>
      <c r="AB300">
        <v>295</v>
      </c>
      <c r="AC300" s="24">
        <f t="shared" ca="1" si="61"/>
        <v>0.56213573244574211</v>
      </c>
      <c r="AD300" s="24">
        <f t="shared" ca="1" si="62"/>
        <v>-0.24390395468863818</v>
      </c>
      <c r="AE300" s="24">
        <f t="shared" ca="1" si="63"/>
        <v>-0.42655122114602251</v>
      </c>
      <c r="AF300" s="24"/>
      <c r="AG300">
        <v>295</v>
      </c>
      <c r="AH300">
        <f t="shared" ca="1" si="69"/>
        <v>312.41382410590546</v>
      </c>
      <c r="AI300">
        <f t="shared" ca="1" si="70"/>
        <v>163.43008124264472</v>
      </c>
      <c r="AJ300">
        <f t="shared" ca="1" si="71"/>
        <v>52.630299005576269</v>
      </c>
      <c r="AL300">
        <v>295</v>
      </c>
      <c r="AM300" s="4">
        <f t="shared" ca="1" si="64"/>
        <v>9.6103336383037696E-3</v>
      </c>
      <c r="AN300" s="4">
        <f t="shared" ca="1" si="65"/>
        <v>-5.0524369410943626E-3</v>
      </c>
      <c r="AO300" s="4">
        <f t="shared" ca="1" si="66"/>
        <v>-7.5372389764521985E-3</v>
      </c>
      <c r="AP300" s="4">
        <f t="shared" ca="1" si="67"/>
        <v>-1.3990463778822742E-3</v>
      </c>
    </row>
    <row r="301" spans="20:42" x14ac:dyDescent="0.3">
      <c r="T301">
        <v>295</v>
      </c>
      <c r="U301" s="4">
        <v>-9.1418546537244683E-3</v>
      </c>
      <c r="V301" s="4"/>
      <c r="W301">
        <v>296</v>
      </c>
      <c r="X301">
        <f t="shared" ca="1" si="68"/>
        <v>-0.42460900964975912</v>
      </c>
      <c r="Y301">
        <f t="shared" ca="1" si="68"/>
        <v>0.90587249880481513</v>
      </c>
      <c r="Z301">
        <f t="shared" ca="1" si="68"/>
        <v>6.5776847469329824E-2</v>
      </c>
      <c r="AB301">
        <v>296</v>
      </c>
      <c r="AC301" s="24">
        <f t="shared" ca="1" si="61"/>
        <v>-0.42460900964975912</v>
      </c>
      <c r="AD301" s="24">
        <f t="shared" ca="1" si="62"/>
        <v>7.6874428713026077E-2</v>
      </c>
      <c r="AE301" s="24">
        <f t="shared" ca="1" si="63"/>
        <v>-6.3131474061781434E-2</v>
      </c>
      <c r="AF301" s="24"/>
      <c r="AG301">
        <v>296</v>
      </c>
      <c r="AH301">
        <f t="shared" ca="1" si="69"/>
        <v>307.21551685174211</v>
      </c>
      <c r="AI301">
        <f t="shared" ca="1" si="70"/>
        <v>164.52371562079219</v>
      </c>
      <c r="AJ301">
        <f t="shared" ca="1" si="71"/>
        <v>52.970840240716996</v>
      </c>
      <c r="AL301">
        <v>296</v>
      </c>
      <c r="AM301" s="4">
        <f t="shared" ca="1" si="64"/>
        <v>-7.1887460319068897E-3</v>
      </c>
      <c r="AN301" s="4">
        <f t="shared" ca="1" si="65"/>
        <v>1.6055103054701814E-3</v>
      </c>
      <c r="AO301" s="4">
        <f t="shared" ca="1" si="66"/>
        <v>-1.1155674135692184E-3</v>
      </c>
      <c r="AP301" s="4">
        <f t="shared" ca="1" si="67"/>
        <v>-1.8490899114547597E-3</v>
      </c>
    </row>
    <row r="302" spans="20:42" x14ac:dyDescent="0.3">
      <c r="T302">
        <v>296</v>
      </c>
      <c r="U302" s="4">
        <v>-9.1356765469817521E-3</v>
      </c>
      <c r="V302" s="4"/>
      <c r="W302">
        <v>297</v>
      </c>
      <c r="X302">
        <f t="shared" ca="1" si="68"/>
        <v>-1.1177505727418731</v>
      </c>
      <c r="Y302">
        <f t="shared" ca="1" si="68"/>
        <v>-0.24301098146780203</v>
      </c>
      <c r="Z302">
        <f t="shared" ca="1" si="68"/>
        <v>-0.27716737226598481</v>
      </c>
      <c r="AB302">
        <v>297</v>
      </c>
      <c r="AC302" s="24">
        <f t="shared" ca="1" si="61"/>
        <v>-1.1177505727418731</v>
      </c>
      <c r="AD302" s="24">
        <f t="shared" ca="1" si="62"/>
        <v>-1.092381734436036</v>
      </c>
      <c r="AE302" s="24">
        <f t="shared" ca="1" si="63"/>
        <v>-1.1200871357553648</v>
      </c>
      <c r="AF302" s="24"/>
      <c r="AG302">
        <v>297</v>
      </c>
      <c r="AH302">
        <f t="shared" ca="1" si="69"/>
        <v>303.61575709638743</v>
      </c>
      <c r="AI302">
        <f t="shared" ca="1" si="70"/>
        <v>160.57227105790787</v>
      </c>
      <c r="AJ302">
        <f t="shared" ca="1" si="71"/>
        <v>51.986487201872883</v>
      </c>
      <c r="AL302">
        <v>297</v>
      </c>
      <c r="AM302" s="4">
        <f t="shared" ca="1" si="64"/>
        <v>-1.8821888893054251E-2</v>
      </c>
      <c r="AN302" s="4">
        <f t="shared" ca="1" si="65"/>
        <v>-2.245052704402517E-2</v>
      </c>
      <c r="AO302" s="4">
        <f t="shared" ca="1" si="66"/>
        <v>-1.967775978586872E-2</v>
      </c>
      <c r="AP302" s="4">
        <f t="shared" ca="1" si="67"/>
        <v>-2.053010542128696E-2</v>
      </c>
    </row>
    <row r="303" spans="20:42" x14ac:dyDescent="0.3">
      <c r="T303">
        <v>297</v>
      </c>
      <c r="U303" s="4">
        <v>-9.099273346479541E-3</v>
      </c>
      <c r="V303" s="4"/>
      <c r="W303">
        <v>298</v>
      </c>
      <c r="X303">
        <f t="shared" ca="1" si="68"/>
        <v>-1.4916142238298897</v>
      </c>
      <c r="Y303">
        <f t="shared" ca="1" si="68"/>
        <v>2.2519996822070131E-2</v>
      </c>
      <c r="Z303">
        <f t="shared" ca="1" si="68"/>
        <v>-0.50757792880008878</v>
      </c>
      <c r="AB303">
        <v>298</v>
      </c>
      <c r="AC303" s="24">
        <f t="shared" ca="1" si="61"/>
        <v>-1.4916142238298897</v>
      </c>
      <c r="AD303" s="24">
        <f t="shared" ca="1" si="62"/>
        <v>-1.2868715490890998</v>
      </c>
      <c r="AE303" s="24">
        <f t="shared" ca="1" si="63"/>
        <v>-1.4688826907461041</v>
      </c>
      <c r="AF303" s="24"/>
      <c r="AG303">
        <v>298</v>
      </c>
      <c r="AH303">
        <f t="shared" ca="1" si="69"/>
        <v>301.69167708758368</v>
      </c>
      <c r="AI303">
        <f t="shared" ca="1" si="70"/>
        <v>159.92427013632778</v>
      </c>
      <c r="AJ303">
        <f t="shared" ca="1" si="71"/>
        <v>51.665681531980411</v>
      </c>
      <c r="AL303">
        <v>298</v>
      </c>
      <c r="AM303" s="4">
        <f t="shared" ca="1" si="64"/>
        <v>-2.5039830961381626E-2</v>
      </c>
      <c r="AN303" s="4">
        <f t="shared" ca="1" si="65"/>
        <v>-2.639549808536501E-2</v>
      </c>
      <c r="AO303" s="4">
        <f t="shared" ca="1" si="66"/>
        <v>-2.5727272840312065E-2</v>
      </c>
      <c r="AP303" s="4">
        <f t="shared" ca="1" si="67"/>
        <v>-2.5788330374654111E-2</v>
      </c>
    </row>
    <row r="304" spans="20:42" x14ac:dyDescent="0.3">
      <c r="T304">
        <v>298</v>
      </c>
      <c r="U304" s="4">
        <v>-9.0940504289824479E-3</v>
      </c>
      <c r="V304" s="4"/>
      <c r="W304">
        <v>299</v>
      </c>
      <c r="X304">
        <f t="shared" ca="1" si="68"/>
        <v>-0.13307343512656708</v>
      </c>
      <c r="Y304">
        <f t="shared" ca="1" si="68"/>
        <v>1.132876881682364</v>
      </c>
      <c r="Z304">
        <f t="shared" ca="1" si="68"/>
        <v>-0.51570724398580425</v>
      </c>
      <c r="AB304">
        <v>299</v>
      </c>
      <c r="AC304" s="24">
        <f t="shared" ca="1" si="61"/>
        <v>-0.13307343512656708</v>
      </c>
      <c r="AD304" s="24">
        <f t="shared" ca="1" si="62"/>
        <v>0.44241597967745933</v>
      </c>
      <c r="AE304" s="24">
        <f t="shared" ca="1" si="63"/>
        <v>-5.7620704033223891E-2</v>
      </c>
      <c r="AF304" s="24"/>
      <c r="AG304">
        <v>299</v>
      </c>
      <c r="AH304">
        <f t="shared" ca="1" si="69"/>
        <v>308.74229866090428</v>
      </c>
      <c r="AI304">
        <f t="shared" ca="1" si="70"/>
        <v>165.77888593687112</v>
      </c>
      <c r="AJ304">
        <f t="shared" ca="1" si="71"/>
        <v>52.976021012592021</v>
      </c>
      <c r="AL304">
        <v>299</v>
      </c>
      <c r="AM304" s="4">
        <f t="shared" ca="1" si="64"/>
        <v>-2.2547304000679613E-3</v>
      </c>
      <c r="AN304" s="4">
        <f t="shared" ca="1" si="65"/>
        <v>9.2468737418160973E-3</v>
      </c>
      <c r="AO304" s="4">
        <f t="shared" ca="1" si="66"/>
        <v>-1.0178722977050025E-3</v>
      </c>
      <c r="AP304" s="4">
        <f t="shared" ca="1" si="67"/>
        <v>2.7169686873945499E-3</v>
      </c>
    </row>
    <row r="305" spans="20:42" x14ac:dyDescent="0.3">
      <c r="T305">
        <v>299</v>
      </c>
      <c r="U305" s="4">
        <v>-9.0083098750286979E-3</v>
      </c>
      <c r="V305" s="4"/>
      <c r="W305">
        <v>300</v>
      </c>
      <c r="X305">
        <f t="shared" ca="1" si="68"/>
        <v>0.4990056084223421</v>
      </c>
      <c r="Y305">
        <f t="shared" ca="1" si="68"/>
        <v>0.53707654879909827</v>
      </c>
      <c r="Z305">
        <f t="shared" ca="1" si="68"/>
        <v>0.733311049776042</v>
      </c>
      <c r="AB305">
        <v>300</v>
      </c>
      <c r="AC305" s="24">
        <f t="shared" ca="1" si="61"/>
        <v>0.4990056084223421</v>
      </c>
      <c r="AD305" s="24">
        <f t="shared" ca="1" si="62"/>
        <v>0.69886201423020888</v>
      </c>
      <c r="AE305" s="24">
        <f t="shared" ca="1" si="63"/>
        <v>0.92772666534400261</v>
      </c>
      <c r="AF305" s="24"/>
      <c r="AG305">
        <v>300</v>
      </c>
      <c r="AH305">
        <f t="shared" ca="1" si="69"/>
        <v>312.07862786951239</v>
      </c>
      <c r="AI305">
        <f t="shared" ca="1" si="70"/>
        <v>166.66516303706734</v>
      </c>
      <c r="AJ305">
        <f t="shared" ca="1" si="71"/>
        <v>53.910555968916242</v>
      </c>
      <c r="AL305">
        <v>300</v>
      </c>
      <c r="AM305" s="4">
        <f t="shared" ca="1" si="64"/>
        <v>8.5270986533358961E-3</v>
      </c>
      <c r="AN305" s="4">
        <f t="shared" ca="1" si="65"/>
        <v>1.4642448622097515E-2</v>
      </c>
      <c r="AO305" s="4">
        <f t="shared" ca="1" si="66"/>
        <v>1.6604887985839811E-2</v>
      </c>
      <c r="AP305" s="4">
        <f t="shared" ca="1" si="67"/>
        <v>1.3396575440591717E-2</v>
      </c>
    </row>
    <row r="306" spans="20:42" x14ac:dyDescent="0.3">
      <c r="T306">
        <v>300</v>
      </c>
      <c r="U306" s="4">
        <v>-8.9958071982466411E-3</v>
      </c>
      <c r="V306" s="4"/>
      <c r="W306">
        <v>301</v>
      </c>
      <c r="X306">
        <f t="shared" ca="1" si="68"/>
        <v>-0.6329014713523583</v>
      </c>
      <c r="Y306">
        <f t="shared" ca="1" si="68"/>
        <v>0.79287431231698946</v>
      </c>
      <c r="Z306">
        <f t="shared" ca="1" si="68"/>
        <v>1.7554673949712976</v>
      </c>
      <c r="AB306">
        <v>301</v>
      </c>
      <c r="AC306" s="24">
        <f t="shared" ca="1" si="61"/>
        <v>-0.6329014713523583</v>
      </c>
      <c r="AD306" s="24">
        <f t="shared" ca="1" si="62"/>
        <v>-0.16005552268623219</v>
      </c>
      <c r="AE306" s="24">
        <f t="shared" ca="1" si="63"/>
        <v>0.59320599535003682</v>
      </c>
      <c r="AF306" s="24"/>
      <c r="AG306">
        <v>301</v>
      </c>
      <c r="AH306">
        <f t="shared" ca="1" si="69"/>
        <v>306.12930848538088</v>
      </c>
      <c r="AI306">
        <f t="shared" ca="1" si="70"/>
        <v>163.71524318169628</v>
      </c>
      <c r="AJ306">
        <f t="shared" ca="1" si="71"/>
        <v>53.59145189754053</v>
      </c>
      <c r="AL306">
        <v>301</v>
      </c>
      <c r="AM306" s="4">
        <f t="shared" ca="1" si="64"/>
        <v>-1.0698985037178699E-2</v>
      </c>
      <c r="AN306" s="4">
        <f t="shared" ca="1" si="65"/>
        <v>-3.3163968303678848E-3</v>
      </c>
      <c r="AO306" s="4">
        <f t="shared" ca="1" si="66"/>
        <v>1.0587462401808079E-2</v>
      </c>
      <c r="AP306" s="4">
        <f t="shared" ca="1" si="67"/>
        <v>-1.3600155227583397E-3</v>
      </c>
    </row>
    <row r="307" spans="20:42" x14ac:dyDescent="0.3">
      <c r="T307">
        <v>301</v>
      </c>
      <c r="U307" s="4">
        <v>-8.9263199465394842E-3</v>
      </c>
      <c r="V307" s="4"/>
      <c r="W307">
        <v>302</v>
      </c>
      <c r="X307">
        <f t="shared" ca="1" si="68"/>
        <v>1.760173531829647</v>
      </c>
      <c r="Y307">
        <f t="shared" ca="1" si="68"/>
        <v>-0.63570459669032864</v>
      </c>
      <c r="Z307">
        <f t="shared" ca="1" si="68"/>
        <v>1.9210232929946653</v>
      </c>
      <c r="AB307">
        <v>302</v>
      </c>
      <c r="AC307" s="24">
        <f t="shared" ca="1" si="61"/>
        <v>1.760173531829647</v>
      </c>
      <c r="AD307" s="24">
        <f t="shared" ca="1" si="62"/>
        <v>1.2184252367451904</v>
      </c>
      <c r="AE307" s="24">
        <f t="shared" ca="1" si="63"/>
        <v>2.2361659060656933</v>
      </c>
      <c r="AF307" s="24"/>
      <c r="AG307">
        <v>302</v>
      </c>
      <c r="AH307">
        <f t="shared" ca="1" si="69"/>
        <v>318.84362247992641</v>
      </c>
      <c r="AI307">
        <f t="shared" ca="1" si="70"/>
        <v>168.47532352226253</v>
      </c>
      <c r="AJ307">
        <f t="shared" ca="1" si="71"/>
        <v>55.177051171320642</v>
      </c>
      <c r="AL307">
        <v>302</v>
      </c>
      <c r="AM307" s="4">
        <f t="shared" ca="1" si="64"/>
        <v>3.0389154486582637E-2</v>
      </c>
      <c r="AN307" s="4">
        <f t="shared" ca="1" si="65"/>
        <v>2.5662542045513881E-2</v>
      </c>
      <c r="AO307" s="4">
        <f t="shared" ca="1" si="66"/>
        <v>4.0487505967321757E-2</v>
      </c>
      <c r="AP307" s="4">
        <f t="shared" ca="1" si="67"/>
        <v>3.1528014954376876E-2</v>
      </c>
    </row>
    <row r="308" spans="20:42" x14ac:dyDescent="0.3">
      <c r="T308">
        <v>302</v>
      </c>
      <c r="U308" s="4">
        <v>-8.8875350631350322E-3</v>
      </c>
      <c r="V308" s="4"/>
      <c r="W308">
        <v>303</v>
      </c>
      <c r="X308">
        <f t="shared" ca="1" si="68"/>
        <v>0.87601667218756596</v>
      </c>
      <c r="Y308">
        <f t="shared" ca="1" si="68"/>
        <v>-1.4182169870338459</v>
      </c>
      <c r="Z308">
        <f t="shared" ca="1" si="68"/>
        <v>-1.5811411291530841</v>
      </c>
      <c r="AB308">
        <v>303</v>
      </c>
      <c r="AC308" s="24">
        <f t="shared" ca="1" si="61"/>
        <v>0.87601667218756596</v>
      </c>
      <c r="AD308" s="24">
        <f t="shared" ca="1" si="62"/>
        <v>6.3477573490729911E-2</v>
      </c>
      <c r="AE308" s="24">
        <f t="shared" ca="1" si="63"/>
        <v>-0.47891928428498043</v>
      </c>
      <c r="AF308" s="24"/>
      <c r="AG308">
        <v>303</v>
      </c>
      <c r="AH308">
        <f t="shared" ca="1" si="69"/>
        <v>314.08576161331291</v>
      </c>
      <c r="AI308">
        <f t="shared" ca="1" si="70"/>
        <v>164.47789543015699</v>
      </c>
      <c r="AJ308">
        <f t="shared" ca="1" si="71"/>
        <v>52.581408487850609</v>
      </c>
      <c r="AL308">
        <v>303</v>
      </c>
      <c r="AM308" s="4">
        <f t="shared" ca="1" si="64"/>
        <v>1.5013440845569326E-2</v>
      </c>
      <c r="AN308" s="4">
        <f t="shared" ca="1" si="65"/>
        <v>1.3265611263180155E-3</v>
      </c>
      <c r="AO308" s="4">
        <f t="shared" ca="1" si="66"/>
        <v>-8.4591797430196847E-3</v>
      </c>
      <c r="AP308" s="4">
        <f t="shared" ca="1" si="67"/>
        <v>2.4969027812920988E-3</v>
      </c>
    </row>
    <row r="309" spans="20:42" x14ac:dyDescent="0.3">
      <c r="T309">
        <v>303</v>
      </c>
      <c r="U309" s="4">
        <v>-8.8705731694028282E-3</v>
      </c>
      <c r="V309" s="4"/>
      <c r="W309">
        <v>304</v>
      </c>
      <c r="X309">
        <f t="shared" ca="1" si="68"/>
        <v>-0.86833028137594959</v>
      </c>
      <c r="Y309">
        <f t="shared" ca="1" si="68"/>
        <v>2.1342489226972403</v>
      </c>
      <c r="Z309">
        <f t="shared" ca="1" si="68"/>
        <v>-1.0496267585707046</v>
      </c>
      <c r="AB309">
        <v>304</v>
      </c>
      <c r="AC309" s="24">
        <f t="shared" ca="1" si="61"/>
        <v>-0.86833028137594959</v>
      </c>
      <c r="AD309" s="24">
        <f t="shared" ca="1" si="62"/>
        <v>0.29602829161163435</v>
      </c>
      <c r="AE309" s="24">
        <f t="shared" ca="1" si="63"/>
        <v>-0.65230415853128654</v>
      </c>
      <c r="AF309" s="24"/>
      <c r="AG309">
        <v>304</v>
      </c>
      <c r="AH309">
        <f t="shared" ca="1" si="69"/>
        <v>304.9062117027508</v>
      </c>
      <c r="AI309">
        <f t="shared" ca="1" si="70"/>
        <v>165.27508493823203</v>
      </c>
      <c r="AJ309">
        <f t="shared" ca="1" si="71"/>
        <v>52.419861262546959</v>
      </c>
      <c r="AL309">
        <v>304</v>
      </c>
      <c r="AM309" s="4">
        <f t="shared" ca="1" si="64"/>
        <v>-1.4651598703738111E-2</v>
      </c>
      <c r="AN309" s="4">
        <f t="shared" ca="1" si="65"/>
        <v>6.1797787979032126E-3</v>
      </c>
      <c r="AO309" s="4">
        <f t="shared" ca="1" si="66"/>
        <v>-1.1505516326506871E-2</v>
      </c>
      <c r="AP309" s="4">
        <f t="shared" ca="1" si="67"/>
        <v>-5.3752229899122084E-3</v>
      </c>
    </row>
    <row r="310" spans="20:42" x14ac:dyDescent="0.3">
      <c r="T310">
        <v>304</v>
      </c>
      <c r="U310" s="4">
        <v>-8.8490195488441174E-3</v>
      </c>
      <c r="V310" s="4"/>
      <c r="W310">
        <v>305</v>
      </c>
      <c r="X310">
        <f t="shared" ca="1" si="68"/>
        <v>0.24879072968117097</v>
      </c>
      <c r="Y310">
        <f t="shared" ca="1" si="68"/>
        <v>0.25614515726116294</v>
      </c>
      <c r="Z310">
        <f t="shared" ca="1" si="68"/>
        <v>-0.29465512895349683</v>
      </c>
      <c r="AB310">
        <v>305</v>
      </c>
      <c r="AC310" s="24">
        <f t="shared" ca="1" si="61"/>
        <v>0.24879072968117097</v>
      </c>
      <c r="AD310" s="24">
        <f t="shared" ca="1" si="62"/>
        <v>0.34270479583673419</v>
      </c>
      <c r="AE310" s="24">
        <f t="shared" ca="1" si="63"/>
        <v>0.12423563508642349</v>
      </c>
      <c r="AF310" s="24"/>
      <c r="AG310">
        <v>305</v>
      </c>
      <c r="AH310">
        <f t="shared" ca="1" si="69"/>
        <v>310.75361863606599</v>
      </c>
      <c r="AI310">
        <f t="shared" ca="1" si="70"/>
        <v>165.43555812097406</v>
      </c>
      <c r="AJ310">
        <f t="shared" ca="1" si="71"/>
        <v>53.147271916171917</v>
      </c>
      <c r="AL310">
        <v>305</v>
      </c>
      <c r="AM310" s="4">
        <f t="shared" ca="1" si="64"/>
        <v>4.2451402026106866E-3</v>
      </c>
      <c r="AN310" s="4">
        <f t="shared" ca="1" si="65"/>
        <v>7.1567250301480811E-3</v>
      </c>
      <c r="AO310" s="4">
        <f t="shared" ca="1" si="66"/>
        <v>2.2114489831159823E-3</v>
      </c>
      <c r="AP310" s="4">
        <f t="shared" ca="1" si="67"/>
        <v>4.7996667677772335E-3</v>
      </c>
    </row>
    <row r="311" spans="20:42" x14ac:dyDescent="0.3">
      <c r="T311">
        <v>305</v>
      </c>
      <c r="U311" s="4">
        <v>-8.8439132089812248E-3</v>
      </c>
      <c r="V311" s="4"/>
      <c r="W311">
        <v>306</v>
      </c>
      <c r="X311">
        <f t="shared" ca="1" si="68"/>
        <v>3.6163541557012726E-4</v>
      </c>
      <c r="Y311">
        <f t="shared" ca="1" si="68"/>
        <v>-0.56923452818112685</v>
      </c>
      <c r="Z311">
        <f t="shared" ca="1" si="68"/>
        <v>0.74071856291915628</v>
      </c>
      <c r="AB311">
        <v>306</v>
      </c>
      <c r="AC311" s="24">
        <f t="shared" ca="1" si="61"/>
        <v>3.6163541557012726E-4</v>
      </c>
      <c r="AD311" s="24">
        <f t="shared" ca="1" si="62"/>
        <v>-0.28016975215485662</v>
      </c>
      <c r="AE311" s="24">
        <f t="shared" ca="1" si="63"/>
        <v>0.21908606256276236</v>
      </c>
      <c r="AF311" s="24"/>
      <c r="AG311">
        <v>306</v>
      </c>
      <c r="AH311">
        <f t="shared" ca="1" si="69"/>
        <v>309.4436316360821</v>
      </c>
      <c r="AI311">
        <f t="shared" ca="1" si="70"/>
        <v>163.30689803556757</v>
      </c>
      <c r="AJ311">
        <f t="shared" ca="1" si="71"/>
        <v>53.236810439732409</v>
      </c>
      <c r="AL311">
        <v>306</v>
      </c>
      <c r="AM311" s="4">
        <f t="shared" ca="1" si="64"/>
        <v>1.172826605300159E-5</v>
      </c>
      <c r="AN311" s="4">
        <f t="shared" ca="1" si="65"/>
        <v>-5.8023651719273373E-3</v>
      </c>
      <c r="AO311" s="4">
        <f t="shared" ca="1" si="66"/>
        <v>3.8998994002683585E-3</v>
      </c>
      <c r="AP311" s="4">
        <f t="shared" ca="1" si="67"/>
        <v>-1.1474577688745269E-3</v>
      </c>
    </row>
    <row r="312" spans="20:42" x14ac:dyDescent="0.3">
      <c r="T312">
        <v>306</v>
      </c>
      <c r="U312" s="4">
        <v>-8.6629700081662826E-3</v>
      </c>
      <c r="V312" s="4"/>
      <c r="W312">
        <v>307</v>
      </c>
      <c r="X312">
        <f t="shared" ca="1" si="68"/>
        <v>2.2632178476650653</v>
      </c>
      <c r="Y312">
        <f t="shared" ca="1" si="68"/>
        <v>8.3665498613491748E-2</v>
      </c>
      <c r="Z312">
        <f t="shared" ca="1" si="68"/>
        <v>0.10393511156285228</v>
      </c>
      <c r="AB312">
        <v>307</v>
      </c>
      <c r="AC312" s="24">
        <f t="shared" ca="1" si="61"/>
        <v>2.2632178476650653</v>
      </c>
      <c r="AD312" s="24">
        <f t="shared" ca="1" si="62"/>
        <v>2.0106249039936261</v>
      </c>
      <c r="AE312" s="24">
        <f t="shared" ca="1" si="63"/>
        <v>1.9231434554079836</v>
      </c>
      <c r="AF312" s="24"/>
      <c r="AG312">
        <v>307</v>
      </c>
      <c r="AH312">
        <f t="shared" ca="1" si="69"/>
        <v>321.58272398918808</v>
      </c>
      <c r="AI312">
        <f t="shared" ca="1" si="70"/>
        <v>171.27326420683488</v>
      </c>
      <c r="AJ312">
        <f t="shared" ca="1" si="71"/>
        <v>54.871381521716224</v>
      </c>
      <c r="AL312">
        <v>307</v>
      </c>
      <c r="AM312" s="4">
        <f t="shared" ca="1" si="64"/>
        <v>3.9240956088349765E-2</v>
      </c>
      <c r="AN312" s="4">
        <f t="shared" ca="1" si="65"/>
        <v>4.2696152042718261E-2</v>
      </c>
      <c r="AO312" s="4">
        <f t="shared" ca="1" si="66"/>
        <v>3.472341664730183E-2</v>
      </c>
      <c r="AP312" s="4">
        <f t="shared" ca="1" si="67"/>
        <v>3.9267772637782777E-2</v>
      </c>
    </row>
    <row r="313" spans="20:42" x14ac:dyDescent="0.3">
      <c r="T313">
        <v>307</v>
      </c>
      <c r="U313" s="4">
        <v>-8.6170816595756202E-3</v>
      </c>
      <c r="V313" s="4"/>
      <c r="W313">
        <v>308</v>
      </c>
      <c r="X313">
        <f t="shared" ca="1" si="68"/>
        <v>-1.6821152689748688E-2</v>
      </c>
      <c r="Y313">
        <f t="shared" ca="1" si="68"/>
        <v>-0.61434155584655514</v>
      </c>
      <c r="Z313">
        <f t="shared" ca="1" si="68"/>
        <v>1.2416573725882554</v>
      </c>
      <c r="AB313">
        <v>308</v>
      </c>
      <c r="AC313" s="24">
        <f t="shared" ca="1" si="61"/>
        <v>-1.6821152689748688E-2</v>
      </c>
      <c r="AD313" s="24">
        <f t="shared" ca="1" si="62"/>
        <v>-0.31734783753010914</v>
      </c>
      <c r="AE313" s="24">
        <f t="shared" ca="1" si="63"/>
        <v>0.44684357615570525</v>
      </c>
      <c r="AF313" s="24"/>
      <c r="AG313">
        <v>308</v>
      </c>
      <c r="AH313">
        <f t="shared" ca="1" si="69"/>
        <v>309.35322983708977</v>
      </c>
      <c r="AI313">
        <f t="shared" ca="1" si="70"/>
        <v>163.18071246085574</v>
      </c>
      <c r="AJ313">
        <f t="shared" ca="1" si="71"/>
        <v>53.452429341328639</v>
      </c>
      <c r="AL313">
        <v>308</v>
      </c>
      <c r="AM313" s="4">
        <f t="shared" ca="1" si="64"/>
        <v>-2.8041818650348382E-4</v>
      </c>
      <c r="AN313" s="4">
        <f t="shared" ca="1" si="65"/>
        <v>-6.5705715455527391E-3</v>
      </c>
      <c r="AO313" s="4">
        <f t="shared" ca="1" si="66"/>
        <v>7.9658791581334043E-3</v>
      </c>
      <c r="AP313" s="4">
        <f t="shared" ca="1" si="67"/>
        <v>-3.2259032673211943E-4</v>
      </c>
    </row>
    <row r="314" spans="20:42" x14ac:dyDescent="0.3">
      <c r="T314">
        <v>308</v>
      </c>
      <c r="U314" s="4">
        <v>-8.6168829354727038E-3</v>
      </c>
      <c r="V314" s="4"/>
      <c r="W314">
        <v>309</v>
      </c>
      <c r="X314">
        <f t="shared" ca="1" si="68"/>
        <v>-0.28042389932278222</v>
      </c>
      <c r="Y314">
        <f t="shared" ca="1" si="68"/>
        <v>-0.11812855197196837</v>
      </c>
      <c r="Z314">
        <f t="shared" ca="1" si="68"/>
        <v>1.3318903730103466</v>
      </c>
      <c r="AB314">
        <v>309</v>
      </c>
      <c r="AC314" s="24">
        <f t="shared" ca="1" si="61"/>
        <v>-0.28042389932278222</v>
      </c>
      <c r="AD314" s="24">
        <f t="shared" ca="1" si="62"/>
        <v>-0.30222498733659225</v>
      </c>
      <c r="AE314" s="24">
        <f t="shared" ca="1" si="63"/>
        <v>0.41445649911945209</v>
      </c>
      <c r="AF314" s="24"/>
      <c r="AG314">
        <v>309</v>
      </c>
      <c r="AH314">
        <f t="shared" ca="1" si="69"/>
        <v>307.96967322850458</v>
      </c>
      <c r="AI314">
        <f t="shared" ca="1" si="70"/>
        <v>163.23202892863407</v>
      </c>
      <c r="AJ314">
        <f t="shared" ca="1" si="71"/>
        <v>53.421715192747278</v>
      </c>
      <c r="AL314">
        <v>309</v>
      </c>
      <c r="AM314" s="4">
        <f t="shared" ca="1" si="64"/>
        <v>-4.7515809245763929E-3</v>
      </c>
      <c r="AN314" s="4">
        <f t="shared" ca="1" si="65"/>
        <v>-6.2581615279315717E-3</v>
      </c>
      <c r="AO314" s="4">
        <f t="shared" ca="1" si="66"/>
        <v>7.3866947476417533E-3</v>
      </c>
      <c r="AP314" s="4">
        <f t="shared" ca="1" si="67"/>
        <v>-1.7127304642530206E-3</v>
      </c>
    </row>
    <row r="315" spans="20:42" x14ac:dyDescent="0.3">
      <c r="T315">
        <v>309</v>
      </c>
      <c r="U315" s="4">
        <v>-8.5731681118940799E-3</v>
      </c>
      <c r="V315" s="4"/>
      <c r="W315">
        <v>310</v>
      </c>
      <c r="X315">
        <f t="shared" ca="1" si="68"/>
        <v>0.72682651606012605</v>
      </c>
      <c r="Y315">
        <f t="shared" ca="1" si="68"/>
        <v>-2.3361615429956881</v>
      </c>
      <c r="Z315">
        <f t="shared" ca="1" si="68"/>
        <v>1.1928995177996808</v>
      </c>
      <c r="AB315">
        <v>310</v>
      </c>
      <c r="AC315" s="24">
        <f t="shared" ca="1" si="61"/>
        <v>0.72682651606012605</v>
      </c>
      <c r="AD315" s="24">
        <f t="shared" ca="1" si="62"/>
        <v>-0.51865194062407804</v>
      </c>
      <c r="AE315" s="24">
        <f t="shared" ca="1" si="63"/>
        <v>0.55378083505846021</v>
      </c>
      <c r="AF315" s="24"/>
      <c r="AG315">
        <v>310</v>
      </c>
      <c r="AH315">
        <f t="shared" ca="1" si="69"/>
        <v>313.28996335308443</v>
      </c>
      <c r="AI315">
        <f t="shared" ca="1" si="70"/>
        <v>162.49916058257023</v>
      </c>
      <c r="AJ315">
        <f t="shared" ca="1" si="71"/>
        <v>53.553968310077742</v>
      </c>
      <c r="AL315">
        <v>310</v>
      </c>
      <c r="AM315" s="4">
        <f t="shared" ca="1" si="64"/>
        <v>1.2441703985597075E-2</v>
      </c>
      <c r="AN315" s="4">
        <f t="shared" ca="1" si="65"/>
        <v>-1.0719797778828588E-2</v>
      </c>
      <c r="AO315" s="4">
        <f t="shared" ca="1" si="66"/>
        <v>9.8806249828824466E-3</v>
      </c>
      <c r="AP315" s="4">
        <f t="shared" ca="1" si="67"/>
        <v>2.4087795790124207E-3</v>
      </c>
    </row>
    <row r="316" spans="20:42" x14ac:dyDescent="0.3">
      <c r="T316">
        <v>310</v>
      </c>
      <c r="U316" s="4">
        <v>-8.5030446016784444E-3</v>
      </c>
      <c r="V316" s="4"/>
      <c r="W316">
        <v>311</v>
      </c>
      <c r="X316">
        <f t="shared" ca="1" si="68"/>
        <v>1.4246970007721262</v>
      </c>
      <c r="Y316">
        <f t="shared" ca="1" si="68"/>
        <v>-0.77086495751932371</v>
      </c>
      <c r="Z316">
        <f t="shared" ca="1" si="68"/>
        <v>-1.3723909817291562</v>
      </c>
      <c r="AB316">
        <v>311</v>
      </c>
      <c r="AC316" s="24">
        <f t="shared" ca="1" si="61"/>
        <v>1.4246970007721262</v>
      </c>
      <c r="AD316" s="24">
        <f t="shared" ca="1" si="62"/>
        <v>0.85990248019467319</v>
      </c>
      <c r="AE316" s="24">
        <f t="shared" ca="1" si="63"/>
        <v>0.25357160779899335</v>
      </c>
      <c r="AF316" s="24"/>
      <c r="AG316">
        <v>311</v>
      </c>
      <c r="AH316">
        <f t="shared" ca="1" si="69"/>
        <v>317.02991577944761</v>
      </c>
      <c r="AI316">
        <f t="shared" ca="1" si="70"/>
        <v>167.22413898733916</v>
      </c>
      <c r="AJ316">
        <f t="shared" ca="1" si="71"/>
        <v>53.269402071978796</v>
      </c>
      <c r="AL316">
        <v>311</v>
      </c>
      <c r="AM316" s="4">
        <f t="shared" ca="1" si="64"/>
        <v>2.4527899683812748E-2</v>
      </c>
      <c r="AN316" s="4">
        <f t="shared" ca="1" si="65"/>
        <v>1.8045443684590046E-2</v>
      </c>
      <c r="AO316" s="4">
        <f t="shared" ca="1" si="66"/>
        <v>4.5144879915679503E-3</v>
      </c>
      <c r="AP316" s="4">
        <f t="shared" ca="1" si="67"/>
        <v>1.5930893776450229E-2</v>
      </c>
    </row>
    <row r="317" spans="20:42" x14ac:dyDescent="0.3">
      <c r="T317">
        <v>311</v>
      </c>
      <c r="U317" s="4">
        <v>-8.4834139991124876E-3</v>
      </c>
      <c r="V317" s="4"/>
      <c r="W317">
        <v>312</v>
      </c>
      <c r="X317">
        <f t="shared" ca="1" si="68"/>
        <v>0.89969666708264229</v>
      </c>
      <c r="Y317">
        <f t="shared" ca="1" si="68"/>
        <v>0.28542091414327275</v>
      </c>
      <c r="Z317">
        <f t="shared" ca="1" si="68"/>
        <v>-1.6112617599212236</v>
      </c>
      <c r="AB317">
        <v>312</v>
      </c>
      <c r="AC317" s="24">
        <f t="shared" ca="1" si="61"/>
        <v>0.89969666708264229</v>
      </c>
      <c r="AD317" s="24">
        <f t="shared" ca="1" si="62"/>
        <v>0.92353334808419962</v>
      </c>
      <c r="AE317" s="24">
        <f t="shared" ca="1" si="63"/>
        <v>-4.5942505009669565E-3</v>
      </c>
      <c r="AF317" s="24"/>
      <c r="AG317">
        <v>312</v>
      </c>
      <c r="AH317">
        <f t="shared" ca="1" si="69"/>
        <v>314.21225931343434</v>
      </c>
      <c r="AI317">
        <f t="shared" ca="1" si="70"/>
        <v>167.44551987801293</v>
      </c>
      <c r="AJ317">
        <f t="shared" ca="1" si="71"/>
        <v>53.025898017302211</v>
      </c>
      <c r="AL317">
        <v>312</v>
      </c>
      <c r="AM317" s="4">
        <f t="shared" ca="1" si="64"/>
        <v>1.5422236408920487E-2</v>
      </c>
      <c r="AN317" s="4">
        <f t="shared" ca="1" si="65"/>
        <v>1.9393190537610572E-2</v>
      </c>
      <c r="AO317" s="4">
        <f t="shared" ca="1" si="66"/>
        <v>-7.7329098415623854E-5</v>
      </c>
      <c r="AP317" s="4">
        <f t="shared" ca="1" si="67"/>
        <v>1.2360748408195689E-2</v>
      </c>
    </row>
    <row r="318" spans="20:42" x14ac:dyDescent="0.3">
      <c r="T318">
        <v>312</v>
      </c>
      <c r="U318" s="4">
        <v>-8.4083465335818893E-3</v>
      </c>
      <c r="V318" s="4"/>
      <c r="W318">
        <v>313</v>
      </c>
      <c r="X318">
        <f t="shared" ca="1" si="68"/>
        <v>0.1977925101147115</v>
      </c>
      <c r="Y318">
        <f t="shared" ca="1" si="68"/>
        <v>-1.1287603414702836</v>
      </c>
      <c r="Z318">
        <f t="shared" ca="1" si="68"/>
        <v>-0.5578781848791331</v>
      </c>
      <c r="AB318">
        <v>313</v>
      </c>
      <c r="AC318" s="24">
        <f t="shared" ca="1" si="61"/>
        <v>0.1977925101147115</v>
      </c>
      <c r="AD318" s="24">
        <f t="shared" ca="1" si="62"/>
        <v>-0.38407056144150553</v>
      </c>
      <c r="AE318" s="24">
        <f t="shared" ca="1" si="63"/>
        <v>-0.43327873419858193</v>
      </c>
      <c r="AF318" s="24"/>
      <c r="AG318">
        <v>313</v>
      </c>
      <c r="AH318">
        <f t="shared" ca="1" si="69"/>
        <v>310.48424924345704</v>
      </c>
      <c r="AI318">
        <f t="shared" ca="1" si="70"/>
        <v>162.95449434122162</v>
      </c>
      <c r="AJ318">
        <f t="shared" ca="1" si="71"/>
        <v>52.624015694759287</v>
      </c>
      <c r="AL318">
        <v>313</v>
      </c>
      <c r="AM318" s="4">
        <f t="shared" ca="1" si="64"/>
        <v>3.3746341578728689E-3</v>
      </c>
      <c r="AN318" s="4">
        <f t="shared" ca="1" si="65"/>
        <v>-7.9477670112734211E-3</v>
      </c>
      <c r="AO318" s="4">
        <f t="shared" ca="1" si="66"/>
        <v>-7.6557249459339172E-3</v>
      </c>
      <c r="AP318" s="4">
        <f t="shared" ca="1" si="67"/>
        <v>-4.4634340409276827E-3</v>
      </c>
    </row>
    <row r="319" spans="20:42" x14ac:dyDescent="0.3">
      <c r="T319">
        <v>313</v>
      </c>
      <c r="U319" s="4">
        <v>-8.3837923326214089E-3</v>
      </c>
      <c r="V319" s="4"/>
      <c r="W319">
        <v>314</v>
      </c>
      <c r="X319">
        <f t="shared" ca="1" si="68"/>
        <v>-1.8695036853677283</v>
      </c>
      <c r="Y319">
        <f t="shared" ca="1" si="68"/>
        <v>-0.10714891810369323</v>
      </c>
      <c r="Z319">
        <f t="shared" ca="1" si="68"/>
        <v>-4.8731635436116923E-2</v>
      </c>
      <c r="AB319">
        <v>314</v>
      </c>
      <c r="AC319" s="24">
        <f t="shared" ca="1" si="61"/>
        <v>-1.8695036853677283</v>
      </c>
      <c r="AD319" s="24">
        <f t="shared" ca="1" si="62"/>
        <v>-1.6795951991329565</v>
      </c>
      <c r="AE319" s="24">
        <f t="shared" ca="1" si="63"/>
        <v>-1.5802492796351848</v>
      </c>
      <c r="AF319" s="24"/>
      <c r="AG319">
        <v>314</v>
      </c>
      <c r="AH319">
        <f t="shared" ca="1" si="69"/>
        <v>299.75926903787121</v>
      </c>
      <c r="AI319">
        <f t="shared" ca="1" si="70"/>
        <v>158.62375453991058</v>
      </c>
      <c r="AJ319">
        <f t="shared" ca="1" si="71"/>
        <v>51.563669344655892</v>
      </c>
      <c r="AL319">
        <v>314</v>
      </c>
      <c r="AM319" s="4">
        <f t="shared" ca="1" si="64"/>
        <v>-3.1284686295101505E-2</v>
      </c>
      <c r="AN319" s="4">
        <f t="shared" ca="1" si="65"/>
        <v>-3.4312919489899896E-2</v>
      </c>
      <c r="AO319" s="4">
        <f t="shared" ca="1" si="66"/>
        <v>-2.7650942266537748E-2</v>
      </c>
      <c r="AP319" s="4">
        <f t="shared" ca="1" si="67"/>
        <v>-3.1405856364451736E-2</v>
      </c>
    </row>
    <row r="320" spans="20:42" x14ac:dyDescent="0.3">
      <c r="T320">
        <v>314</v>
      </c>
      <c r="U320" s="4">
        <v>-8.2649882245735551E-3</v>
      </c>
      <c r="V320" s="4"/>
      <c r="W320">
        <v>315</v>
      </c>
      <c r="X320">
        <f t="shared" ca="1" si="68"/>
        <v>0.25775678240665051</v>
      </c>
      <c r="Y320">
        <f t="shared" ca="1" si="68"/>
        <v>-0.3723225788897665</v>
      </c>
      <c r="Z320">
        <f t="shared" ca="1" si="68"/>
        <v>0.70373243211108216</v>
      </c>
      <c r="AB320">
        <v>315</v>
      </c>
      <c r="AC320" s="24">
        <f t="shared" ca="1" si="61"/>
        <v>0.25775678240665051</v>
      </c>
      <c r="AD320" s="24">
        <f t="shared" ca="1" si="62"/>
        <v>4.0835855829176759E-2</v>
      </c>
      <c r="AE320" s="24">
        <f t="shared" ca="1" si="63"/>
        <v>0.46476473740214408</v>
      </c>
      <c r="AF320" s="24"/>
      <c r="AG320">
        <v>315</v>
      </c>
      <c r="AH320">
        <f t="shared" ca="1" si="69"/>
        <v>310.80100091286545</v>
      </c>
      <c r="AI320">
        <f t="shared" ca="1" si="70"/>
        <v>164.40048478389181</v>
      </c>
      <c r="AJ320">
        <f t="shared" ca="1" si="71"/>
        <v>53.469432387844215</v>
      </c>
      <c r="AL320">
        <v>315</v>
      </c>
      <c r="AM320" s="4">
        <f t="shared" ca="1" si="64"/>
        <v>4.3982628642758037E-3</v>
      </c>
      <c r="AN320" s="4">
        <f t="shared" ca="1" si="65"/>
        <v>8.5529210857826499E-4</v>
      </c>
      <c r="AO320" s="4">
        <f t="shared" ca="1" si="66"/>
        <v>8.2865098748403643E-3</v>
      </c>
      <c r="AP320" s="4">
        <f t="shared" ca="1" si="67"/>
        <v>4.1475486651661566E-3</v>
      </c>
    </row>
    <row r="321" spans="20:42" x14ac:dyDescent="0.3">
      <c r="T321">
        <v>315</v>
      </c>
      <c r="U321" s="4">
        <v>-8.1219794076646586E-3</v>
      </c>
      <c r="V321" s="4"/>
      <c r="W321">
        <v>316</v>
      </c>
      <c r="X321">
        <f t="shared" ca="1" si="68"/>
        <v>0.96172954034525604</v>
      </c>
      <c r="Y321">
        <f t="shared" ca="1" si="68"/>
        <v>-0.87012451675013802</v>
      </c>
      <c r="Z321">
        <f t="shared" ca="1" si="68"/>
        <v>0.52872497946934638</v>
      </c>
      <c r="AB321">
        <v>316</v>
      </c>
      <c r="AC321" s="24">
        <f t="shared" ca="1" si="61"/>
        <v>0.96172954034525604</v>
      </c>
      <c r="AD321" s="24">
        <f t="shared" ca="1" si="62"/>
        <v>0.40812982818375504</v>
      </c>
      <c r="AE321" s="24">
        <f t="shared" ca="1" si="63"/>
        <v>0.8131306780494727</v>
      </c>
      <c r="AF321" s="24"/>
      <c r="AG321">
        <v>316</v>
      </c>
      <c r="AH321">
        <f t="shared" ca="1" si="69"/>
        <v>314.54387833528352</v>
      </c>
      <c r="AI321">
        <f t="shared" ca="1" si="70"/>
        <v>165.66075077750003</v>
      </c>
      <c r="AJ321">
        <f t="shared" ca="1" si="71"/>
        <v>53.801027817021421</v>
      </c>
      <c r="AL321">
        <v>316</v>
      </c>
      <c r="AM321" s="4">
        <f t="shared" ca="1" si="64"/>
        <v>1.6493911109130011E-2</v>
      </c>
      <c r="AN321" s="4">
        <f t="shared" ca="1" si="65"/>
        <v>8.5276775691522921E-3</v>
      </c>
      <c r="AO321" s="4">
        <f t="shared" ca="1" si="66"/>
        <v>1.4539488128852085E-2</v>
      </c>
      <c r="AP321" s="4">
        <f t="shared" ca="1" si="67"/>
        <v>1.2721090799055545E-2</v>
      </c>
    </row>
    <row r="322" spans="20:42" x14ac:dyDescent="0.3">
      <c r="T322">
        <v>316</v>
      </c>
      <c r="U322" s="4">
        <v>-8.0786427098482154E-3</v>
      </c>
      <c r="V322" s="4"/>
      <c r="W322">
        <v>317</v>
      </c>
      <c r="X322">
        <f t="shared" ca="1" si="68"/>
        <v>0.62647733357438828</v>
      </c>
      <c r="Y322">
        <f t="shared" ca="1" si="68"/>
        <v>0.40951569046756836</v>
      </c>
      <c r="Z322">
        <f t="shared" ca="1" si="68"/>
        <v>6.5643079996361042E-2</v>
      </c>
      <c r="AB322">
        <v>317</v>
      </c>
      <c r="AC322" s="24">
        <f t="shared" ca="1" si="61"/>
        <v>0.62647733357438828</v>
      </c>
      <c r="AD322" s="24">
        <f t="shared" ca="1" si="62"/>
        <v>0.74693065166266481</v>
      </c>
      <c r="AE322" s="24">
        <f t="shared" ca="1" si="63"/>
        <v>0.65770792685061463</v>
      </c>
      <c r="AF322" s="24"/>
      <c r="AG322">
        <v>317</v>
      </c>
      <c r="AH322">
        <f t="shared" ca="1" si="69"/>
        <v>312.75582326989496</v>
      </c>
      <c r="AI322">
        <f t="shared" ca="1" si="70"/>
        <v>166.83181471241681</v>
      </c>
      <c r="AJ322">
        <f t="shared" ca="1" si="71"/>
        <v>53.652833881389803</v>
      </c>
      <c r="AL322">
        <v>317</v>
      </c>
      <c r="AM322" s="4">
        <f t="shared" ca="1" si="64"/>
        <v>1.0715553265020494E-2</v>
      </c>
      <c r="AN322" s="4">
        <f t="shared" ca="1" si="65"/>
        <v>1.5657008958896546E-2</v>
      </c>
      <c r="AO322" s="4">
        <f t="shared" ca="1" si="66"/>
        <v>1.174495788101293E-2</v>
      </c>
      <c r="AP322" s="4">
        <f t="shared" ca="1" si="67"/>
        <v>1.3000956927368646E-2</v>
      </c>
    </row>
    <row r="323" spans="20:42" x14ac:dyDescent="0.3">
      <c r="T323">
        <v>317</v>
      </c>
      <c r="U323" s="4">
        <v>-8.0328530797654004E-3</v>
      </c>
      <c r="V323" s="4"/>
      <c r="W323">
        <v>318</v>
      </c>
      <c r="X323">
        <f t="shared" ca="1" si="68"/>
        <v>-0.5787529387567929</v>
      </c>
      <c r="Y323">
        <f t="shared" ca="1" si="68"/>
        <v>-0.14878623324472218</v>
      </c>
      <c r="Z323">
        <f t="shared" ca="1" si="68"/>
        <v>0.71616736609776199</v>
      </c>
      <c r="AB323">
        <v>318</v>
      </c>
      <c r="AC323" s="24">
        <f t="shared" ca="1" si="61"/>
        <v>-0.5787529387567929</v>
      </c>
      <c r="AD323" s="24">
        <f t="shared" ca="1" si="62"/>
        <v>-0.57693024285326366</v>
      </c>
      <c r="AE323" s="24">
        <f t="shared" ca="1" si="63"/>
        <v>-0.14999959309241817</v>
      </c>
      <c r="AF323" s="24"/>
      <c r="AG323">
        <v>318</v>
      </c>
      <c r="AH323">
        <f t="shared" ca="1" si="69"/>
        <v>306.41131354202645</v>
      </c>
      <c r="AI323">
        <f t="shared" ca="1" si="70"/>
        <v>162.30238059653098</v>
      </c>
      <c r="AJ323">
        <f t="shared" ca="1" si="71"/>
        <v>52.889240901604019</v>
      </c>
      <c r="AL323">
        <v>318</v>
      </c>
      <c r="AM323" s="4">
        <f t="shared" ca="1" si="64"/>
        <v>-9.7876450216001221E-3</v>
      </c>
      <c r="AN323" s="4">
        <f t="shared" ca="1" si="65"/>
        <v>-1.1917776547974768E-2</v>
      </c>
      <c r="AO323" s="4">
        <f t="shared" ca="1" si="66"/>
        <v>-2.6543066364869139E-3</v>
      </c>
      <c r="AP323" s="4">
        <f t="shared" ca="1" si="67"/>
        <v>-8.4996961166160182E-3</v>
      </c>
    </row>
    <row r="324" spans="20:42" x14ac:dyDescent="0.3">
      <c r="T324">
        <v>318</v>
      </c>
      <c r="U324" s="4">
        <v>-7.9782907633221042E-3</v>
      </c>
      <c r="V324" s="4"/>
      <c r="W324">
        <v>319</v>
      </c>
      <c r="X324">
        <f t="shared" ca="1" si="68"/>
        <v>0.96708301742927072</v>
      </c>
      <c r="Y324">
        <f t="shared" ca="1" si="68"/>
        <v>-1.1007255668787637</v>
      </c>
      <c r="Z324">
        <f t="shared" ca="1" si="68"/>
        <v>-0.49481929823140863</v>
      </c>
      <c r="AB324">
        <v>319</v>
      </c>
      <c r="AC324" s="24">
        <f t="shared" ca="1" si="61"/>
        <v>0.96708301742927072</v>
      </c>
      <c r="AD324" s="24">
        <f t="shared" ca="1" si="62"/>
        <v>0.29916201207417381</v>
      </c>
      <c r="AE324" s="24">
        <f t="shared" ca="1" si="63"/>
        <v>0.23437910805652523</v>
      </c>
      <c r="AF324" s="24"/>
      <c r="AG324">
        <v>319</v>
      </c>
      <c r="AH324">
        <f t="shared" ca="1" si="69"/>
        <v>314.5725136715958</v>
      </c>
      <c r="AI324">
        <f t="shared" ca="1" si="70"/>
        <v>165.28585375016064</v>
      </c>
      <c r="AJ324">
        <f t="shared" ca="1" si="71"/>
        <v>53.251261144462411</v>
      </c>
      <c r="AL324">
        <v>319</v>
      </c>
      <c r="AM324" s="4">
        <f t="shared" ca="1" si="64"/>
        <v>1.6586450328643698E-2</v>
      </c>
      <c r="AN324" s="4">
        <f t="shared" ca="1" si="65"/>
        <v>6.2453383515908012E-3</v>
      </c>
      <c r="AO324" s="4">
        <f t="shared" ca="1" si="66"/>
        <v>4.1723999671672285E-3</v>
      </c>
      <c r="AP324" s="4">
        <f t="shared" ca="1" si="67"/>
        <v>8.7257904293795985E-3</v>
      </c>
    </row>
    <row r="325" spans="20:42" x14ac:dyDescent="0.3">
      <c r="T325">
        <v>319</v>
      </c>
      <c r="U325" s="4">
        <v>-7.9151504290206343E-3</v>
      </c>
      <c r="V325" s="4"/>
      <c r="W325">
        <v>320</v>
      </c>
      <c r="X325">
        <f t="shared" ca="1" si="68"/>
        <v>-1.3193589485322827</v>
      </c>
      <c r="Y325">
        <f t="shared" ca="1" si="68"/>
        <v>1.0921898415929281</v>
      </c>
      <c r="Z325">
        <f t="shared" ca="1" si="68"/>
        <v>1.0721775054634959</v>
      </c>
      <c r="AB325">
        <v>320</v>
      </c>
      <c r="AC325" s="24">
        <f t="shared" ca="1" si="61"/>
        <v>-1.3193589485322827</v>
      </c>
      <c r="AD325" s="24">
        <f t="shared" ca="1" si="62"/>
        <v>-0.60991023395295985</v>
      </c>
      <c r="AE325" s="24">
        <f t="shared" ca="1" si="63"/>
        <v>-0.23125420578875799</v>
      </c>
      <c r="AF325" s="24"/>
      <c r="AG325">
        <v>320</v>
      </c>
      <c r="AH325">
        <f t="shared" ca="1" si="69"/>
        <v>302.57666512814916</v>
      </c>
      <c r="AI325">
        <f t="shared" ca="1" si="70"/>
        <v>162.19112739040403</v>
      </c>
      <c r="AJ325">
        <f t="shared" ca="1" si="71"/>
        <v>52.813028377137535</v>
      </c>
      <c r="AL325">
        <v>320</v>
      </c>
      <c r="AM325" s="4">
        <f t="shared" ca="1" si="64"/>
        <v>-2.2179864461953192E-2</v>
      </c>
      <c r="AN325" s="4">
        <f t="shared" ca="1" si="65"/>
        <v>-1.2595076011310047E-2</v>
      </c>
      <c r="AO325" s="4">
        <f t="shared" ca="1" si="66"/>
        <v>-4.0914653432722048E-3</v>
      </c>
      <c r="AP325" s="4">
        <f t="shared" ca="1" si="67"/>
        <v>-1.2919429346091638E-2</v>
      </c>
    </row>
    <row r="326" spans="20:42" x14ac:dyDescent="0.3">
      <c r="T326">
        <v>320</v>
      </c>
      <c r="U326" s="4">
        <v>-7.8484001494623298E-3</v>
      </c>
      <c r="V326" s="4"/>
      <c r="W326">
        <v>321</v>
      </c>
      <c r="X326">
        <f t="shared" ca="1" si="68"/>
        <v>1.2008655412317024</v>
      </c>
      <c r="Y326">
        <f t="shared" ca="1" si="68"/>
        <v>0.35039023159797811</v>
      </c>
      <c r="Z326">
        <f t="shared" ca="1" si="68"/>
        <v>0.26819011239699098</v>
      </c>
      <c r="AB326">
        <v>321</v>
      </c>
      <c r="AC326" s="24">
        <f t="shared" ref="AC326:AC389" ca="1" si="72">SUMPRODUCT($Q$24:$S$24,X326:Z326)</f>
        <v>1.2008655412317024</v>
      </c>
      <c r="AD326" s="24">
        <f t="shared" ref="AD326:AD389" ca="1" si="73">SUMPRODUCT($Q$25:$S$25,X326:Z326)</f>
        <v>1.2176164664065559</v>
      </c>
      <c r="AE326" s="24">
        <f t="shared" ref="AE326:AE389" ca="1" si="74">SUMPRODUCT($Q$26:$S$26,X326:Z326)</f>
        <v>1.2130133853579486</v>
      </c>
      <c r="AF326" s="24"/>
      <c r="AG326">
        <v>321</v>
      </c>
      <c r="AH326">
        <f t="shared" ca="1" si="69"/>
        <v>315.82554427080419</v>
      </c>
      <c r="AI326">
        <f t="shared" ca="1" si="70"/>
        <v>168.47249053994108</v>
      </c>
      <c r="AJ326">
        <f t="shared" ca="1" si="71"/>
        <v>54.184195806377794</v>
      </c>
      <c r="AL326">
        <v>321</v>
      </c>
      <c r="AM326" s="4">
        <f t="shared" ref="AM326:AM389" ca="1" si="75">AH326/$AH$2-1</f>
        <v>2.0635799440983149E-2</v>
      </c>
      <c r="AN326" s="4">
        <f t="shared" ref="AN326:AN389" ca="1" si="76">AI326/$AI$2-1</f>
        <v>2.564529510519864E-2</v>
      </c>
      <c r="AO326" s="4">
        <f t="shared" ref="AO326:AO389" ca="1" si="77">AJ326/$AJ$2-1</f>
        <v>2.1764983097295465E-2</v>
      </c>
      <c r="AP326" s="4">
        <f t="shared" ref="AP326:AP389" ca="1" si="78">SUMPRODUCT($P$6:$R$6,AM326:AO326)</f>
        <v>2.297835280356304E-2</v>
      </c>
    </row>
    <row r="327" spans="20:42" x14ac:dyDescent="0.3">
      <c r="T327">
        <v>321</v>
      </c>
      <c r="U327" s="4">
        <v>-7.7582948813638255E-3</v>
      </c>
      <c r="V327" s="4"/>
      <c r="W327">
        <v>322</v>
      </c>
      <c r="X327">
        <f t="shared" ref="X327:Z390" ca="1" si="79">_xlfn.NORM.S.INV(RAND())</f>
        <v>-0.46656362453705996</v>
      </c>
      <c r="Y327">
        <f t="shared" ca="1" si="79"/>
        <v>-0.92006343371876376</v>
      </c>
      <c r="Z327">
        <f t="shared" ca="1" si="79"/>
        <v>1.3130174897328837</v>
      </c>
      <c r="AB327">
        <v>322</v>
      </c>
      <c r="AC327" s="24">
        <f t="shared" ca="1" si="72"/>
        <v>-0.46656362453705996</v>
      </c>
      <c r="AD327" s="24">
        <f t="shared" ca="1" si="73"/>
        <v>-0.85934458840142325</v>
      </c>
      <c r="AE327" s="24">
        <f t="shared" ca="1" si="74"/>
        <v>3.1574566746090271E-2</v>
      </c>
      <c r="AF327" s="24"/>
      <c r="AG327">
        <v>322</v>
      </c>
      <c r="AH327">
        <f t="shared" ref="AH327:AH390" ca="1" si="80">$L$21*EXP(($L$19-(($L$20^2)/2))*(1/252)+$L$20*AC327)</f>
        <v>306.99642142459311</v>
      </c>
      <c r="AI327">
        <f t="shared" ref="AI327:AI390" ca="1" si="81">$M$21*EXP(($M$19-(($M$20^2)/2))*(1/252)+$M$20*AD327)</f>
        <v>161.3521626703718</v>
      </c>
      <c r="AJ327">
        <f t="shared" ref="AJ327:AJ390" ca="1" si="82">$N$21*EXP(($N$19-(($N$20^2)/2))*(1/252)+$N$20*AE327)</f>
        <v>53.059945563159829</v>
      </c>
      <c r="AL327">
        <v>322</v>
      </c>
      <c r="AM327" s="4">
        <f t="shared" ca="1" si="75"/>
        <v>-7.8967845059904063E-3</v>
      </c>
      <c r="AN327" s="4">
        <f t="shared" ca="1" si="76"/>
        <v>-1.7702617397458931E-2</v>
      </c>
      <c r="AO327" s="4">
        <f t="shared" ca="1" si="77"/>
        <v>5.6471402135360727E-4</v>
      </c>
      <c r="AP327" s="4">
        <f t="shared" ca="1" si="78"/>
        <v>-9.280668104374612E-3</v>
      </c>
    </row>
    <row r="328" spans="20:42" x14ac:dyDescent="0.3">
      <c r="T328">
        <v>322</v>
      </c>
      <c r="U328" s="4">
        <v>-7.7293727862420619E-3</v>
      </c>
      <c r="V328" s="4"/>
      <c r="W328">
        <v>323</v>
      </c>
      <c r="X328">
        <f t="shared" ca="1" si="79"/>
        <v>-0.95908169642438235</v>
      </c>
      <c r="Y328">
        <f t="shared" ca="1" si="79"/>
        <v>1.6663611379101415</v>
      </c>
      <c r="Z328">
        <f t="shared" ca="1" si="79"/>
        <v>-1.32274855252445</v>
      </c>
      <c r="AB328">
        <v>323</v>
      </c>
      <c r="AC328" s="24">
        <f t="shared" ca="1" si="72"/>
        <v>-0.95908169642438235</v>
      </c>
      <c r="AD328" s="24">
        <f t="shared" ca="1" si="73"/>
        <v>-1.3488358518442878E-2</v>
      </c>
      <c r="AE328" s="24">
        <f t="shared" ca="1" si="74"/>
        <v>-0.99415028249507631</v>
      </c>
      <c r="AF328" s="24"/>
      <c r="AG328">
        <v>323</v>
      </c>
      <c r="AH328">
        <f t="shared" ca="1" si="80"/>
        <v>304.43604707028686</v>
      </c>
      <c r="AI328">
        <f t="shared" ca="1" si="81"/>
        <v>164.21490216090015</v>
      </c>
      <c r="AJ328">
        <f t="shared" ca="1" si="82"/>
        <v>52.102806776838918</v>
      </c>
      <c r="AL328">
        <v>323</v>
      </c>
      <c r="AM328" s="4">
        <f t="shared" ca="1" si="75"/>
        <v>-1.617100352778944E-2</v>
      </c>
      <c r="AN328" s="4">
        <f t="shared" ca="1" si="76"/>
        <v>-2.7451812640222339E-4</v>
      </c>
      <c r="AO328" s="4">
        <f t="shared" ca="1" si="77"/>
        <v>-1.7484292359061127E-2</v>
      </c>
      <c r="AP328" s="4">
        <f t="shared" ca="1" si="78"/>
        <v>-1.0206396016616059E-2</v>
      </c>
    </row>
    <row r="329" spans="20:42" x14ac:dyDescent="0.3">
      <c r="T329">
        <v>323</v>
      </c>
      <c r="U329" s="4">
        <v>-7.6910272436957576E-3</v>
      </c>
      <c r="V329" s="4"/>
      <c r="W329">
        <v>324</v>
      </c>
      <c r="X329">
        <f t="shared" ca="1" si="79"/>
        <v>-1.5516179517920772</v>
      </c>
      <c r="Y329">
        <f t="shared" ca="1" si="79"/>
        <v>-0.51496236643084681</v>
      </c>
      <c r="Z329">
        <f t="shared" ca="1" si="79"/>
        <v>-0.6110841096333407</v>
      </c>
      <c r="AB329">
        <v>324</v>
      </c>
      <c r="AC329" s="24">
        <f t="shared" ca="1" si="72"/>
        <v>-1.5516179517920772</v>
      </c>
      <c r="AD329" s="24">
        <f t="shared" ca="1" si="73"/>
        <v>-1.6039242865103123</v>
      </c>
      <c r="AE329" s="24">
        <f t="shared" ca="1" si="74"/>
        <v>-1.7187605220948814</v>
      </c>
      <c r="AF329" s="24"/>
      <c r="AG329">
        <v>324</v>
      </c>
      <c r="AH329">
        <f t="shared" ca="1" si="80"/>
        <v>301.384006944742</v>
      </c>
      <c r="AI329">
        <f t="shared" ca="1" si="81"/>
        <v>158.87351568897734</v>
      </c>
      <c r="AJ329">
        <f t="shared" ca="1" si="82"/>
        <v>51.437073558399021</v>
      </c>
      <c r="AL329">
        <v>324</v>
      </c>
      <c r="AM329" s="4">
        <f t="shared" ca="1" si="75"/>
        <v>-2.6034111404809268E-2</v>
      </c>
      <c r="AN329" s="4">
        <f t="shared" ca="1" si="76"/>
        <v>-3.2792396188918271E-2</v>
      </c>
      <c r="AO329" s="4">
        <f t="shared" ca="1" si="77"/>
        <v>-3.0038190789468011E-2</v>
      </c>
      <c r="AP329" s="4">
        <f t="shared" ca="1" si="78"/>
        <v>-2.9938649133850491E-2</v>
      </c>
    </row>
    <row r="330" spans="20:42" x14ac:dyDescent="0.3">
      <c r="T330">
        <v>324</v>
      </c>
      <c r="U330" s="4">
        <v>-7.5479361201821306E-3</v>
      </c>
      <c r="V330" s="4"/>
      <c r="W330">
        <v>325</v>
      </c>
      <c r="X330">
        <f t="shared" ca="1" si="79"/>
        <v>0.59140010012898214</v>
      </c>
      <c r="Y330">
        <f t="shared" ca="1" si="79"/>
        <v>2.7969479130496817E-2</v>
      </c>
      <c r="Z330">
        <f t="shared" ca="1" si="79"/>
        <v>-2.6156951140549012</v>
      </c>
      <c r="AB330">
        <v>325</v>
      </c>
      <c r="AC330" s="24">
        <f t="shared" ca="1" si="72"/>
        <v>0.59140010012898214</v>
      </c>
      <c r="AD330" s="24">
        <f t="shared" ca="1" si="73"/>
        <v>0.52840430018387363</v>
      </c>
      <c r="AE330" s="24">
        <f t="shared" ca="1" si="74"/>
        <v>-0.83706827912109827</v>
      </c>
      <c r="AF330" s="24"/>
      <c r="AG330">
        <v>325</v>
      </c>
      <c r="AH330">
        <f t="shared" ca="1" si="80"/>
        <v>312.56932854300271</v>
      </c>
      <c r="AI330">
        <f t="shared" ca="1" si="81"/>
        <v>166.07553498859934</v>
      </c>
      <c r="AJ330">
        <f t="shared" ca="1" si="82"/>
        <v>52.248257914272308</v>
      </c>
      <c r="AL330">
        <v>325</v>
      </c>
      <c r="AM330" s="4">
        <f t="shared" ca="1" si="75"/>
        <v>1.0112868655981933E-2</v>
      </c>
      <c r="AN330" s="4">
        <f t="shared" ca="1" si="76"/>
        <v>1.1052846356261137E-2</v>
      </c>
      <c r="AO330" s="4">
        <f t="shared" ca="1" si="77"/>
        <v>-1.4741483745417061E-2</v>
      </c>
      <c r="AP330" s="4">
        <f t="shared" ca="1" si="78"/>
        <v>3.032554015673916E-3</v>
      </c>
    </row>
    <row r="331" spans="20:42" x14ac:dyDescent="0.3">
      <c r="T331">
        <v>325</v>
      </c>
      <c r="U331" s="4">
        <v>-7.5233714892339989E-3</v>
      </c>
      <c r="V331" s="4"/>
      <c r="W331">
        <v>326</v>
      </c>
      <c r="X331">
        <f t="shared" ca="1" si="79"/>
        <v>-1.9679822977369976</v>
      </c>
      <c r="Y331">
        <f t="shared" ca="1" si="79"/>
        <v>-0.51066112249890039</v>
      </c>
      <c r="Z331">
        <f t="shared" ca="1" si="79"/>
        <v>-1.0059808598048157</v>
      </c>
      <c r="AB331">
        <v>326</v>
      </c>
      <c r="AC331" s="24">
        <f t="shared" ca="1" si="72"/>
        <v>-1.9679822977369976</v>
      </c>
      <c r="AD331" s="24">
        <f t="shared" ca="1" si="73"/>
        <v>-1.9641154740166311</v>
      </c>
      <c r="AE331" s="24">
        <f t="shared" ca="1" si="74"/>
        <v>-2.2578371615841037</v>
      </c>
      <c r="AF331" s="24"/>
      <c r="AG331">
        <v>326</v>
      </c>
      <c r="AH331">
        <f t="shared" ca="1" si="80"/>
        <v>299.25771665778666</v>
      </c>
      <c r="AI331">
        <f t="shared" ca="1" si="81"/>
        <v>157.68816895420304</v>
      </c>
      <c r="AJ331">
        <f t="shared" ca="1" si="82"/>
        <v>50.947322862971511</v>
      </c>
      <c r="AL331">
        <v>326</v>
      </c>
      <c r="AM331" s="4">
        <f t="shared" ca="1" si="75"/>
        <v>-3.2905525152803872E-2</v>
      </c>
      <c r="AN331" s="4">
        <f t="shared" ca="1" si="76"/>
        <v>-4.0008679973251193E-2</v>
      </c>
      <c r="AO331" s="4">
        <f t="shared" ca="1" si="77"/>
        <v>-3.9273542603556977E-2</v>
      </c>
      <c r="AP331" s="4">
        <f t="shared" ca="1" si="78"/>
        <v>-3.7657192316208732E-2</v>
      </c>
    </row>
    <row r="332" spans="20:42" x14ac:dyDescent="0.3">
      <c r="T332">
        <v>326</v>
      </c>
      <c r="U332" s="4">
        <v>-7.4899003105951441E-3</v>
      </c>
      <c r="V332" s="4"/>
      <c r="W332">
        <v>327</v>
      </c>
      <c r="X332">
        <f t="shared" ca="1" si="79"/>
        <v>0.71316572094199993</v>
      </c>
      <c r="Y332">
        <f t="shared" ca="1" si="79"/>
        <v>0.72384534577652504</v>
      </c>
      <c r="Z332">
        <f t="shared" ca="1" si="79"/>
        <v>0.94152648919597048</v>
      </c>
      <c r="AB332">
        <v>327</v>
      </c>
      <c r="AC332" s="24">
        <f t="shared" ca="1" si="72"/>
        <v>0.71316572094199993</v>
      </c>
      <c r="AD332" s="24">
        <f t="shared" ca="1" si="73"/>
        <v>0.977247566014248</v>
      </c>
      <c r="AE332" s="24">
        <f t="shared" ca="1" si="74"/>
        <v>1.2597593576974879</v>
      </c>
      <c r="AF332" s="24"/>
      <c r="AG332">
        <v>327</v>
      </c>
      <c r="AH332">
        <f t="shared" ca="1" si="80"/>
        <v>313.21719587003406</v>
      </c>
      <c r="AI332">
        <f t="shared" ca="1" si="81"/>
        <v>167.63262743275479</v>
      </c>
      <c r="AJ332">
        <f t="shared" ca="1" si="82"/>
        <v>54.229165618183828</v>
      </c>
      <c r="AL332">
        <v>327</v>
      </c>
      <c r="AM332" s="4">
        <f t="shared" ca="1" si="75"/>
        <v>1.2206545368494304E-2</v>
      </c>
      <c r="AN332" s="4">
        <f t="shared" ca="1" si="76"/>
        <v>2.0532284419256142E-2</v>
      </c>
      <c r="AO332" s="4">
        <f t="shared" ca="1" si="77"/>
        <v>2.2612990128055399E-2</v>
      </c>
      <c r="AP332" s="4">
        <f t="shared" ca="1" si="78"/>
        <v>1.865877441666737E-2</v>
      </c>
    </row>
    <row r="333" spans="20:42" x14ac:dyDescent="0.3">
      <c r="T333">
        <v>327</v>
      </c>
      <c r="U333" s="4">
        <v>-7.4312169483554125E-3</v>
      </c>
      <c r="V333" s="4"/>
      <c r="W333">
        <v>328</v>
      </c>
      <c r="X333">
        <f t="shared" ca="1" si="79"/>
        <v>-3.7189658603853218E-2</v>
      </c>
      <c r="Y333">
        <f t="shared" ca="1" si="79"/>
        <v>-0.67968969885359554</v>
      </c>
      <c r="Z333">
        <f t="shared" ca="1" si="79"/>
        <v>-0.33615288423149486</v>
      </c>
      <c r="AB333">
        <v>328</v>
      </c>
      <c r="AC333" s="24">
        <f t="shared" ca="1" si="72"/>
        <v>-3.7189658603853218E-2</v>
      </c>
      <c r="AD333" s="24">
        <f t="shared" ca="1" si="73"/>
        <v>-0.3672716612166369</v>
      </c>
      <c r="AE333" s="24">
        <f t="shared" ca="1" si="74"/>
        <v>-0.3885840358354189</v>
      </c>
      <c r="AF333" s="24"/>
      <c r="AG333">
        <v>328</v>
      </c>
      <c r="AH333">
        <f t="shared" ca="1" si="80"/>
        <v>309.24610160085348</v>
      </c>
      <c r="AI333">
        <f t="shared" ca="1" si="81"/>
        <v>163.01142012794946</v>
      </c>
      <c r="AJ333">
        <f t="shared" ca="1" si="82"/>
        <v>52.66577337175044</v>
      </c>
      <c r="AL333">
        <v>328</v>
      </c>
      <c r="AM333" s="4">
        <f t="shared" ca="1" si="75"/>
        <v>-6.2661853355328034E-4</v>
      </c>
      <c r="AN333" s="4">
        <f t="shared" ca="1" si="76"/>
        <v>-7.6012079668831278E-3</v>
      </c>
      <c r="AO333" s="4">
        <f t="shared" ca="1" si="77"/>
        <v>-6.868289947774886E-3</v>
      </c>
      <c r="AP333" s="4">
        <f t="shared" ca="1" si="78"/>
        <v>-5.2889557311517014E-3</v>
      </c>
    </row>
    <row r="334" spans="20:42" x14ac:dyDescent="0.3">
      <c r="T334">
        <v>328</v>
      </c>
      <c r="U334" s="4">
        <v>-7.416150294598212E-3</v>
      </c>
      <c r="V334" s="4"/>
      <c r="W334">
        <v>329</v>
      </c>
      <c r="X334">
        <f t="shared" ca="1" si="79"/>
        <v>0.71377842391171298</v>
      </c>
      <c r="Y334">
        <f t="shared" ca="1" si="79"/>
        <v>-0.75061075975278568</v>
      </c>
      <c r="Z334">
        <f t="shared" ca="1" si="79"/>
        <v>-0.32828170687184444</v>
      </c>
      <c r="AB334">
        <v>329</v>
      </c>
      <c r="AC334" s="24">
        <f t="shared" ca="1" si="72"/>
        <v>0.71377842391171298</v>
      </c>
      <c r="AD334" s="24">
        <f t="shared" ca="1" si="73"/>
        <v>0.25125769724712893</v>
      </c>
      <c r="AE334" s="24">
        <f t="shared" ca="1" si="74"/>
        <v>0.20879351019288958</v>
      </c>
      <c r="AF334" s="24"/>
      <c r="AG334">
        <v>329</v>
      </c>
      <c r="AH334">
        <f t="shared" ca="1" si="80"/>
        <v>313.22045921646253</v>
      </c>
      <c r="AI334">
        <f t="shared" ca="1" si="81"/>
        <v>165.12131050494406</v>
      </c>
      <c r="AJ334">
        <f t="shared" ca="1" si="82"/>
        <v>53.22708700883458</v>
      </c>
      <c r="AL334">
        <v>329</v>
      </c>
      <c r="AM334" s="4">
        <f t="shared" ca="1" si="75"/>
        <v>1.2217091343167175E-2</v>
      </c>
      <c r="AN334" s="4">
        <f t="shared" ca="1" si="76"/>
        <v>5.2436139468714504E-3</v>
      </c>
      <c r="AO334" s="4">
        <f t="shared" ca="1" si="77"/>
        <v>3.7165422227904976E-3</v>
      </c>
      <c r="AP334" s="4">
        <f t="shared" ca="1" si="78"/>
        <v>6.8775356485358818E-3</v>
      </c>
    </row>
    <row r="335" spans="20:42" x14ac:dyDescent="0.3">
      <c r="T335">
        <v>329</v>
      </c>
      <c r="U335" s="4">
        <v>-7.3377653622193843E-3</v>
      </c>
      <c r="V335" s="4"/>
      <c r="W335">
        <v>330</v>
      </c>
      <c r="X335">
        <f t="shared" ca="1" si="79"/>
        <v>-0.49003557396138842</v>
      </c>
      <c r="Y335">
        <f t="shared" ca="1" si="79"/>
        <v>0.26183517745911067</v>
      </c>
      <c r="Z335">
        <f t="shared" ca="1" si="79"/>
        <v>-1.2060312864566449</v>
      </c>
      <c r="AB335">
        <v>330</v>
      </c>
      <c r="AC335" s="24">
        <f t="shared" ca="1" si="72"/>
        <v>-0.49003557396138842</v>
      </c>
      <c r="AD335" s="24">
        <f t="shared" ca="1" si="73"/>
        <v>-0.29740099080272964</v>
      </c>
      <c r="AE335" s="24">
        <f t="shared" ca="1" si="74"/>
        <v>-0.93978105187597349</v>
      </c>
      <c r="AF335" s="24"/>
      <c r="AG335">
        <v>330</v>
      </c>
      <c r="AH335">
        <f t="shared" ca="1" si="80"/>
        <v>306.87391435779875</v>
      </c>
      <c r="AI335">
        <f t="shared" ca="1" si="81"/>
        <v>163.24840162271079</v>
      </c>
      <c r="AJ335">
        <f t="shared" ca="1" si="82"/>
        <v>52.153104454021708</v>
      </c>
      <c r="AL335">
        <v>330</v>
      </c>
      <c r="AM335" s="4">
        <f t="shared" ca="1" si="75"/>
        <v>-8.2926837621557503E-3</v>
      </c>
      <c r="AN335" s="4">
        <f t="shared" ca="1" si="76"/>
        <v>-6.1584860462303714E-3</v>
      </c>
      <c r="AO335" s="4">
        <f t="shared" ca="1" si="77"/>
        <v>-1.653581643334745E-2</v>
      </c>
      <c r="AP335" s="4">
        <f t="shared" ca="1" si="78"/>
        <v>-9.9119444771431087E-3</v>
      </c>
    </row>
    <row r="336" spans="20:42" x14ac:dyDescent="0.3">
      <c r="T336">
        <v>330</v>
      </c>
      <c r="U336" s="4">
        <v>-7.262442817395365E-3</v>
      </c>
      <c r="V336" s="4"/>
      <c r="W336">
        <v>331</v>
      </c>
      <c r="X336">
        <f t="shared" ca="1" si="79"/>
        <v>0.39443307366600977</v>
      </c>
      <c r="Y336">
        <f t="shared" ca="1" si="79"/>
        <v>0.54552146088702091</v>
      </c>
      <c r="Z336">
        <f t="shared" ca="1" si="79"/>
        <v>-0.52712846667673929</v>
      </c>
      <c r="AB336">
        <v>331</v>
      </c>
      <c r="AC336" s="24">
        <f t="shared" ca="1" si="72"/>
        <v>0.39443307366600977</v>
      </c>
      <c r="AD336" s="24">
        <f t="shared" ca="1" si="73"/>
        <v>0.61202656713916381</v>
      </c>
      <c r="AE336" s="24">
        <f t="shared" ca="1" si="74"/>
        <v>0.205010355260833</v>
      </c>
      <c r="AF336" s="24"/>
      <c r="AG336">
        <v>331</v>
      </c>
      <c r="AH336">
        <f t="shared" ca="1" si="80"/>
        <v>311.52417974113507</v>
      </c>
      <c r="AI336">
        <f t="shared" ca="1" si="81"/>
        <v>166.36453056333471</v>
      </c>
      <c r="AJ336">
        <f t="shared" ca="1" si="82"/>
        <v>53.223513487905905</v>
      </c>
      <c r="AL336">
        <v>331</v>
      </c>
      <c r="AM336" s="4">
        <f t="shared" ca="1" si="75"/>
        <v>6.7353195556016932E-3</v>
      </c>
      <c r="AN336" s="4">
        <f t="shared" ca="1" si="76"/>
        <v>1.28122252945293E-2</v>
      </c>
      <c r="AO336" s="4">
        <f t="shared" ca="1" si="77"/>
        <v>3.6491554415170047E-3</v>
      </c>
      <c r="AP336" s="4">
        <f t="shared" ca="1" si="78"/>
        <v>8.2402326169473301E-3</v>
      </c>
    </row>
    <row r="337" spans="20:42" x14ac:dyDescent="0.3">
      <c r="T337">
        <v>331</v>
      </c>
      <c r="U337" s="4">
        <v>-7.2319808240550515E-3</v>
      </c>
      <c r="V337" s="4"/>
      <c r="W337">
        <v>332</v>
      </c>
      <c r="X337">
        <f t="shared" ca="1" si="79"/>
        <v>-1.6554590705793563E-2</v>
      </c>
      <c r="Y337">
        <f t="shared" ca="1" si="79"/>
        <v>-0.73597249819724864</v>
      </c>
      <c r="Z337">
        <f t="shared" ca="1" si="79"/>
        <v>0.17117081004344503</v>
      </c>
      <c r="AB337">
        <v>332</v>
      </c>
      <c r="AC337" s="24">
        <f t="shared" ca="1" si="72"/>
        <v>-1.6554590705793563E-2</v>
      </c>
      <c r="AD337" s="24">
        <f t="shared" ca="1" si="73"/>
        <v>-0.37704827301749405</v>
      </c>
      <c r="AE337" s="24">
        <f t="shared" ca="1" si="74"/>
        <v>-0.12980317840955918</v>
      </c>
      <c r="AF337" s="24"/>
      <c r="AG337">
        <v>332</v>
      </c>
      <c r="AH337">
        <f t="shared" ca="1" si="80"/>
        <v>309.35463206686899</v>
      </c>
      <c r="AI337">
        <f t="shared" ca="1" si="81"/>
        <v>162.97828808126312</v>
      </c>
      <c r="AJ337">
        <f t="shared" ca="1" si="82"/>
        <v>52.908201128452347</v>
      </c>
      <c r="AL337">
        <v>332</v>
      </c>
      <c r="AM337" s="4">
        <f t="shared" ca="1" si="75"/>
        <v>-2.7588667872113781E-4</v>
      </c>
      <c r="AN337" s="4">
        <f t="shared" ca="1" si="76"/>
        <v>-7.8029128724861341E-3</v>
      </c>
      <c r="AO337" s="4">
        <f t="shared" ca="1" si="77"/>
        <v>-2.2967688789010676E-3</v>
      </c>
      <c r="AP337" s="4">
        <f t="shared" ca="1" si="78"/>
        <v>-3.8929618162811155E-3</v>
      </c>
    </row>
    <row r="338" spans="20:42" x14ac:dyDescent="0.3">
      <c r="T338">
        <v>332</v>
      </c>
      <c r="U338" s="4">
        <v>-7.2179822020981286E-3</v>
      </c>
      <c r="V338" s="4"/>
      <c r="W338">
        <v>333</v>
      </c>
      <c r="X338">
        <f t="shared" ca="1" si="79"/>
        <v>-0.3754760132840963</v>
      </c>
      <c r="Y338">
        <f t="shared" ca="1" si="79"/>
        <v>0.32912046754875734</v>
      </c>
      <c r="Z338">
        <f t="shared" ca="1" si="79"/>
        <v>-0.75270788338125372</v>
      </c>
      <c r="AB338">
        <v>333</v>
      </c>
      <c r="AC338" s="24">
        <f t="shared" ca="1" si="72"/>
        <v>-0.3754760132840963</v>
      </c>
      <c r="AD338" s="24">
        <f t="shared" ca="1" si="73"/>
        <v>-0.16455979023086781</v>
      </c>
      <c r="AE338" s="24">
        <f t="shared" ca="1" si="74"/>
        <v>-0.59763193263939152</v>
      </c>
      <c r="AF338" s="24"/>
      <c r="AG338">
        <v>333</v>
      </c>
      <c r="AH338">
        <f t="shared" ca="1" si="80"/>
        <v>307.47229801881781</v>
      </c>
      <c r="AI338">
        <f t="shared" ca="1" si="81"/>
        <v>163.69991188239374</v>
      </c>
      <c r="AJ338">
        <f t="shared" ca="1" si="82"/>
        <v>52.470747157069738</v>
      </c>
      <c r="AL338">
        <v>333</v>
      </c>
      <c r="AM338" s="4">
        <f t="shared" ca="1" si="75"/>
        <v>-6.3589206536437404E-3</v>
      </c>
      <c r="AN338" s="4">
        <f t="shared" ca="1" si="76"/>
        <v>-3.4097323948100167E-3</v>
      </c>
      <c r="AO338" s="4">
        <f t="shared" ca="1" si="77"/>
        <v>-1.0545948238742775E-2</v>
      </c>
      <c r="AP338" s="4">
        <f t="shared" ca="1" si="78"/>
        <v>-6.4353536256399613E-3</v>
      </c>
    </row>
    <row r="339" spans="20:42" x14ac:dyDescent="0.3">
      <c r="T339">
        <v>333</v>
      </c>
      <c r="U339" s="4">
        <v>-7.2170707363251926E-3</v>
      </c>
      <c r="V339" s="4"/>
      <c r="W339">
        <v>334</v>
      </c>
      <c r="X339">
        <f t="shared" ca="1" si="79"/>
        <v>0.34041144678775398</v>
      </c>
      <c r="Y339">
        <f t="shared" ca="1" si="79"/>
        <v>1.4663609374461222</v>
      </c>
      <c r="Z339">
        <f t="shared" ca="1" si="79"/>
        <v>-0.17644348919860015</v>
      </c>
      <c r="AB339">
        <v>334</v>
      </c>
      <c r="AC339" s="24">
        <f t="shared" ca="1" si="72"/>
        <v>0.34041144678775398</v>
      </c>
      <c r="AD339" s="24">
        <f t="shared" ca="1" si="73"/>
        <v>1.0187523508490695</v>
      </c>
      <c r="AE339" s="24">
        <f t="shared" ca="1" si="74"/>
        <v>0.59308913186499623</v>
      </c>
      <c r="AF339" s="24"/>
      <c r="AG339">
        <v>334</v>
      </c>
      <c r="AH339">
        <f t="shared" ca="1" si="80"/>
        <v>311.2381407116028</v>
      </c>
      <c r="AI339">
        <f t="shared" ca="1" si="81"/>
        <v>167.77734795480598</v>
      </c>
      <c r="AJ339">
        <f t="shared" ca="1" si="82"/>
        <v>53.591340750478111</v>
      </c>
      <c r="AL339">
        <v>334</v>
      </c>
      <c r="AM339" s="4">
        <f t="shared" ca="1" si="75"/>
        <v>5.8109431747992435E-3</v>
      </c>
      <c r="AN339" s="4">
        <f t="shared" ca="1" si="76"/>
        <v>2.1413329877011611E-2</v>
      </c>
      <c r="AO339" s="4">
        <f t="shared" ca="1" si="77"/>
        <v>1.0585366473748969E-2</v>
      </c>
      <c r="AP339" s="4">
        <f t="shared" ca="1" si="78"/>
        <v>1.3484224845369108E-2</v>
      </c>
    </row>
    <row r="340" spans="20:42" x14ac:dyDescent="0.3">
      <c r="T340">
        <v>334</v>
      </c>
      <c r="U340" s="4">
        <v>-7.1876842761268486E-3</v>
      </c>
      <c r="V340" s="4"/>
      <c r="W340">
        <v>335</v>
      </c>
      <c r="X340">
        <f t="shared" ca="1" si="79"/>
        <v>0.29445221666474658</v>
      </c>
      <c r="Y340">
        <f t="shared" ca="1" si="79"/>
        <v>0.35146946183895222</v>
      </c>
      <c r="Z340">
        <f t="shared" ca="1" si="79"/>
        <v>-1.2212458232935079</v>
      </c>
      <c r="AB340">
        <v>335</v>
      </c>
      <c r="AC340" s="24">
        <f t="shared" ca="1" si="72"/>
        <v>0.29445221666474658</v>
      </c>
      <c r="AD340" s="24">
        <f t="shared" ca="1" si="73"/>
        <v>0.42940842829594883</v>
      </c>
      <c r="AE340" s="24">
        <f t="shared" ca="1" si="74"/>
        <v>-0.282439418152507</v>
      </c>
      <c r="AF340" s="24"/>
      <c r="AG340">
        <v>335</v>
      </c>
      <c r="AH340">
        <f t="shared" ca="1" si="80"/>
        <v>310.99499803166594</v>
      </c>
      <c r="AI340">
        <f t="shared" ca="1" si="81"/>
        <v>165.73405766026488</v>
      </c>
      <c r="AJ340">
        <f t="shared" ca="1" si="82"/>
        <v>52.765075747761109</v>
      </c>
      <c r="AL340">
        <v>335</v>
      </c>
      <c r="AM340" s="4">
        <f t="shared" ca="1" si="75"/>
        <v>5.0251925348738791E-3</v>
      </c>
      <c r="AN340" s="4">
        <f t="shared" ca="1" si="76"/>
        <v>8.9739632456187213E-3</v>
      </c>
      <c r="AO340" s="4">
        <f t="shared" ca="1" si="77"/>
        <v>-4.9957201137842411E-3</v>
      </c>
      <c r="AP340" s="4">
        <f t="shared" ca="1" si="78"/>
        <v>3.5984270245743794E-3</v>
      </c>
    </row>
    <row r="341" spans="20:42" x14ac:dyDescent="0.3">
      <c r="T341">
        <v>335</v>
      </c>
      <c r="U341" s="4">
        <v>-7.1722896877727147E-3</v>
      </c>
      <c r="V341" s="4"/>
      <c r="W341">
        <v>336</v>
      </c>
      <c r="X341">
        <f t="shared" ca="1" si="79"/>
        <v>-0.60961778225808405</v>
      </c>
      <c r="Y341">
        <f t="shared" ca="1" si="79"/>
        <v>0.62751075351503738</v>
      </c>
      <c r="Z341">
        <f t="shared" ca="1" si="79"/>
        <v>1.5294969477950373</v>
      </c>
      <c r="AB341">
        <v>336</v>
      </c>
      <c r="AC341" s="24">
        <f t="shared" ca="1" si="72"/>
        <v>-0.60961778225808405</v>
      </c>
      <c r="AD341" s="24">
        <f t="shared" ca="1" si="73"/>
        <v>-0.22127578429262701</v>
      </c>
      <c r="AE341" s="24">
        <f t="shared" ca="1" si="74"/>
        <v>0.45187921361122996</v>
      </c>
      <c r="AF341" s="24"/>
      <c r="AG341">
        <v>336</v>
      </c>
      <c r="AH341">
        <f t="shared" ca="1" si="80"/>
        <v>306.2505379018354</v>
      </c>
      <c r="AI341">
        <f t="shared" ca="1" si="81"/>
        <v>163.50698890388776</v>
      </c>
      <c r="AJ341">
        <f t="shared" ca="1" si="82"/>
        <v>53.457206452982398</v>
      </c>
      <c r="AL341">
        <v>336</v>
      </c>
      <c r="AM341" s="4">
        <f t="shared" ca="1" si="75"/>
        <v>-1.0307214692368505E-2</v>
      </c>
      <c r="AN341" s="4">
        <f t="shared" ca="1" si="76"/>
        <v>-4.5842300507072942E-3</v>
      </c>
      <c r="AO341" s="4">
        <f t="shared" ca="1" si="77"/>
        <v>8.0559623518676737E-3</v>
      </c>
      <c r="AP341" s="4">
        <f t="shared" ca="1" si="78"/>
        <v>-2.5090677224331669E-3</v>
      </c>
    </row>
    <row r="342" spans="20:42" x14ac:dyDescent="0.3">
      <c r="T342">
        <v>336</v>
      </c>
      <c r="U342" s="4">
        <v>-7.0886258360754574E-3</v>
      </c>
      <c r="V342" s="4"/>
      <c r="W342">
        <v>337</v>
      </c>
      <c r="X342">
        <f t="shared" ca="1" si="79"/>
        <v>0.78124633047471381</v>
      </c>
      <c r="Y342">
        <f t="shared" ca="1" si="79"/>
        <v>-1.5373731915674202</v>
      </c>
      <c r="Z342">
        <f t="shared" ca="1" si="79"/>
        <v>8.7202135725836863E-2</v>
      </c>
      <c r="AB342">
        <v>337</v>
      </c>
      <c r="AC342" s="24">
        <f t="shared" ca="1" si="72"/>
        <v>0.78124633047471381</v>
      </c>
      <c r="AD342" s="24">
        <f t="shared" ca="1" si="73"/>
        <v>-7.7702366222834107E-2</v>
      </c>
      <c r="AE342" s="24">
        <f t="shared" ca="1" si="74"/>
        <v>0.25754401192735571</v>
      </c>
      <c r="AF342" s="24"/>
      <c r="AG342">
        <v>337</v>
      </c>
      <c r="AH342">
        <f t="shared" ca="1" si="80"/>
        <v>313.58001132528022</v>
      </c>
      <c r="AI342">
        <f t="shared" ca="1" si="81"/>
        <v>163.99580413682071</v>
      </c>
      <c r="AJ342">
        <f t="shared" ca="1" si="82"/>
        <v>53.273157596810165</v>
      </c>
      <c r="AL342">
        <v>337</v>
      </c>
      <c r="AM342" s="4">
        <f t="shared" ca="1" si="75"/>
        <v>1.3379035842846942E-2</v>
      </c>
      <c r="AN342" s="4">
        <f t="shared" ca="1" si="76"/>
        <v>-1.6083670939323058E-3</v>
      </c>
      <c r="AO342" s="4">
        <f t="shared" ca="1" si="77"/>
        <v>4.5853068661261265E-3</v>
      </c>
      <c r="AP342" s="4">
        <f t="shared" ca="1" si="78"/>
        <v>4.7459559751189973E-3</v>
      </c>
    </row>
    <row r="343" spans="20:42" x14ac:dyDescent="0.3">
      <c r="T343">
        <v>337</v>
      </c>
      <c r="U343" s="4">
        <v>-7.0809227798235841E-3</v>
      </c>
      <c r="V343" s="4"/>
      <c r="W343">
        <v>338</v>
      </c>
      <c r="X343">
        <f t="shared" ca="1" si="79"/>
        <v>-0.35150111066563738</v>
      </c>
      <c r="Y343">
        <f t="shared" ca="1" si="79"/>
        <v>0.38370278714857808</v>
      </c>
      <c r="Z343">
        <f t="shared" ca="1" si="79"/>
        <v>0.19130260575665772</v>
      </c>
      <c r="AB343">
        <v>338</v>
      </c>
      <c r="AC343" s="24">
        <f t="shared" ca="1" si="72"/>
        <v>-0.35150111066563738</v>
      </c>
      <c r="AD343" s="24">
        <f t="shared" ca="1" si="73"/>
        <v>-0.11680251228794472</v>
      </c>
      <c r="AE343" s="24">
        <f t="shared" ca="1" si="74"/>
        <v>-8.3895756028873114E-2</v>
      </c>
      <c r="AF343" s="24"/>
      <c r="AG343">
        <v>338</v>
      </c>
      <c r="AH343">
        <f t="shared" ca="1" si="80"/>
        <v>307.59767468300896</v>
      </c>
      <c r="AI343">
        <f t="shared" ca="1" si="81"/>
        <v>163.86253775711043</v>
      </c>
      <c r="AJ343">
        <f t="shared" ca="1" si="82"/>
        <v>52.951323924538123</v>
      </c>
      <c r="AL343">
        <v>338</v>
      </c>
      <c r="AM343" s="4">
        <f t="shared" ca="1" si="75"/>
        <v>-5.9537478795939069E-3</v>
      </c>
      <c r="AN343" s="4">
        <f t="shared" ca="1" si="76"/>
        <v>-2.4196807683932731E-3</v>
      </c>
      <c r="AO343" s="4">
        <f t="shared" ca="1" si="77"/>
        <v>-1.4835914872656231E-3</v>
      </c>
      <c r="AP343" s="4">
        <f t="shared" ca="1" si="78"/>
        <v>-3.199074117415168E-3</v>
      </c>
    </row>
    <row r="344" spans="20:42" x14ac:dyDescent="0.3">
      <c r="T344">
        <v>338</v>
      </c>
      <c r="U344" s="4">
        <v>-7.0017953310395065E-3</v>
      </c>
      <c r="V344" s="4"/>
      <c r="W344">
        <v>339</v>
      </c>
      <c r="X344">
        <f t="shared" ca="1" si="79"/>
        <v>1.0212950813091166</v>
      </c>
      <c r="Y344">
        <f t="shared" ca="1" si="79"/>
        <v>1.2575175462511985</v>
      </c>
      <c r="Z344">
        <f t="shared" ca="1" si="79"/>
        <v>-0.70192893923980071</v>
      </c>
      <c r="AB344">
        <v>339</v>
      </c>
      <c r="AC344" s="24">
        <f t="shared" ca="1" si="72"/>
        <v>1.0212950813091166</v>
      </c>
      <c r="AD344" s="24">
        <f t="shared" ca="1" si="73"/>
        <v>1.50833604603153</v>
      </c>
      <c r="AE344" s="24">
        <f t="shared" ca="1" si="74"/>
        <v>0.82450212290044567</v>
      </c>
      <c r="AF344" s="24"/>
      <c r="AG344">
        <v>339</v>
      </c>
      <c r="AH344">
        <f t="shared" ca="1" si="80"/>
        <v>314.86263672669651</v>
      </c>
      <c r="AI344">
        <f t="shared" ca="1" si="81"/>
        <v>169.49390614109183</v>
      </c>
      <c r="AJ344">
        <f t="shared" ca="1" si="82"/>
        <v>53.811886424331753</v>
      </c>
      <c r="AL344">
        <v>339</v>
      </c>
      <c r="AM344" s="4">
        <f t="shared" ca="1" si="75"/>
        <v>1.7524024827130447E-2</v>
      </c>
      <c r="AN344" s="4">
        <f t="shared" ca="1" si="76"/>
        <v>3.1863580964865079E-2</v>
      </c>
      <c r="AO344" s="4">
        <f t="shared" ca="1" si="77"/>
        <v>1.4744251612923032E-2</v>
      </c>
      <c r="AP344" s="4">
        <f t="shared" ca="1" si="78"/>
        <v>2.2425915317962074E-2</v>
      </c>
    </row>
    <row r="345" spans="20:42" x14ac:dyDescent="0.3">
      <c r="T345">
        <v>339</v>
      </c>
      <c r="U345" s="4">
        <v>-6.9913294373908468E-3</v>
      </c>
      <c r="V345" s="4"/>
      <c r="W345">
        <v>340</v>
      </c>
      <c r="X345">
        <f t="shared" ca="1" si="79"/>
        <v>-0.49385581580237248</v>
      </c>
      <c r="Y345">
        <f t="shared" ca="1" si="79"/>
        <v>1.1977799398135034</v>
      </c>
      <c r="Z345">
        <f t="shared" ca="1" si="79"/>
        <v>0.52124943990468364</v>
      </c>
      <c r="AB345">
        <v>340</v>
      </c>
      <c r="AC345" s="24">
        <f t="shared" ca="1" si="72"/>
        <v>-0.49385581580237248</v>
      </c>
      <c r="AD345" s="24">
        <f t="shared" ca="1" si="73"/>
        <v>0.16045184559112513</v>
      </c>
      <c r="AE345" s="24">
        <f t="shared" ca="1" si="74"/>
        <v>0.1920868823916273</v>
      </c>
      <c r="AF345" s="24"/>
      <c r="AG345">
        <v>340</v>
      </c>
      <c r="AH345">
        <f t="shared" ca="1" si="80"/>
        <v>306.85398000873715</v>
      </c>
      <c r="AI345">
        <f t="shared" ca="1" si="81"/>
        <v>164.80985711883662</v>
      </c>
      <c r="AJ345">
        <f t="shared" ca="1" si="82"/>
        <v>53.211307946272314</v>
      </c>
      <c r="AL345">
        <v>340</v>
      </c>
      <c r="AM345" s="4">
        <f t="shared" ca="1" si="75"/>
        <v>-8.3571044863811617E-3</v>
      </c>
      <c r="AN345" s="4">
        <f t="shared" ca="1" si="76"/>
        <v>3.347513882808073E-3</v>
      </c>
      <c r="AO345" s="4">
        <f t="shared" ca="1" si="77"/>
        <v>3.4189924787684234E-3</v>
      </c>
      <c r="AP345" s="4">
        <f t="shared" ca="1" si="78"/>
        <v>-1.4242804916059205E-4</v>
      </c>
    </row>
    <row r="346" spans="20:42" x14ac:dyDescent="0.3">
      <c r="T346">
        <v>340</v>
      </c>
      <c r="U346" s="4">
        <v>-6.8429410390956624E-3</v>
      </c>
      <c r="V346" s="4"/>
      <c r="W346">
        <v>341</v>
      </c>
      <c r="X346">
        <f t="shared" ca="1" si="79"/>
        <v>1.2859688761064338</v>
      </c>
      <c r="Y346">
        <f t="shared" ca="1" si="79"/>
        <v>0.674403137870076</v>
      </c>
      <c r="Z346">
        <f t="shared" ca="1" si="79"/>
        <v>0.74088085318854191</v>
      </c>
      <c r="AB346">
        <v>341</v>
      </c>
      <c r="AC346" s="24">
        <f t="shared" ca="1" si="72"/>
        <v>1.2859688761064338</v>
      </c>
      <c r="AD346" s="24">
        <f t="shared" ca="1" si="73"/>
        <v>1.4513254268766873</v>
      </c>
      <c r="AE346" s="24">
        <f t="shared" ca="1" si="74"/>
        <v>1.6118175548890619</v>
      </c>
      <c r="AF346" s="24"/>
      <c r="AG346">
        <v>341</v>
      </c>
      <c r="AH346">
        <f t="shared" ca="1" si="80"/>
        <v>316.28292035113907</v>
      </c>
      <c r="AI346">
        <f t="shared" ca="1" si="81"/>
        <v>169.2931178051295</v>
      </c>
      <c r="AJ346">
        <f t="shared" ca="1" si="82"/>
        <v>54.569048193589786</v>
      </c>
      <c r="AL346">
        <v>341</v>
      </c>
      <c r="AM346" s="4">
        <f t="shared" ca="1" si="75"/>
        <v>2.2113876214271189E-2</v>
      </c>
      <c r="AN346" s="4">
        <f t="shared" ca="1" si="76"/>
        <v>3.0641199723679957E-2</v>
      </c>
      <c r="AO346" s="4">
        <f t="shared" ca="1" si="77"/>
        <v>2.9022241178965347E-2</v>
      </c>
      <c r="AP346" s="4">
        <f t="shared" ca="1" si="78"/>
        <v>2.7597315107442944E-2</v>
      </c>
    </row>
    <row r="347" spans="20:42" x14ac:dyDescent="0.3">
      <c r="T347">
        <v>341</v>
      </c>
      <c r="U347" s="4">
        <v>-6.5753931587066335E-3</v>
      </c>
      <c r="V347" s="4"/>
      <c r="W347">
        <v>342</v>
      </c>
      <c r="X347">
        <f t="shared" ca="1" si="79"/>
        <v>0.55532978648789089</v>
      </c>
      <c r="Y347">
        <f t="shared" ca="1" si="79"/>
        <v>0.73198075181270517</v>
      </c>
      <c r="Z347">
        <f t="shared" ca="1" si="79"/>
        <v>5.0385087934088586E-2</v>
      </c>
      <c r="AB347">
        <v>342</v>
      </c>
      <c r="AC347" s="24">
        <f t="shared" ca="1" si="72"/>
        <v>0.55532978648789089</v>
      </c>
      <c r="AD347" s="24">
        <f t="shared" ca="1" si="73"/>
        <v>0.84391103998355677</v>
      </c>
      <c r="AE347" s="24">
        <f t="shared" ca="1" si="74"/>
        <v>0.68090710851558223</v>
      </c>
      <c r="AF347" s="24"/>
      <c r="AG347">
        <v>342</v>
      </c>
      <c r="AH347">
        <f t="shared" ca="1" si="80"/>
        <v>312.37766989031201</v>
      </c>
      <c r="AI347">
        <f t="shared" ca="1" si="81"/>
        <v>167.16854851651826</v>
      </c>
      <c r="AJ347">
        <f t="shared" ca="1" si="82"/>
        <v>53.674928108818328</v>
      </c>
      <c r="AL347">
        <v>342</v>
      </c>
      <c r="AM347" s="4">
        <f t="shared" ca="1" si="75"/>
        <v>9.493496075906549E-3</v>
      </c>
      <c r="AN347" s="4">
        <f t="shared" ca="1" si="76"/>
        <v>1.7707013922749315E-2</v>
      </c>
      <c r="AO347" s="4">
        <f t="shared" ca="1" si="77"/>
        <v>1.2161594274320731E-2</v>
      </c>
      <c r="AP347" s="4">
        <f t="shared" ca="1" si="78"/>
        <v>1.357933267416791E-2</v>
      </c>
    </row>
    <row r="348" spans="20:42" x14ac:dyDescent="0.3">
      <c r="T348">
        <v>342</v>
      </c>
      <c r="U348" s="4">
        <v>-6.4100582100086404E-3</v>
      </c>
      <c r="V348" s="4"/>
      <c r="W348">
        <v>343</v>
      </c>
      <c r="X348">
        <f t="shared" ca="1" si="79"/>
        <v>-9.9109224504663584E-2</v>
      </c>
      <c r="Y348">
        <f t="shared" ca="1" si="79"/>
        <v>0.73594636843445582</v>
      </c>
      <c r="Z348">
        <f t="shared" ca="1" si="79"/>
        <v>0.94979645963779624</v>
      </c>
      <c r="AB348">
        <v>343</v>
      </c>
      <c r="AC348" s="24">
        <f t="shared" ca="1" si="72"/>
        <v>-9.9109224504663584E-2</v>
      </c>
      <c r="AD348" s="24">
        <f t="shared" ca="1" si="73"/>
        <v>0.27638743289733897</v>
      </c>
      <c r="AE348" s="24">
        <f t="shared" ca="1" si="74"/>
        <v>0.60429631372505377</v>
      </c>
      <c r="AF348" s="24"/>
      <c r="AG348">
        <v>343</v>
      </c>
      <c r="AH348">
        <f t="shared" ca="1" si="80"/>
        <v>308.9206631574263</v>
      </c>
      <c r="AI348">
        <f t="shared" ca="1" si="81"/>
        <v>165.20760647392075</v>
      </c>
      <c r="AJ348">
        <f t="shared" ca="1" si="82"/>
        <v>53.602000777714146</v>
      </c>
      <c r="AL348">
        <v>343</v>
      </c>
      <c r="AM348" s="4">
        <f t="shared" ca="1" si="75"/>
        <v>-1.6783198031354862E-3</v>
      </c>
      <c r="AN348" s="4">
        <f t="shared" ca="1" si="76"/>
        <v>5.7689760061834239E-3</v>
      </c>
      <c r="AO348" s="4">
        <f t="shared" ca="1" si="77"/>
        <v>1.078638528350595E-2</v>
      </c>
      <c r="AP348" s="4">
        <f t="shared" ca="1" si="78"/>
        <v>5.040010046584509E-3</v>
      </c>
    </row>
    <row r="349" spans="20:42" x14ac:dyDescent="0.3">
      <c r="T349">
        <v>343</v>
      </c>
      <c r="U349" s="4">
        <v>-6.4005177868582171E-3</v>
      </c>
      <c r="V349" s="4"/>
      <c r="W349">
        <v>344</v>
      </c>
      <c r="X349">
        <f t="shared" ca="1" si="79"/>
        <v>0.6578806436866721</v>
      </c>
      <c r="Y349">
        <f t="shared" ca="1" si="79"/>
        <v>0.71750458064013944</v>
      </c>
      <c r="Z349">
        <f t="shared" ca="1" si="79"/>
        <v>-1.7984373091549388</v>
      </c>
      <c r="AB349">
        <v>344</v>
      </c>
      <c r="AC349" s="24">
        <f t="shared" ca="1" si="72"/>
        <v>0.6578806436866721</v>
      </c>
      <c r="AD349" s="24">
        <f t="shared" ca="1" si="73"/>
        <v>0.92601542956321881</v>
      </c>
      <c r="AE349" s="24">
        <f t="shared" ca="1" si="74"/>
        <v>-0.17769024319946602</v>
      </c>
      <c r="AF349" s="24"/>
      <c r="AG349">
        <v>344</v>
      </c>
      <c r="AH349">
        <f t="shared" ca="1" si="80"/>
        <v>312.92287928943716</v>
      </c>
      <c r="AI349">
        <f t="shared" ca="1" si="81"/>
        <v>167.45416133104615</v>
      </c>
      <c r="AJ349">
        <f t="shared" ca="1" si="82"/>
        <v>52.86325619237968</v>
      </c>
      <c r="AL349">
        <v>344</v>
      </c>
      <c r="AM349" s="4">
        <f t="shared" ca="1" si="75"/>
        <v>1.1255418887513136E-2</v>
      </c>
      <c r="AN349" s="4">
        <f t="shared" ca="1" si="76"/>
        <v>1.9445798922623547E-2</v>
      </c>
      <c r="AO349" s="4">
        <f t="shared" ca="1" si="77"/>
        <v>-3.1443068217118508E-3</v>
      </c>
      <c r="AP349" s="4">
        <f t="shared" ca="1" si="78"/>
        <v>1.0211653188789804E-2</v>
      </c>
    </row>
    <row r="350" spans="20:42" x14ac:dyDescent="0.3">
      <c r="T350">
        <v>344</v>
      </c>
      <c r="U350" s="4">
        <v>-6.3858878900653112E-3</v>
      </c>
      <c r="V350" s="4"/>
      <c r="W350">
        <v>345</v>
      </c>
      <c r="X350">
        <f t="shared" ca="1" si="79"/>
        <v>-0.36629216800156489</v>
      </c>
      <c r="Y350">
        <f t="shared" ca="1" si="79"/>
        <v>0.5199822838072562</v>
      </c>
      <c r="Z350">
        <f t="shared" ca="1" si="79"/>
        <v>0.29569886104784282</v>
      </c>
      <c r="AB350">
        <v>345</v>
      </c>
      <c r="AC350" s="24">
        <f t="shared" ca="1" si="72"/>
        <v>-0.36629216800156489</v>
      </c>
      <c r="AD350" s="24">
        <f t="shared" ca="1" si="73"/>
        <v>-6.2523031276966512E-2</v>
      </c>
      <c r="AE350" s="24">
        <f t="shared" ca="1" si="74"/>
        <v>-5.366403415306864E-3</v>
      </c>
      <c r="AF350" s="24"/>
      <c r="AG350">
        <v>345</v>
      </c>
      <c r="AH350">
        <f t="shared" ca="1" si="80"/>
        <v>307.52031886395622</v>
      </c>
      <c r="AI350">
        <f t="shared" ca="1" si="81"/>
        <v>164.04756958949849</v>
      </c>
      <c r="AJ350">
        <f t="shared" ca="1" si="82"/>
        <v>53.025171388758096</v>
      </c>
      <c r="AL350">
        <v>345</v>
      </c>
      <c r="AM350" s="4">
        <f t="shared" ca="1" si="75"/>
        <v>-6.2037343662874056E-3</v>
      </c>
      <c r="AN350" s="4">
        <f t="shared" ca="1" si="76"/>
        <v>-1.293223696824497E-3</v>
      </c>
      <c r="AO350" s="4">
        <f t="shared" ca="1" si="77"/>
        <v>-9.1031315289868964E-5</v>
      </c>
      <c r="AP350" s="4">
        <f t="shared" ca="1" si="78"/>
        <v>-2.4057191832029812E-3</v>
      </c>
    </row>
    <row r="351" spans="20:42" x14ac:dyDescent="0.3">
      <c r="T351">
        <v>345</v>
      </c>
      <c r="U351" s="4">
        <v>-6.341592243873229E-3</v>
      </c>
      <c r="V351" s="4"/>
      <c r="W351">
        <v>346</v>
      </c>
      <c r="X351">
        <f t="shared" ca="1" si="79"/>
        <v>-1.3964939619369432</v>
      </c>
      <c r="Y351">
        <f t="shared" ca="1" si="79"/>
        <v>-0.27441921438666306</v>
      </c>
      <c r="Z351">
        <f t="shared" ca="1" si="79"/>
        <v>0.8704451934697055</v>
      </c>
      <c r="AB351">
        <v>346</v>
      </c>
      <c r="AC351" s="24">
        <f t="shared" ca="1" si="72"/>
        <v>-1.3964939619369432</v>
      </c>
      <c r="AD351" s="24">
        <f t="shared" ca="1" si="73"/>
        <v>-1.3504138386967632</v>
      </c>
      <c r="AE351" s="24">
        <f t="shared" ca="1" si="74"/>
        <v>-0.77384395171887299</v>
      </c>
      <c r="AF351" s="24"/>
      <c r="AG351">
        <v>346</v>
      </c>
      <c r="AH351">
        <f t="shared" ca="1" si="80"/>
        <v>302.18005158778749</v>
      </c>
      <c r="AI351">
        <f t="shared" ca="1" si="81"/>
        <v>159.71312728201869</v>
      </c>
      <c r="AJ351">
        <f t="shared" ca="1" si="82"/>
        <v>52.30691544622217</v>
      </c>
      <c r="AL351">
        <v>346</v>
      </c>
      <c r="AM351" s="4">
        <f t="shared" ca="1" si="75"/>
        <v>-2.3461578323226817E-2</v>
      </c>
      <c r="AN351" s="4">
        <f t="shared" ca="1" si="76"/>
        <v>-2.768091669835715E-2</v>
      </c>
      <c r="AO351" s="4">
        <f t="shared" ca="1" si="77"/>
        <v>-1.3635363939644707E-2</v>
      </c>
      <c r="AP351" s="4">
        <f t="shared" ca="1" si="78"/>
        <v>-2.2201449358204318E-2</v>
      </c>
    </row>
    <row r="352" spans="20:42" x14ac:dyDescent="0.3">
      <c r="T352">
        <v>346</v>
      </c>
      <c r="U352" s="4">
        <v>-6.291525326312419E-3</v>
      </c>
      <c r="V352" s="4"/>
      <c r="W352">
        <v>347</v>
      </c>
      <c r="X352">
        <f t="shared" ca="1" si="79"/>
        <v>0.62347280960211338</v>
      </c>
      <c r="Y352">
        <f t="shared" ca="1" si="79"/>
        <v>-1.7824972156539087</v>
      </c>
      <c r="Z352">
        <f t="shared" ca="1" si="79"/>
        <v>0.23294973292751264</v>
      </c>
      <c r="AB352">
        <v>347</v>
      </c>
      <c r="AC352" s="24">
        <f t="shared" ca="1" si="72"/>
        <v>0.62347280960211338</v>
      </c>
      <c r="AD352" s="24">
        <f t="shared" ca="1" si="73"/>
        <v>-0.33577555179641227</v>
      </c>
      <c r="AE352" s="24">
        <f t="shared" ca="1" si="74"/>
        <v>0.13506853391315429</v>
      </c>
      <c r="AF352" s="24"/>
      <c r="AG352">
        <v>347</v>
      </c>
      <c r="AH352">
        <f t="shared" ca="1" si="80"/>
        <v>312.73984479520874</v>
      </c>
      <c r="AI352">
        <f t="shared" ca="1" si="81"/>
        <v>163.1182033817268</v>
      </c>
      <c r="AJ352">
        <f t="shared" ca="1" si="82"/>
        <v>53.157490518401332</v>
      </c>
      <c r="AL352">
        <v>347</v>
      </c>
      <c r="AM352" s="4">
        <f t="shared" ca="1" si="75"/>
        <v>1.0663916519414895E-2</v>
      </c>
      <c r="AN352" s="4">
        <f t="shared" ca="1" si="76"/>
        <v>-6.9511211694378572E-3</v>
      </c>
      <c r="AO352" s="4">
        <f t="shared" ca="1" si="77"/>
        <v>2.4041437307049662E-3</v>
      </c>
      <c r="AP352" s="4">
        <f t="shared" ca="1" si="78"/>
        <v>1.1399696072608156E-3</v>
      </c>
    </row>
    <row r="353" spans="20:42" x14ac:dyDescent="0.3">
      <c r="T353">
        <v>347</v>
      </c>
      <c r="U353" s="4">
        <v>-6.0886743225612161E-3</v>
      </c>
      <c r="V353" s="4"/>
      <c r="W353">
        <v>348</v>
      </c>
      <c r="X353">
        <f t="shared" ca="1" si="79"/>
        <v>-0.16557665554267462</v>
      </c>
      <c r="Y353">
        <f t="shared" ca="1" si="79"/>
        <v>0.89367719460281247</v>
      </c>
      <c r="Z353">
        <f t="shared" ca="1" si="79"/>
        <v>0.48371231709027124</v>
      </c>
      <c r="AB353">
        <v>348</v>
      </c>
      <c r="AC353" s="24">
        <f t="shared" ca="1" si="72"/>
        <v>-0.16557665554267462</v>
      </c>
      <c r="AD353" s="24">
        <f t="shared" ca="1" si="73"/>
        <v>0.29626925525805736</v>
      </c>
      <c r="AE353" s="24">
        <f t="shared" ca="1" si="74"/>
        <v>0.3570399462503232</v>
      </c>
      <c r="AF353" s="24"/>
      <c r="AG353">
        <v>348</v>
      </c>
      <c r="AH353">
        <f t="shared" ca="1" si="80"/>
        <v>308.57170305180733</v>
      </c>
      <c r="AI353">
        <f t="shared" ca="1" si="81"/>
        <v>165.27591296810488</v>
      </c>
      <c r="AJ353">
        <f t="shared" ca="1" si="82"/>
        <v>53.367307817134829</v>
      </c>
      <c r="AL353">
        <v>348</v>
      </c>
      <c r="AM353" s="4">
        <f t="shared" ca="1" si="75"/>
        <v>-2.8060347167400135E-3</v>
      </c>
      <c r="AN353" s="4">
        <f t="shared" ca="1" si="76"/>
        <v>6.1848197689280404E-3</v>
      </c>
      <c r="AO353" s="4">
        <f t="shared" ca="1" si="77"/>
        <v>6.3607212069127783E-3</v>
      </c>
      <c r="AP353" s="4">
        <f t="shared" ca="1" si="78"/>
        <v>3.5403338546230461E-3</v>
      </c>
    </row>
    <row r="354" spans="20:42" x14ac:dyDescent="0.3">
      <c r="T354">
        <v>348</v>
      </c>
      <c r="U354" s="4">
        <v>-6.0401782062658787E-3</v>
      </c>
      <c r="V354" s="4"/>
      <c r="W354">
        <v>349</v>
      </c>
      <c r="X354">
        <f t="shared" ca="1" si="79"/>
        <v>0.83298878713273272</v>
      </c>
      <c r="Y354">
        <f t="shared" ca="1" si="79"/>
        <v>0.13137571375469279</v>
      </c>
      <c r="Z354">
        <f t="shared" ca="1" si="79"/>
        <v>-0.85770391830419068</v>
      </c>
      <c r="AB354">
        <v>349</v>
      </c>
      <c r="AC354" s="24">
        <f t="shared" ca="1" si="72"/>
        <v>0.83298878713273272</v>
      </c>
      <c r="AD354" s="24">
        <f t="shared" ca="1" si="73"/>
        <v>0.78958151803242549</v>
      </c>
      <c r="AE354" s="24">
        <f t="shared" ca="1" si="74"/>
        <v>0.28087561280872997</v>
      </c>
      <c r="AF354" s="24"/>
      <c r="AG354">
        <v>349</v>
      </c>
      <c r="AH354">
        <f t="shared" ca="1" si="80"/>
        <v>313.85603848945959</v>
      </c>
      <c r="AI354">
        <f t="shared" ca="1" si="81"/>
        <v>166.97982275259437</v>
      </c>
      <c r="AJ354">
        <f t="shared" ca="1" si="82"/>
        <v>53.295220719320099</v>
      </c>
      <c r="AL354">
        <v>349</v>
      </c>
      <c r="AM354" s="4">
        <f t="shared" ca="1" si="75"/>
        <v>1.4271057436698875E-2</v>
      </c>
      <c r="AN354" s="4">
        <f t="shared" ca="1" si="76"/>
        <v>1.6558068529864745E-2</v>
      </c>
      <c r="AO354" s="4">
        <f t="shared" ca="1" si="77"/>
        <v>5.0013567061752973E-3</v>
      </c>
      <c r="AP354" s="4">
        <f t="shared" ca="1" si="78"/>
        <v>1.240495165480815E-2</v>
      </c>
    </row>
    <row r="355" spans="20:42" x14ac:dyDescent="0.3">
      <c r="T355">
        <v>349</v>
      </c>
      <c r="U355" s="4">
        <v>-5.9936339081320903E-3</v>
      </c>
      <c r="V355" s="4"/>
      <c r="W355">
        <v>350</v>
      </c>
      <c r="X355">
        <f t="shared" ca="1" si="79"/>
        <v>-0.40054844341063744</v>
      </c>
      <c r="Y355">
        <f t="shared" ca="1" si="79"/>
        <v>-1.0177608491835519</v>
      </c>
      <c r="Z355">
        <f t="shared" ca="1" si="79"/>
        <v>1.4579839578489264</v>
      </c>
      <c r="AB355">
        <v>350</v>
      </c>
      <c r="AC355" s="24">
        <f t="shared" ca="1" si="72"/>
        <v>-0.40054844341063744</v>
      </c>
      <c r="AD355" s="24">
        <f t="shared" ca="1" si="73"/>
        <v>-0.85003910458825793</v>
      </c>
      <c r="AE355" s="24">
        <f t="shared" ca="1" si="74"/>
        <v>0.13206161923798754</v>
      </c>
      <c r="AF355" s="24"/>
      <c r="AG355">
        <v>350</v>
      </c>
      <c r="AH355">
        <f t="shared" ca="1" si="80"/>
        <v>307.34123650441097</v>
      </c>
      <c r="AI355">
        <f t="shared" ca="1" si="81"/>
        <v>161.38338330764719</v>
      </c>
      <c r="AJ355">
        <f t="shared" ca="1" si="82"/>
        <v>53.154653918587599</v>
      </c>
      <c r="AL355">
        <v>350</v>
      </c>
      <c r="AM355" s="4">
        <f t="shared" ca="1" si="75"/>
        <v>-6.7824648411204391E-3</v>
      </c>
      <c r="AN355" s="4">
        <f t="shared" ca="1" si="76"/>
        <v>-1.7512548979587983E-2</v>
      </c>
      <c r="AO355" s="4">
        <f t="shared" ca="1" si="77"/>
        <v>2.3506532558976723E-3</v>
      </c>
      <c r="AP355" s="4">
        <f t="shared" ca="1" si="78"/>
        <v>-8.3345630674020229E-3</v>
      </c>
    </row>
    <row r="356" spans="20:42" x14ac:dyDescent="0.3">
      <c r="T356">
        <v>350</v>
      </c>
      <c r="U356" s="4">
        <v>-5.9374928246104684E-3</v>
      </c>
      <c r="V356" s="4"/>
      <c r="W356">
        <v>351</v>
      </c>
      <c r="X356">
        <f t="shared" ca="1" si="79"/>
        <v>0.96168155064244809</v>
      </c>
      <c r="Y356">
        <f t="shared" ca="1" si="79"/>
        <v>-1.2288796173152794</v>
      </c>
      <c r="Z356">
        <f t="shared" ca="1" si="79"/>
        <v>-0.60867276258258352</v>
      </c>
      <c r="AB356">
        <v>351</v>
      </c>
      <c r="AC356" s="24">
        <f t="shared" ca="1" si="72"/>
        <v>0.96168155064244809</v>
      </c>
      <c r="AD356" s="24">
        <f t="shared" ca="1" si="73"/>
        <v>0.23131519544082813</v>
      </c>
      <c r="AE356" s="24">
        <f t="shared" ca="1" si="74"/>
        <v>0.13681139662942249</v>
      </c>
      <c r="AF356" s="24"/>
      <c r="AG356">
        <v>351</v>
      </c>
      <c r="AH356">
        <f t="shared" ca="1" si="80"/>
        <v>314.54362165385032</v>
      </c>
      <c r="AI356">
        <f t="shared" ca="1" si="81"/>
        <v>165.05285967238902</v>
      </c>
      <c r="AJ356">
        <f t="shared" ca="1" si="82"/>
        <v>53.159134732807551</v>
      </c>
      <c r="AL356">
        <v>351</v>
      </c>
      <c r="AM356" s="4">
        <f t="shared" ca="1" si="75"/>
        <v>1.6493081606056004E-2</v>
      </c>
      <c r="AN356" s="4">
        <f t="shared" ca="1" si="76"/>
        <v>4.8268914651705686E-3</v>
      </c>
      <c r="AO356" s="4">
        <f t="shared" ca="1" si="77"/>
        <v>2.4351490945380139E-3</v>
      </c>
      <c r="AP356" s="4">
        <f t="shared" ca="1" si="78"/>
        <v>7.6092257962464323E-3</v>
      </c>
    </row>
    <row r="357" spans="20:42" x14ac:dyDescent="0.3">
      <c r="T357">
        <v>351</v>
      </c>
      <c r="U357" s="4">
        <v>-5.9248574913213451E-3</v>
      </c>
      <c r="V357" s="4"/>
      <c r="W357">
        <v>352</v>
      </c>
      <c r="X357">
        <f t="shared" ca="1" si="79"/>
        <v>-1.0249966228737231</v>
      </c>
      <c r="Y357">
        <f t="shared" ca="1" si="79"/>
        <v>-8.7493188613807546E-2</v>
      </c>
      <c r="Z357">
        <f t="shared" ca="1" si="79"/>
        <v>1.4663441895448863</v>
      </c>
      <c r="AB357">
        <v>352</v>
      </c>
      <c r="AC357" s="24">
        <f t="shared" ca="1" si="72"/>
        <v>-1.0249966228737231</v>
      </c>
      <c r="AD357" s="24">
        <f t="shared" ca="1" si="73"/>
        <v>-0.93503961469213359</v>
      </c>
      <c r="AE357" s="24">
        <f t="shared" ca="1" si="74"/>
        <v>-0.11658957348404053</v>
      </c>
      <c r="AF357" s="24"/>
      <c r="AG357">
        <v>352</v>
      </c>
      <c r="AH357">
        <f t="shared" ca="1" si="80"/>
        <v>304.09500982366558</v>
      </c>
      <c r="AI357">
        <f t="shared" ca="1" si="81"/>
        <v>161.09842413305671</v>
      </c>
      <c r="AJ357">
        <f t="shared" ca="1" si="82"/>
        <v>52.920609629409284</v>
      </c>
      <c r="AL357">
        <v>352</v>
      </c>
      <c r="AM357" s="4">
        <f t="shared" ca="1" si="75"/>
        <v>-1.7273114579788529E-2</v>
      </c>
      <c r="AN357" s="4">
        <f t="shared" ca="1" si="76"/>
        <v>-1.9247354678602169E-2</v>
      </c>
      <c r="AO357" s="4">
        <f t="shared" ca="1" si="77"/>
        <v>-2.062778661239939E-3</v>
      </c>
      <c r="AP357" s="4">
        <f t="shared" ca="1" si="78"/>
        <v>-1.3499709843749408E-2</v>
      </c>
    </row>
    <row r="358" spans="20:42" x14ac:dyDescent="0.3">
      <c r="T358">
        <v>352</v>
      </c>
      <c r="U358" s="4">
        <v>-5.8430377713723069E-3</v>
      </c>
      <c r="V358" s="4"/>
      <c r="W358">
        <v>353</v>
      </c>
      <c r="X358">
        <f t="shared" ca="1" si="79"/>
        <v>0.56134655397952915</v>
      </c>
      <c r="Y358">
        <f t="shared" ca="1" si="79"/>
        <v>2.3338153151025258</v>
      </c>
      <c r="Z358">
        <f t="shared" ca="1" si="79"/>
        <v>-0.27436118854514863</v>
      </c>
      <c r="AB358">
        <v>353</v>
      </c>
      <c r="AC358" s="24">
        <f t="shared" ca="1" si="72"/>
        <v>0.56134655397952915</v>
      </c>
      <c r="AD358" s="24">
        <f t="shared" ca="1" si="73"/>
        <v>1.6384341403667144</v>
      </c>
      <c r="AE358" s="24">
        <f t="shared" ca="1" si="74"/>
        <v>0.96318539397503122</v>
      </c>
      <c r="AF358" s="24"/>
      <c r="AG358">
        <v>353</v>
      </c>
      <c r="AH358">
        <f t="shared" ca="1" si="80"/>
        <v>312.40963165592075</v>
      </c>
      <c r="AI358">
        <f t="shared" ca="1" si="81"/>
        <v>169.95299687463785</v>
      </c>
      <c r="AJ358">
        <f t="shared" ca="1" si="82"/>
        <v>53.94449173893134</v>
      </c>
      <c r="AL358">
        <v>353</v>
      </c>
      <c r="AM358" s="4">
        <f t="shared" ca="1" si="75"/>
        <v>9.5967851314797681E-3</v>
      </c>
      <c r="AN358" s="4">
        <f t="shared" ca="1" si="76"/>
        <v>3.465848385600645E-2</v>
      </c>
      <c r="AO358" s="4">
        <f t="shared" ca="1" si="77"/>
        <v>1.7244823320485603E-2</v>
      </c>
      <c r="AP358" s="4">
        <f t="shared" ca="1" si="78"/>
        <v>2.1915876077992193E-2</v>
      </c>
    </row>
    <row r="359" spans="20:42" x14ac:dyDescent="0.3">
      <c r="T359">
        <v>353</v>
      </c>
      <c r="U359" s="4">
        <v>-5.7714122462454781E-3</v>
      </c>
      <c r="V359" s="4"/>
      <c r="W359">
        <v>354</v>
      </c>
      <c r="X359">
        <f t="shared" ca="1" si="79"/>
        <v>1.1551153583544795</v>
      </c>
      <c r="Y359">
        <f t="shared" ca="1" si="79"/>
        <v>-0.67898071444110175</v>
      </c>
      <c r="Z359">
        <f t="shared" ca="1" si="79"/>
        <v>1.1826416707004943</v>
      </c>
      <c r="AB359">
        <v>354</v>
      </c>
      <c r="AC359" s="24">
        <f t="shared" ca="1" si="72"/>
        <v>1.1551153583544795</v>
      </c>
      <c r="AD359" s="24">
        <f t="shared" ca="1" si="73"/>
        <v>0.67059381022763764</v>
      </c>
      <c r="AE359" s="24">
        <f t="shared" ca="1" si="74"/>
        <v>1.3556148309894844</v>
      </c>
      <c r="AF359" s="24"/>
      <c r="AG359">
        <v>354</v>
      </c>
      <c r="AH359">
        <f t="shared" ca="1" si="80"/>
        <v>315.57993966810096</v>
      </c>
      <c r="AI359">
        <f t="shared" ca="1" si="81"/>
        <v>166.56723626700818</v>
      </c>
      <c r="AJ359">
        <f t="shared" ca="1" si="82"/>
        <v>54.321495732220747</v>
      </c>
      <c r="AL359">
        <v>354</v>
      </c>
      <c r="AM359" s="4">
        <f t="shared" ca="1" si="75"/>
        <v>1.984209274254245E-2</v>
      </c>
      <c r="AN359" s="4">
        <f t="shared" ca="1" si="76"/>
        <v>1.4046279297039499E-2</v>
      </c>
      <c r="AO359" s="4">
        <f t="shared" ca="1" si="77"/>
        <v>2.4354082267642019E-2</v>
      </c>
      <c r="AP359" s="4">
        <f t="shared" ca="1" si="78"/>
        <v>1.887736422187114E-2</v>
      </c>
    </row>
    <row r="360" spans="20:42" x14ac:dyDescent="0.3">
      <c r="T360">
        <v>354</v>
      </c>
      <c r="U360" s="4">
        <v>-5.7370900093709713E-3</v>
      </c>
      <c r="V360" s="4"/>
      <c r="W360">
        <v>355</v>
      </c>
      <c r="X360">
        <f t="shared" ca="1" si="79"/>
        <v>-0.8066252831378079</v>
      </c>
      <c r="Y360">
        <f t="shared" ca="1" si="79"/>
        <v>0.1445363161710963</v>
      </c>
      <c r="Z360">
        <f t="shared" ca="1" si="79"/>
        <v>0.33500870864845578</v>
      </c>
      <c r="AB360">
        <v>355</v>
      </c>
      <c r="AC360" s="24">
        <f t="shared" ca="1" si="72"/>
        <v>-0.8066252831378079</v>
      </c>
      <c r="AD360" s="24">
        <f t="shared" ca="1" si="73"/>
        <v>-0.63068780416543391</v>
      </c>
      <c r="AE360" s="24">
        <f t="shared" ca="1" si="74"/>
        <v>-0.44846835045836231</v>
      </c>
      <c r="AF360" s="24"/>
      <c r="AG360">
        <v>355</v>
      </c>
      <c r="AH360">
        <f t="shared" ca="1" si="80"/>
        <v>305.2263073853706</v>
      </c>
      <c r="AI360">
        <f t="shared" ca="1" si="81"/>
        <v>162.12107643721416</v>
      </c>
      <c r="AJ360">
        <f t="shared" ca="1" si="82"/>
        <v>52.609831772715431</v>
      </c>
      <c r="AL360">
        <v>355</v>
      </c>
      <c r="AM360" s="4">
        <f t="shared" ca="1" si="75"/>
        <v>-1.3617163336318461E-2</v>
      </c>
      <c r="AN360" s="4">
        <f t="shared" ca="1" si="76"/>
        <v>-1.302153988280963E-2</v>
      </c>
      <c r="AO360" s="4">
        <f t="shared" ca="1" si="77"/>
        <v>-7.9231947247451195E-3</v>
      </c>
      <c r="AP360" s="4">
        <f t="shared" ca="1" si="78"/>
        <v>-1.1670723371442926E-2</v>
      </c>
    </row>
    <row r="361" spans="20:42" x14ac:dyDescent="0.3">
      <c r="T361">
        <v>355</v>
      </c>
      <c r="U361" s="4">
        <v>-5.6165935915414187E-3</v>
      </c>
      <c r="V361" s="4"/>
      <c r="W361">
        <v>356</v>
      </c>
      <c r="X361">
        <f t="shared" ca="1" si="79"/>
        <v>0.42334923116948103</v>
      </c>
      <c r="Y361">
        <f t="shared" ca="1" si="79"/>
        <v>0.19723724285999483</v>
      </c>
      <c r="Z361">
        <f t="shared" ca="1" si="79"/>
        <v>0.32644309786635478</v>
      </c>
      <c r="AB361">
        <v>356</v>
      </c>
      <c r="AC361" s="24">
        <f t="shared" ca="1" si="72"/>
        <v>0.42334923116948103</v>
      </c>
      <c r="AD361" s="24">
        <f t="shared" ca="1" si="73"/>
        <v>0.46557528171816842</v>
      </c>
      <c r="AE361" s="24">
        <f t="shared" ca="1" si="74"/>
        <v>0.56567061776371264</v>
      </c>
      <c r="AF361" s="24"/>
      <c r="AG361">
        <v>356</v>
      </c>
      <c r="AH361">
        <f t="shared" ca="1" si="80"/>
        <v>311.67739585925045</v>
      </c>
      <c r="AI361">
        <f t="shared" ca="1" si="81"/>
        <v>165.85873048168574</v>
      </c>
      <c r="AJ361">
        <f t="shared" ca="1" si="82"/>
        <v>53.565269794171499</v>
      </c>
      <c r="AL361">
        <v>356</v>
      </c>
      <c r="AM361" s="4">
        <f t="shared" ca="1" si="75"/>
        <v>7.2304595404342198E-3</v>
      </c>
      <c r="AN361" s="4">
        <f t="shared" ca="1" si="76"/>
        <v>9.7329601139382049E-3</v>
      </c>
      <c r="AO361" s="4">
        <f t="shared" ca="1" si="77"/>
        <v>1.009373990564133E-2</v>
      </c>
      <c r="AP361" s="4">
        <f t="shared" ca="1" si="78"/>
        <v>9.090443879397947E-3</v>
      </c>
    </row>
    <row r="362" spans="20:42" x14ac:dyDescent="0.3">
      <c r="T362">
        <v>356</v>
      </c>
      <c r="U362" s="4">
        <v>-5.5477860950453369E-3</v>
      </c>
      <c r="V362" s="4"/>
      <c r="W362">
        <v>357</v>
      </c>
      <c r="X362">
        <f t="shared" ca="1" si="79"/>
        <v>0.4067299237596268</v>
      </c>
      <c r="Y362">
        <f t="shared" ca="1" si="79"/>
        <v>-0.11071692940542661</v>
      </c>
      <c r="Z362">
        <f t="shared" ca="1" si="79"/>
        <v>-0.1212739092186728</v>
      </c>
      <c r="AB362">
        <v>357</v>
      </c>
      <c r="AC362" s="24">
        <f t="shared" ca="1" si="72"/>
        <v>0.4067299237596268</v>
      </c>
      <c r="AD362" s="24">
        <f t="shared" ca="1" si="73"/>
        <v>0.29937230640476287</v>
      </c>
      <c r="AE362" s="24">
        <f t="shared" ca="1" si="74"/>
        <v>0.23987246696515277</v>
      </c>
      <c r="AF362" s="24"/>
      <c r="AG362">
        <v>357</v>
      </c>
      <c r="AH362">
        <f t="shared" ca="1" si="80"/>
        <v>311.5893270351973</v>
      </c>
      <c r="AI362">
        <f t="shared" ca="1" si="81"/>
        <v>165.28657643709141</v>
      </c>
      <c r="AJ362">
        <f t="shared" ca="1" si="82"/>
        <v>53.256452886730955</v>
      </c>
      <c r="AL362">
        <v>357</v>
      </c>
      <c r="AM362" s="4">
        <f t="shared" ca="1" si="75"/>
        <v>6.9458524328904758E-3</v>
      </c>
      <c r="AN362" s="4">
        <f t="shared" ca="1" si="76"/>
        <v>6.2497380043056161E-3</v>
      </c>
      <c r="AO362" s="4">
        <f t="shared" ca="1" si="77"/>
        <v>4.2703019544960696E-3</v>
      </c>
      <c r="AP362" s="4">
        <f t="shared" ca="1" si="78"/>
        <v>5.8647415179382094E-3</v>
      </c>
    </row>
    <row r="363" spans="20:42" x14ac:dyDescent="0.3">
      <c r="T363">
        <v>357</v>
      </c>
      <c r="U363" s="4">
        <v>-5.5385337612160798E-3</v>
      </c>
      <c r="V363" s="4"/>
      <c r="W363">
        <v>358</v>
      </c>
      <c r="X363">
        <f t="shared" ca="1" si="79"/>
        <v>0.86301720053632325</v>
      </c>
      <c r="Y363">
        <f t="shared" ca="1" si="79"/>
        <v>-0.6708341203787338</v>
      </c>
      <c r="Z363">
        <f t="shared" ca="1" si="79"/>
        <v>0.36497420163103306</v>
      </c>
      <c r="AB363">
        <v>358</v>
      </c>
      <c r="AC363" s="24">
        <f t="shared" ca="1" si="72"/>
        <v>0.86301720053632325</v>
      </c>
      <c r="AD363" s="24">
        <f t="shared" ca="1" si="73"/>
        <v>0.42043092932631526</v>
      </c>
      <c r="AE363" s="24">
        <f t="shared" ca="1" si="74"/>
        <v>0.70446639640549369</v>
      </c>
      <c r="AF363" s="24"/>
      <c r="AG363">
        <v>358</v>
      </c>
      <c r="AH363">
        <f t="shared" ca="1" si="80"/>
        <v>314.01634054611606</v>
      </c>
      <c r="AI363">
        <f t="shared" ca="1" si="81"/>
        <v>165.70312533290789</v>
      </c>
      <c r="AJ363">
        <f t="shared" ca="1" si="82"/>
        <v>53.697374602323883</v>
      </c>
      <c r="AL363">
        <v>358</v>
      </c>
      <c r="AM363" s="4">
        <f t="shared" ca="1" si="75"/>
        <v>1.4789096653967881E-2</v>
      </c>
      <c r="AN363" s="4">
        <f t="shared" ca="1" si="76"/>
        <v>8.7856500324723363E-3</v>
      </c>
      <c r="AO363" s="4">
        <f t="shared" ca="1" si="77"/>
        <v>1.2584873437478494E-2</v>
      </c>
      <c r="AP363" s="4">
        <f t="shared" ca="1" si="78"/>
        <v>1.1726451040422846E-2</v>
      </c>
    </row>
    <row r="364" spans="20:42" x14ac:dyDescent="0.3">
      <c r="T364">
        <v>358</v>
      </c>
      <c r="U364" s="4">
        <v>-5.471339553336365E-3</v>
      </c>
      <c r="V364" s="4"/>
      <c r="W364">
        <v>359</v>
      </c>
      <c r="X364">
        <f t="shared" ca="1" si="79"/>
        <v>-0.60305737325694908</v>
      </c>
      <c r="Y364">
        <f t="shared" ca="1" si="79"/>
        <v>0.13826069258051107</v>
      </c>
      <c r="Z364">
        <f t="shared" ca="1" si="79"/>
        <v>-1.9081262446815466</v>
      </c>
      <c r="AB364">
        <v>359</v>
      </c>
      <c r="AC364" s="24">
        <f t="shared" ca="1" si="72"/>
        <v>-0.60305737325694908</v>
      </c>
      <c r="AD364" s="24">
        <f t="shared" ca="1" si="73"/>
        <v>-0.45663998693605179</v>
      </c>
      <c r="AE364" s="24">
        <f t="shared" ca="1" si="74"/>
        <v>-1.4224688700242223</v>
      </c>
      <c r="AF364" s="24"/>
      <c r="AG364">
        <v>359</v>
      </c>
      <c r="AH364">
        <f t="shared" ca="1" si="80"/>
        <v>306.28470415349278</v>
      </c>
      <c r="AI364">
        <f t="shared" ca="1" si="81"/>
        <v>162.70880945951234</v>
      </c>
      <c r="AJ364">
        <f t="shared" ca="1" si="82"/>
        <v>51.708256314989683</v>
      </c>
      <c r="AL364">
        <v>359</v>
      </c>
      <c r="AM364" s="4">
        <f t="shared" ca="1" si="75"/>
        <v>-1.0196801522164956E-2</v>
      </c>
      <c r="AN364" s="4">
        <f t="shared" ca="1" si="76"/>
        <v>-9.4434743650141373E-3</v>
      </c>
      <c r="AO364" s="4">
        <f t="shared" ca="1" si="77"/>
        <v>-2.4924429468837328E-2</v>
      </c>
      <c r="AP364" s="4">
        <f t="shared" ca="1" si="78"/>
        <v>-1.431375904330634E-2</v>
      </c>
    </row>
    <row r="365" spans="20:42" x14ac:dyDescent="0.3">
      <c r="T365">
        <v>359</v>
      </c>
      <c r="U365" s="4">
        <v>-5.4464881169840945E-3</v>
      </c>
      <c r="V365" s="4"/>
      <c r="W365">
        <v>360</v>
      </c>
      <c r="X365">
        <f t="shared" ca="1" si="79"/>
        <v>-0.80930251812153142</v>
      </c>
      <c r="Y365">
        <f t="shared" ca="1" si="79"/>
        <v>-5.115494194452197E-2</v>
      </c>
      <c r="Z365">
        <f t="shared" ca="1" si="79"/>
        <v>0.3724518096196498</v>
      </c>
      <c r="AB365">
        <v>360</v>
      </c>
      <c r="AC365" s="24">
        <f t="shared" ca="1" si="72"/>
        <v>-0.80930251812153142</v>
      </c>
      <c r="AD365" s="24">
        <f t="shared" ca="1" si="73"/>
        <v>-0.72944231962792538</v>
      </c>
      <c r="AE365" s="24">
        <f t="shared" ca="1" si="74"/>
        <v>-0.48567053660366233</v>
      </c>
      <c r="AF365" s="24"/>
      <c r="AG365">
        <v>360</v>
      </c>
      <c r="AH365">
        <f t="shared" ca="1" si="80"/>
        <v>305.21241221412907</v>
      </c>
      <c r="AI365">
        <f t="shared" ca="1" si="81"/>
        <v>161.78854197485907</v>
      </c>
      <c r="AJ365">
        <f t="shared" ca="1" si="82"/>
        <v>52.575108863974059</v>
      </c>
      <c r="AL365">
        <v>360</v>
      </c>
      <c r="AM365" s="4">
        <f t="shared" ca="1" si="75"/>
        <v>-1.3662067586356907E-2</v>
      </c>
      <c r="AN365" s="4">
        <f t="shared" ca="1" si="76"/>
        <v>-1.504597963366594E-2</v>
      </c>
      <c r="AO365" s="4">
        <f t="shared" ca="1" si="77"/>
        <v>-8.5779733319610862E-3</v>
      </c>
      <c r="AP365" s="4">
        <f t="shared" ca="1" si="78"/>
        <v>-1.2690404128961774E-2</v>
      </c>
    </row>
    <row r="366" spans="20:42" x14ac:dyDescent="0.3">
      <c r="T366">
        <v>360</v>
      </c>
      <c r="U366" s="4">
        <v>-5.3124436128185737E-3</v>
      </c>
      <c r="V366" s="4"/>
      <c r="W366">
        <v>361</v>
      </c>
      <c r="X366">
        <f t="shared" ca="1" si="79"/>
        <v>-0.13944569593057951</v>
      </c>
      <c r="Y366">
        <f t="shared" ca="1" si="79"/>
        <v>1.9441083805914769</v>
      </c>
      <c r="Z366">
        <f t="shared" ca="1" si="79"/>
        <v>1.3639092231199881</v>
      </c>
      <c r="AB366">
        <v>361</v>
      </c>
      <c r="AC366" s="24">
        <f t="shared" ca="1" si="72"/>
        <v>-0.13944569593057951</v>
      </c>
      <c r="AD366" s="24">
        <f t="shared" ca="1" si="73"/>
        <v>0.83659693501599364</v>
      </c>
      <c r="AE366" s="24">
        <f t="shared" ca="1" si="74"/>
        <v>1.115050278997632</v>
      </c>
      <c r="AF366" s="24"/>
      <c r="AG366">
        <v>361</v>
      </c>
      <c r="AH366">
        <f t="shared" ca="1" si="80"/>
        <v>308.70884593738253</v>
      </c>
      <c r="AI366">
        <f t="shared" ca="1" si="81"/>
        <v>167.14312891486506</v>
      </c>
      <c r="AJ366">
        <f t="shared" ca="1" si="82"/>
        <v>54.090075832818698</v>
      </c>
      <c r="AL366">
        <v>361</v>
      </c>
      <c r="AM366" s="4">
        <f t="shared" ca="1" si="75"/>
        <v>-2.3628377011855051E-3</v>
      </c>
      <c r="AN366" s="4">
        <f t="shared" ca="1" si="76"/>
        <v>1.7552261685422677E-2</v>
      </c>
      <c r="AO366" s="4">
        <f t="shared" ca="1" si="77"/>
        <v>1.9990139127360473E-2</v>
      </c>
      <c r="AP366" s="4">
        <f t="shared" ca="1" si="78"/>
        <v>1.230909510202156E-2</v>
      </c>
    </row>
    <row r="367" spans="20:42" x14ac:dyDescent="0.3">
      <c r="T367">
        <v>361</v>
      </c>
      <c r="U367" s="4">
        <v>-5.2736522972581471E-3</v>
      </c>
      <c r="V367" s="4"/>
      <c r="W367">
        <v>362</v>
      </c>
      <c r="X367">
        <f t="shared" ca="1" si="79"/>
        <v>-0.20405641254055815</v>
      </c>
      <c r="Y367">
        <f t="shared" ca="1" si="79"/>
        <v>-0.78187211291152547</v>
      </c>
      <c r="Z367">
        <f t="shared" ca="1" si="79"/>
        <v>-0.95905379332164009</v>
      </c>
      <c r="AB367">
        <v>362</v>
      </c>
      <c r="AC367" s="24">
        <f t="shared" ca="1" si="72"/>
        <v>-0.20405641254055815</v>
      </c>
      <c r="AD367" s="24">
        <f t="shared" ca="1" si="73"/>
        <v>-0.56282456386136637</v>
      </c>
      <c r="AE367" s="24">
        <f t="shared" ca="1" si="74"/>
        <v>-0.8691241363423301</v>
      </c>
      <c r="AF367" s="24"/>
      <c r="AG367">
        <v>362</v>
      </c>
      <c r="AH367">
        <f t="shared" ca="1" si="80"/>
        <v>308.36986098958874</v>
      </c>
      <c r="AI367">
        <f t="shared" ca="1" si="81"/>
        <v>162.34998735087791</v>
      </c>
      <c r="AJ367">
        <f t="shared" ca="1" si="82"/>
        <v>52.218542638546467</v>
      </c>
      <c r="AL367">
        <v>362</v>
      </c>
      <c r="AM367" s="4">
        <f t="shared" ca="1" si="75"/>
        <v>-3.4583164535099131E-3</v>
      </c>
      <c r="AN367" s="4">
        <f t="shared" ca="1" si="76"/>
        <v>-1.1627950930423347E-2</v>
      </c>
      <c r="AO367" s="4">
        <f t="shared" ca="1" si="77"/>
        <v>-1.5301832159708151E-2</v>
      </c>
      <c r="AP367" s="4">
        <f t="shared" ca="1" si="78"/>
        <v>-1.0279224956134758E-2</v>
      </c>
    </row>
    <row r="368" spans="20:42" x14ac:dyDescent="0.3">
      <c r="T368">
        <v>362</v>
      </c>
      <c r="U368" s="4">
        <v>-5.261719134944531E-3</v>
      </c>
      <c r="V368" s="4"/>
      <c r="W368">
        <v>363</v>
      </c>
      <c r="X368">
        <f t="shared" ca="1" si="79"/>
        <v>0.84474977276733376</v>
      </c>
      <c r="Y368">
        <f t="shared" ca="1" si="79"/>
        <v>1.8939611561724039</v>
      </c>
      <c r="Z368">
        <f t="shared" ca="1" si="79"/>
        <v>0.15753946448494832</v>
      </c>
      <c r="AB368">
        <v>363</v>
      </c>
      <c r="AC368" s="24">
        <f t="shared" ca="1" si="72"/>
        <v>0.84474977276733376</v>
      </c>
      <c r="AD368" s="24">
        <f t="shared" ca="1" si="73"/>
        <v>1.66831144023369</v>
      </c>
      <c r="AE368" s="24">
        <f t="shared" ca="1" si="74"/>
        <v>1.2922827371823489</v>
      </c>
      <c r="AF368" s="24"/>
      <c r="AG368">
        <v>363</v>
      </c>
      <c r="AH368">
        <f t="shared" ca="1" si="80"/>
        <v>313.91881294740693</v>
      </c>
      <c r="AI368">
        <f t="shared" ca="1" si="81"/>
        <v>170.05860347743101</v>
      </c>
      <c r="AJ368">
        <f t="shared" ca="1" si="82"/>
        <v>54.260475253786794</v>
      </c>
      <c r="AL368">
        <v>363</v>
      </c>
      <c r="AM368" s="4">
        <f t="shared" ca="1" si="75"/>
        <v>1.4473922151836183E-2</v>
      </c>
      <c r="AN368" s="4">
        <f t="shared" ca="1" si="76"/>
        <v>3.5301407308611088E-2</v>
      </c>
      <c r="AO368" s="4">
        <f t="shared" ca="1" si="77"/>
        <v>2.3203403786808741E-2</v>
      </c>
      <c r="AP368" s="4">
        <f t="shared" ca="1" si="78"/>
        <v>2.5423760705037914E-2</v>
      </c>
    </row>
    <row r="369" spans="20:42" x14ac:dyDescent="0.3">
      <c r="T369">
        <v>363</v>
      </c>
      <c r="U369" s="4">
        <v>-5.2597871304596693E-3</v>
      </c>
      <c r="V369" s="4"/>
      <c r="W369">
        <v>364</v>
      </c>
      <c r="X369">
        <f t="shared" ca="1" si="79"/>
        <v>-1.2656973843499384</v>
      </c>
      <c r="Y369">
        <f t="shared" ca="1" si="79"/>
        <v>0.28435284250909437</v>
      </c>
      <c r="Z369">
        <f t="shared" ca="1" si="79"/>
        <v>0.33984740593276586</v>
      </c>
      <c r="AB369">
        <v>364</v>
      </c>
      <c r="AC369" s="24">
        <f t="shared" ca="1" si="72"/>
        <v>-1.2656973843499384</v>
      </c>
      <c r="AD369" s="24">
        <f t="shared" ca="1" si="73"/>
        <v>-0.96126853133887935</v>
      </c>
      <c r="AE369" s="24">
        <f t="shared" ca="1" si="74"/>
        <v>-0.7821237378726269</v>
      </c>
      <c r="AF369" s="24"/>
      <c r="AG369">
        <v>364</v>
      </c>
      <c r="AH369">
        <f t="shared" ca="1" si="80"/>
        <v>302.85288966541231</v>
      </c>
      <c r="AI369">
        <f t="shared" ca="1" si="81"/>
        <v>161.01059487111067</v>
      </c>
      <c r="AJ369">
        <f t="shared" ca="1" si="82"/>
        <v>52.299229976680479</v>
      </c>
      <c r="AL369">
        <v>364</v>
      </c>
      <c r="AM369" s="4">
        <f t="shared" ca="1" si="75"/>
        <v>-2.1287205028512779E-2</v>
      </c>
      <c r="AN369" s="4">
        <f t="shared" ca="1" si="76"/>
        <v>-1.9782051286925673E-2</v>
      </c>
      <c r="AO369" s="4">
        <f t="shared" ca="1" si="77"/>
        <v>-1.3780290768205972E-2</v>
      </c>
      <c r="AP369" s="4">
        <f t="shared" ca="1" si="78"/>
        <v>-1.8433069253785891E-2</v>
      </c>
    </row>
    <row r="370" spans="20:42" x14ac:dyDescent="0.3">
      <c r="T370">
        <v>364</v>
      </c>
      <c r="U370" s="4">
        <v>-5.254449697202534E-3</v>
      </c>
      <c r="V370" s="4"/>
      <c r="W370">
        <v>365</v>
      </c>
      <c r="X370">
        <f t="shared" ca="1" si="79"/>
        <v>-1.5571869060194879E-2</v>
      </c>
      <c r="Y370">
        <f t="shared" ca="1" si="79"/>
        <v>-0.56345034514793801</v>
      </c>
      <c r="Z370">
        <f t="shared" ca="1" si="79"/>
        <v>0.72543853650172985</v>
      </c>
      <c r="AB370">
        <v>365</v>
      </c>
      <c r="AC370" s="24">
        <f t="shared" ca="1" si="72"/>
        <v>-1.5571869060194879E-2</v>
      </c>
      <c r="AD370" s="24">
        <f t="shared" ca="1" si="73"/>
        <v>-0.29118462109695692</v>
      </c>
      <c r="AE370" s="24">
        <f t="shared" ca="1" si="74"/>
        <v>0.19992256216418763</v>
      </c>
      <c r="AF370" s="24"/>
      <c r="AG370">
        <v>365</v>
      </c>
      <c r="AH370">
        <f t="shared" ca="1" si="80"/>
        <v>309.35980165696805</v>
      </c>
      <c r="AI370">
        <f t="shared" ca="1" si="81"/>
        <v>163.26950246739145</v>
      </c>
      <c r="AJ370">
        <f t="shared" ca="1" si="82"/>
        <v>53.218708000334907</v>
      </c>
      <c r="AL370">
        <v>365</v>
      </c>
      <c r="AM370" s="4">
        <f t="shared" ca="1" si="75"/>
        <v>-2.5918040267969289E-4</v>
      </c>
      <c r="AN370" s="4">
        <f t="shared" ca="1" si="76"/>
        <v>-6.0300260110037751E-3</v>
      </c>
      <c r="AO370" s="4">
        <f t="shared" ca="1" si="77"/>
        <v>3.55853715598764E-3</v>
      </c>
      <c r="AP370" s="4">
        <f t="shared" ca="1" si="78"/>
        <v>-1.422203378409126E-3</v>
      </c>
    </row>
    <row r="371" spans="20:42" x14ac:dyDescent="0.3">
      <c r="T371">
        <v>365</v>
      </c>
      <c r="U371" s="4">
        <v>-5.1868780292420374E-3</v>
      </c>
      <c r="V371" s="4"/>
      <c r="W371">
        <v>366</v>
      </c>
      <c r="X371">
        <f t="shared" ca="1" si="79"/>
        <v>-0.58328444840436544</v>
      </c>
      <c r="Y371">
        <f t="shared" ca="1" si="79"/>
        <v>1.7547611460119199</v>
      </c>
      <c r="Z371">
        <f t="shared" ca="1" si="79"/>
        <v>-0.7101705412117052</v>
      </c>
      <c r="AB371">
        <v>366</v>
      </c>
      <c r="AC371" s="24">
        <f t="shared" ca="1" si="72"/>
        <v>-0.58328444840436544</v>
      </c>
      <c r="AD371" s="24">
        <f t="shared" ca="1" si="73"/>
        <v>0.35707986801185376</v>
      </c>
      <c r="AE371" s="24">
        <f t="shared" ca="1" si="74"/>
        <v>-0.35211911785687078</v>
      </c>
      <c r="AF371" s="24"/>
      <c r="AG371">
        <v>366</v>
      </c>
      <c r="AH371">
        <f t="shared" ca="1" si="80"/>
        <v>306.38770352457766</v>
      </c>
      <c r="AI371">
        <f t="shared" ca="1" si="81"/>
        <v>165.48501079715624</v>
      </c>
      <c r="AJ371">
        <f t="shared" ca="1" si="82"/>
        <v>52.699866615408133</v>
      </c>
      <c r="AL371">
        <v>366</v>
      </c>
      <c r="AM371" s="4">
        <f t="shared" ca="1" si="75"/>
        <v>-9.8639441983792153E-3</v>
      </c>
      <c r="AN371" s="4">
        <f t="shared" ca="1" si="76"/>
        <v>7.4577884529898331E-3</v>
      </c>
      <c r="AO371" s="4">
        <f t="shared" ca="1" si="77"/>
        <v>-6.2253850931173194E-3</v>
      </c>
      <c r="AP371" s="4">
        <f t="shared" ca="1" si="78"/>
        <v>-1.8436834062530267E-3</v>
      </c>
    </row>
    <row r="372" spans="20:42" x14ac:dyDescent="0.3">
      <c r="T372">
        <v>366</v>
      </c>
      <c r="U372" s="4">
        <v>-5.1613266671791001E-3</v>
      </c>
      <c r="V372" s="4"/>
      <c r="W372">
        <v>367</v>
      </c>
      <c r="X372">
        <f t="shared" ca="1" si="79"/>
        <v>-2.1217806842290687</v>
      </c>
      <c r="Y372">
        <f t="shared" ca="1" si="79"/>
        <v>-0.42276435927467787</v>
      </c>
      <c r="Z372">
        <f t="shared" ca="1" si="79"/>
        <v>-1.7559074685624647</v>
      </c>
      <c r="AB372">
        <v>367</v>
      </c>
      <c r="AC372" s="24">
        <f t="shared" ca="1" si="72"/>
        <v>-2.1217806842290687</v>
      </c>
      <c r="AD372" s="24">
        <f t="shared" ca="1" si="73"/>
        <v>-2.0546370340436284</v>
      </c>
      <c r="AE372" s="24">
        <f t="shared" ca="1" si="74"/>
        <v>-2.7397073075368734</v>
      </c>
      <c r="AF372" s="24"/>
      <c r="AG372">
        <v>367</v>
      </c>
      <c r="AH372">
        <f t="shared" ca="1" si="80"/>
        <v>298.47609839814874</v>
      </c>
      <c r="AI372">
        <f t="shared" ca="1" si="81"/>
        <v>157.39166634644585</v>
      </c>
      <c r="AJ372">
        <f t="shared" ca="1" si="82"/>
        <v>50.513492634454906</v>
      </c>
      <c r="AL372">
        <v>367</v>
      </c>
      <c r="AM372" s="4">
        <f t="shared" ca="1" si="75"/>
        <v>-3.5431437295613932E-2</v>
      </c>
      <c r="AN372" s="4">
        <f t="shared" ca="1" si="76"/>
        <v>-4.1813761050036757E-2</v>
      </c>
      <c r="AO372" s="4">
        <f t="shared" ca="1" si="77"/>
        <v>-4.7454388134444914E-2</v>
      </c>
      <c r="AP372" s="4">
        <f t="shared" ca="1" si="78"/>
        <v>-4.1591252049032357E-2</v>
      </c>
    </row>
    <row r="373" spans="20:42" x14ac:dyDescent="0.3">
      <c r="T373">
        <v>367</v>
      </c>
      <c r="U373" s="4">
        <v>-5.1566626971164542E-3</v>
      </c>
      <c r="V373" s="4"/>
      <c r="W373">
        <v>368</v>
      </c>
      <c r="X373">
        <f t="shared" ca="1" si="79"/>
        <v>1.4144005257970504</v>
      </c>
      <c r="Y373">
        <f t="shared" ca="1" si="79"/>
        <v>1.2887740582472016</v>
      </c>
      <c r="Z373">
        <f t="shared" ca="1" si="79"/>
        <v>-0.68286331729523864</v>
      </c>
      <c r="AB373">
        <v>368</v>
      </c>
      <c r="AC373" s="24">
        <f t="shared" ca="1" si="72"/>
        <v>1.4144005257970504</v>
      </c>
      <c r="AD373" s="24">
        <f t="shared" ca="1" si="73"/>
        <v>1.8658085950841716</v>
      </c>
      <c r="AE373" s="24">
        <f t="shared" ca="1" si="74"/>
        <v>1.1636696985132315</v>
      </c>
      <c r="AF373" s="24"/>
      <c r="AG373">
        <v>368</v>
      </c>
      <c r="AH373">
        <f t="shared" ca="1" si="80"/>
        <v>316.97441282141392</v>
      </c>
      <c r="AI373">
        <f t="shared" ca="1" si="81"/>
        <v>170.75834464030712</v>
      </c>
      <c r="AJ373">
        <f t="shared" ca="1" si="82"/>
        <v>54.13676743973997</v>
      </c>
      <c r="AL373">
        <v>368</v>
      </c>
      <c r="AM373" s="4">
        <f t="shared" ca="1" si="75"/>
        <v>2.4348533869452016E-2</v>
      </c>
      <c r="AN373" s="4">
        <f t="shared" ca="1" si="76"/>
        <v>3.9561368262445162E-2</v>
      </c>
      <c r="AO373" s="4">
        <f t="shared" ca="1" si="77"/>
        <v>2.0870614480859917E-2</v>
      </c>
      <c r="AP373" s="4">
        <f t="shared" ca="1" si="78"/>
        <v>2.9390291810071644E-2</v>
      </c>
    </row>
    <row r="374" spans="20:42" x14ac:dyDescent="0.3">
      <c r="T374">
        <v>368</v>
      </c>
      <c r="U374" s="4">
        <v>-5.088600057609383E-3</v>
      </c>
      <c r="V374" s="4"/>
      <c r="W374">
        <v>369</v>
      </c>
      <c r="X374">
        <f t="shared" ca="1" si="79"/>
        <v>0.37220271634396157</v>
      </c>
      <c r="Y374">
        <f t="shared" ca="1" si="79"/>
        <v>-0.56451465941032164</v>
      </c>
      <c r="Z374">
        <f t="shared" ca="1" si="79"/>
        <v>-0.36669581627196085</v>
      </c>
      <c r="AB374">
        <v>369</v>
      </c>
      <c r="AC374" s="24">
        <f t="shared" ca="1" si="72"/>
        <v>0.37220271634396157</v>
      </c>
      <c r="AD374" s="24">
        <f t="shared" ca="1" si="73"/>
        <v>4.5723384658018729E-2</v>
      </c>
      <c r="AE374" s="24">
        <f t="shared" ca="1" si="74"/>
        <v>-3.8134314755060433E-2</v>
      </c>
      <c r="AF374" s="24"/>
      <c r="AG374">
        <v>369</v>
      </c>
      <c r="AH374">
        <f t="shared" ca="1" si="80"/>
        <v>311.40644043916456</v>
      </c>
      <c r="AI374">
        <f t="shared" ca="1" si="81"/>
        <v>164.41719186165301</v>
      </c>
      <c r="AJ374">
        <f t="shared" ca="1" si="82"/>
        <v>52.994344574064243</v>
      </c>
      <c r="AL374">
        <v>369</v>
      </c>
      <c r="AM374" s="4">
        <f t="shared" ca="1" si="75"/>
        <v>6.3548280191436657E-3</v>
      </c>
      <c r="AN374" s="4">
        <f t="shared" ca="1" si="76"/>
        <v>9.5700328792758249E-4</v>
      </c>
      <c r="AO374" s="4">
        <f t="shared" ca="1" si="77"/>
        <v>-6.7234029894935876E-4</v>
      </c>
      <c r="AP374" s="4">
        <f t="shared" ca="1" si="78"/>
        <v>2.0875476312293248E-3</v>
      </c>
    </row>
    <row r="375" spans="20:42" x14ac:dyDescent="0.3">
      <c r="T375">
        <v>369</v>
      </c>
      <c r="U375" s="4">
        <v>-5.0500789464192897E-3</v>
      </c>
      <c r="V375" s="4"/>
      <c r="W375">
        <v>370</v>
      </c>
      <c r="X375">
        <f t="shared" ca="1" si="79"/>
        <v>-0.67237610578837037</v>
      </c>
      <c r="Y375">
        <f t="shared" ca="1" si="79"/>
        <v>-0.37056781260003674</v>
      </c>
      <c r="Z375">
        <f t="shared" ca="1" si="79"/>
        <v>-1.6757389086364791</v>
      </c>
      <c r="AB375">
        <v>370</v>
      </c>
      <c r="AC375" s="24">
        <f t="shared" ca="1" si="72"/>
        <v>-0.67237610578837037</v>
      </c>
      <c r="AD375" s="24">
        <f t="shared" ca="1" si="73"/>
        <v>-0.76767953209285977</v>
      </c>
      <c r="AE375" s="24">
        <f t="shared" ca="1" si="74"/>
        <v>-1.5015688926424093</v>
      </c>
      <c r="AF375" s="24"/>
      <c r="AG375">
        <v>370</v>
      </c>
      <c r="AH375">
        <f t="shared" ca="1" si="80"/>
        <v>305.92388853943783</v>
      </c>
      <c r="AI375">
        <f t="shared" ca="1" si="81"/>
        <v>161.65996968925788</v>
      </c>
      <c r="AJ375">
        <f t="shared" ca="1" si="82"/>
        <v>51.63571994952494</v>
      </c>
      <c r="AL375">
        <v>370</v>
      </c>
      <c r="AM375" s="4">
        <f t="shared" ca="1" si="75"/>
        <v>-1.1362829221260751E-2</v>
      </c>
      <c r="AN375" s="4">
        <f t="shared" ca="1" si="76"/>
        <v>-1.5828716087464167E-2</v>
      </c>
      <c r="AO375" s="4">
        <f t="shared" ca="1" si="77"/>
        <v>-2.6292265922438385E-2</v>
      </c>
      <c r="AP375" s="4">
        <f t="shared" ca="1" si="78"/>
        <v>-1.7628014978095408E-2</v>
      </c>
    </row>
    <row r="376" spans="20:42" x14ac:dyDescent="0.3">
      <c r="T376">
        <v>370</v>
      </c>
      <c r="U376" s="4">
        <v>-4.9863649598576813E-3</v>
      </c>
      <c r="V376" s="4"/>
      <c r="W376">
        <v>371</v>
      </c>
      <c r="X376">
        <f t="shared" ca="1" si="79"/>
        <v>-0.68990241447529399</v>
      </c>
      <c r="Y376">
        <f t="shared" ca="1" si="79"/>
        <v>-0.26173676614569213</v>
      </c>
      <c r="Z376">
        <f t="shared" ca="1" si="79"/>
        <v>0.87633956683460335</v>
      </c>
      <c r="AB376">
        <v>371</v>
      </c>
      <c r="AC376" s="24">
        <f t="shared" ca="1" si="72"/>
        <v>-0.68990241447529399</v>
      </c>
      <c r="AD376" s="24">
        <f t="shared" ca="1" si="73"/>
        <v>-0.72930514381585243</v>
      </c>
      <c r="AE376" s="24">
        <f t="shared" ca="1" si="74"/>
        <v>-0.19061251867985041</v>
      </c>
      <c r="AF376" s="24"/>
      <c r="AG376">
        <v>371</v>
      </c>
      <c r="AH376">
        <f t="shared" ca="1" si="80"/>
        <v>305.83272850759232</v>
      </c>
      <c r="AI376">
        <f t="shared" ca="1" si="81"/>
        <v>161.78900341133505</v>
      </c>
      <c r="AJ376">
        <f t="shared" ca="1" si="82"/>
        <v>52.851134390239956</v>
      </c>
      <c r="AL376">
        <v>371</v>
      </c>
      <c r="AM376" s="4">
        <f t="shared" ca="1" si="75"/>
        <v>-1.1657426012646077E-2</v>
      </c>
      <c r="AN376" s="4">
        <f t="shared" ca="1" si="76"/>
        <v>-1.5043170450106946E-2</v>
      </c>
      <c r="AO376" s="4">
        <f t="shared" ca="1" si="77"/>
        <v>-3.3728906878019993E-3</v>
      </c>
      <c r="AP376" s="4">
        <f t="shared" ca="1" si="78"/>
        <v>-1.0526363190177202E-2</v>
      </c>
    </row>
    <row r="377" spans="20:42" x14ac:dyDescent="0.3">
      <c r="T377">
        <v>371</v>
      </c>
      <c r="U377" s="4">
        <v>-4.9304570055483717E-3</v>
      </c>
      <c r="V377" s="4"/>
      <c r="W377">
        <v>372</v>
      </c>
      <c r="X377">
        <f t="shared" ca="1" si="79"/>
        <v>-0.20067668072682171</v>
      </c>
      <c r="Y377">
        <f t="shared" ca="1" si="79"/>
        <v>-0.29466415488260955</v>
      </c>
      <c r="Z377">
        <f t="shared" ca="1" si="79"/>
        <v>0.55355279247423139</v>
      </c>
      <c r="AB377">
        <v>372</v>
      </c>
      <c r="AC377" s="24">
        <f t="shared" ca="1" si="72"/>
        <v>-0.20067668072682171</v>
      </c>
      <c r="AD377" s="24">
        <f t="shared" ca="1" si="73"/>
        <v>-0.3198169067363944</v>
      </c>
      <c r="AE377" s="24">
        <f t="shared" ca="1" si="74"/>
        <v>3.5797881587964597E-2</v>
      </c>
      <c r="AF377" s="24"/>
      <c r="AG377">
        <v>372</v>
      </c>
      <c r="AH377">
        <f t="shared" ca="1" si="80"/>
        <v>308.38758377501676</v>
      </c>
      <c r="AI377">
        <f t="shared" ca="1" si="81"/>
        <v>163.17233568408525</v>
      </c>
      <c r="AJ377">
        <f t="shared" ca="1" si="82"/>
        <v>53.063922609184708</v>
      </c>
      <c r="AL377">
        <v>372</v>
      </c>
      <c r="AM377" s="4">
        <f t="shared" ca="1" si="75"/>
        <v>-3.4010427161514922E-3</v>
      </c>
      <c r="AN377" s="4">
        <f t="shared" ca="1" si="76"/>
        <v>-6.6215686054006406E-3</v>
      </c>
      <c r="AO377" s="4">
        <f t="shared" ca="1" si="77"/>
        <v>6.3971017666997199E-4</v>
      </c>
      <c r="AP377" s="4">
        <f t="shared" ca="1" si="78"/>
        <v>-3.4770272040047122E-3</v>
      </c>
    </row>
    <row r="378" spans="20:42" x14ac:dyDescent="0.3">
      <c r="T378">
        <v>372</v>
      </c>
      <c r="U378" s="4">
        <v>-4.8639130575353516E-3</v>
      </c>
      <c r="V378" s="4"/>
      <c r="W378">
        <v>373</v>
      </c>
      <c r="X378">
        <f t="shared" ca="1" si="79"/>
        <v>-0.87640273775132205</v>
      </c>
      <c r="Y378">
        <f t="shared" ca="1" si="79"/>
        <v>0.20917850358391912</v>
      </c>
      <c r="Z378">
        <f t="shared" ca="1" si="79"/>
        <v>0.16490872373513454</v>
      </c>
      <c r="AB378">
        <v>373</v>
      </c>
      <c r="AC378" s="24">
        <f t="shared" ca="1" si="72"/>
        <v>-0.87640273775132205</v>
      </c>
      <c r="AD378" s="24">
        <f t="shared" ca="1" si="73"/>
        <v>-0.65955475343494996</v>
      </c>
      <c r="AE378" s="24">
        <f t="shared" ca="1" si="74"/>
        <v>-0.57390670465069238</v>
      </c>
      <c r="AF378" s="24"/>
      <c r="AG378">
        <v>373</v>
      </c>
      <c r="AH378">
        <f t="shared" ca="1" si="80"/>
        <v>304.8643605421056</v>
      </c>
      <c r="AI378">
        <f t="shared" ca="1" si="81"/>
        <v>162.02380260030489</v>
      </c>
      <c r="AJ378">
        <f t="shared" ca="1" si="82"/>
        <v>52.492844657895688</v>
      </c>
      <c r="AL378">
        <v>373</v>
      </c>
      <c r="AM378" s="4">
        <f t="shared" ca="1" si="75"/>
        <v>-1.4786846765769579E-2</v>
      </c>
      <c r="AN378" s="4">
        <f t="shared" ca="1" si="76"/>
        <v>-1.3613734209866002E-2</v>
      </c>
      <c r="AO378" s="4">
        <f t="shared" ca="1" si="77"/>
        <v>-1.0129250118158017E-2</v>
      </c>
      <c r="AP378" s="4">
        <f t="shared" ca="1" si="78"/>
        <v>-1.292032274912468E-2</v>
      </c>
    </row>
    <row r="379" spans="20:42" x14ac:dyDescent="0.3">
      <c r="T379">
        <v>373</v>
      </c>
      <c r="U379" s="4">
        <v>-4.7900722687180489E-3</v>
      </c>
      <c r="V379" s="4"/>
      <c r="W379">
        <v>374</v>
      </c>
      <c r="X379">
        <f t="shared" ca="1" si="79"/>
        <v>-1.0319356054442661</v>
      </c>
      <c r="Y379">
        <f t="shared" ca="1" si="79"/>
        <v>1.6116123787163199</v>
      </c>
      <c r="Z379">
        <f t="shared" ca="1" si="79"/>
        <v>1.5536061009325417</v>
      </c>
      <c r="AB379">
        <v>374</v>
      </c>
      <c r="AC379" s="24">
        <f t="shared" ca="1" si="72"/>
        <v>-1.0319356054442661</v>
      </c>
      <c r="AD379" s="24">
        <f t="shared" ca="1" si="73"/>
        <v>-0.10386102369015948</v>
      </c>
      <c r="AE379" s="24">
        <f t="shared" ca="1" si="74"/>
        <v>0.39106575227962437</v>
      </c>
      <c r="AF379" s="24"/>
      <c r="AG379">
        <v>374</v>
      </c>
      <c r="AH379">
        <f t="shared" ca="1" si="80"/>
        <v>304.05913045412609</v>
      </c>
      <c r="AI379">
        <f t="shared" ca="1" si="81"/>
        <v>163.90663468576076</v>
      </c>
      <c r="AJ379">
        <f t="shared" ca="1" si="82"/>
        <v>53.399543652673373</v>
      </c>
      <c r="AL379">
        <v>374</v>
      </c>
      <c r="AM379" s="4">
        <f t="shared" ca="1" si="75"/>
        <v>-1.7389063937519933E-2</v>
      </c>
      <c r="AN379" s="4">
        <f t="shared" ca="1" si="76"/>
        <v>-2.1512226524489364E-3</v>
      </c>
      <c r="AO379" s="4">
        <f t="shared" ca="1" si="77"/>
        <v>6.9686004503708432E-3</v>
      </c>
      <c r="AP379" s="4">
        <f t="shared" ca="1" si="78"/>
        <v>-3.9866281071243015E-3</v>
      </c>
    </row>
    <row r="380" spans="20:42" x14ac:dyDescent="0.3">
      <c r="T380">
        <v>374</v>
      </c>
      <c r="U380" s="4">
        <v>-4.7633005264331677E-3</v>
      </c>
      <c r="V380" s="4"/>
      <c r="W380">
        <v>375</v>
      </c>
      <c r="X380">
        <f t="shared" ca="1" si="79"/>
        <v>0.87937290611946872</v>
      </c>
      <c r="Y380">
        <f t="shared" ca="1" si="79"/>
        <v>0.47358210224895819</v>
      </c>
      <c r="Z380">
        <f t="shared" ca="1" si="79"/>
        <v>0.8965556881848783</v>
      </c>
      <c r="AB380">
        <v>375</v>
      </c>
      <c r="AC380" s="24">
        <f t="shared" ca="1" si="72"/>
        <v>0.87937290611946872</v>
      </c>
      <c r="AD380" s="24">
        <f t="shared" ca="1" si="73"/>
        <v>0.9985625669397421</v>
      </c>
      <c r="AE380" s="24">
        <f t="shared" ca="1" si="74"/>
        <v>1.3035144273985506</v>
      </c>
      <c r="AF380" s="24"/>
      <c r="AG380">
        <v>375</v>
      </c>
      <c r="AH380">
        <f t="shared" ca="1" si="80"/>
        <v>314.10368739903794</v>
      </c>
      <c r="AI380">
        <f t="shared" ca="1" si="81"/>
        <v>167.70693381997771</v>
      </c>
      <c r="AJ380">
        <f t="shared" ca="1" si="82"/>
        <v>54.27129198597018</v>
      </c>
      <c r="AL380">
        <v>375</v>
      </c>
      <c r="AM380" s="4">
        <f t="shared" ca="1" si="75"/>
        <v>1.5071370607667278E-2</v>
      </c>
      <c r="AN380" s="4">
        <f t="shared" ca="1" si="76"/>
        <v>2.0984654988523532E-2</v>
      </c>
      <c r="AO380" s="4">
        <f t="shared" ca="1" si="77"/>
        <v>2.3407377621098346E-2</v>
      </c>
      <c r="AP380" s="4">
        <f t="shared" ca="1" si="78"/>
        <v>1.99374864640391E-2</v>
      </c>
    </row>
    <row r="381" spans="20:42" x14ac:dyDescent="0.3">
      <c r="T381">
        <v>375</v>
      </c>
      <c r="U381" s="4">
        <v>-4.7538808359533155E-3</v>
      </c>
      <c r="V381" s="4"/>
      <c r="W381">
        <v>376</v>
      </c>
      <c r="X381">
        <f t="shared" ca="1" si="79"/>
        <v>-0.12584639246779794</v>
      </c>
      <c r="Y381">
        <f t="shared" ca="1" si="79"/>
        <v>-0.16650251617730499</v>
      </c>
      <c r="Z381">
        <f t="shared" ca="1" si="79"/>
        <v>-0.62436108194202322</v>
      </c>
      <c r="AB381">
        <v>376</v>
      </c>
      <c r="AC381" s="24">
        <f t="shared" ca="1" si="72"/>
        <v>-0.12584639246779794</v>
      </c>
      <c r="AD381" s="24">
        <f t="shared" ca="1" si="73"/>
        <v>-0.19155100355427726</v>
      </c>
      <c r="AE381" s="24">
        <f t="shared" ca="1" si="74"/>
        <v>-0.46555458635879127</v>
      </c>
      <c r="AF381" s="24"/>
      <c r="AG381">
        <v>376</v>
      </c>
      <c r="AH381">
        <f t="shared" ca="1" si="80"/>
        <v>308.78024315549413</v>
      </c>
      <c r="AI381">
        <f t="shared" ca="1" si="81"/>
        <v>163.60807122153986</v>
      </c>
      <c r="AJ381">
        <f t="shared" ca="1" si="82"/>
        <v>52.593881373757114</v>
      </c>
      <c r="AL381">
        <v>376</v>
      </c>
      <c r="AM381" s="4">
        <f t="shared" ca="1" si="75"/>
        <v>-2.1321072928727203E-3</v>
      </c>
      <c r="AN381" s="4">
        <f t="shared" ca="1" si="76"/>
        <v>-3.9688500371161117E-3</v>
      </c>
      <c r="AO381" s="4">
        <f t="shared" ca="1" si="77"/>
        <v>-8.2239754022009892E-3</v>
      </c>
      <c r="AP381" s="4">
        <f t="shared" ca="1" si="78"/>
        <v>-4.6943648233685568E-3</v>
      </c>
    </row>
    <row r="382" spans="20:42" x14ac:dyDescent="0.3">
      <c r="T382">
        <v>376</v>
      </c>
      <c r="U382" s="4">
        <v>-4.6943696642102626E-3</v>
      </c>
      <c r="V382" s="4"/>
      <c r="W382">
        <v>377</v>
      </c>
      <c r="X382">
        <f t="shared" ca="1" si="79"/>
        <v>-3.7300607986871556E-2</v>
      </c>
      <c r="Y382">
        <f t="shared" ca="1" si="79"/>
        <v>-0.10811765108602871</v>
      </c>
      <c r="Z382">
        <f t="shared" ca="1" si="79"/>
        <v>-0.62417375017765664</v>
      </c>
      <c r="AB382">
        <v>377</v>
      </c>
      <c r="AC382" s="24">
        <f t="shared" ca="1" si="72"/>
        <v>-3.7300607986871556E-2</v>
      </c>
      <c r="AD382" s="24">
        <f t="shared" ca="1" si="73"/>
        <v>-8.5731979248571011E-2</v>
      </c>
      <c r="AE382" s="24">
        <f t="shared" ca="1" si="74"/>
        <v>-0.37706912064971132</v>
      </c>
      <c r="AF382" s="24"/>
      <c r="AG382">
        <v>377</v>
      </c>
      <c r="AH382">
        <f t="shared" ca="1" si="80"/>
        <v>309.24551816374213</v>
      </c>
      <c r="AI382">
        <f t="shared" ca="1" si="81"/>
        <v>163.96842768863596</v>
      </c>
      <c r="AJ382">
        <f t="shared" ca="1" si="82"/>
        <v>52.676536974674384</v>
      </c>
      <c r="AL382">
        <v>377</v>
      </c>
      <c r="AM382" s="4">
        <f t="shared" ca="1" si="75"/>
        <v>-6.2850399473068919E-4</v>
      </c>
      <c r="AN382" s="4">
        <f t="shared" ca="1" si="76"/>
        <v>-1.775032436074464E-3</v>
      </c>
      <c r="AO382" s="4">
        <f t="shared" ca="1" si="77"/>
        <v>-6.6653179852684818E-3</v>
      </c>
      <c r="AP382" s="4">
        <f t="shared" ca="1" si="78"/>
        <v>-2.8981595684295369E-3</v>
      </c>
    </row>
    <row r="383" spans="20:42" x14ac:dyDescent="0.3">
      <c r="T383">
        <v>377</v>
      </c>
      <c r="U383" s="4">
        <v>-4.6844805754911126E-3</v>
      </c>
      <c r="V383" s="4"/>
      <c r="W383">
        <v>378</v>
      </c>
      <c r="X383">
        <f t="shared" ca="1" si="79"/>
        <v>1.6848406448402227</v>
      </c>
      <c r="Y383">
        <f t="shared" ca="1" si="79"/>
        <v>0.43384572761522489</v>
      </c>
      <c r="Z383">
        <f t="shared" ca="1" si="79"/>
        <v>-1.8252813706666209</v>
      </c>
      <c r="AB383">
        <v>378</v>
      </c>
      <c r="AC383" s="24">
        <f t="shared" ca="1" si="72"/>
        <v>1.6848406448402227</v>
      </c>
      <c r="AD383" s="24">
        <f t="shared" ca="1" si="73"/>
        <v>1.6798821924342235</v>
      </c>
      <c r="AE383" s="24">
        <f t="shared" ca="1" si="74"/>
        <v>0.56861525132226143</v>
      </c>
      <c r="AF383" s="24"/>
      <c r="AG383">
        <v>378</v>
      </c>
      <c r="AH383">
        <f t="shared" ca="1" si="80"/>
        <v>318.43544452594682</v>
      </c>
      <c r="AI383">
        <f t="shared" ca="1" si="81"/>
        <v>170.0995199742807</v>
      </c>
      <c r="AJ383">
        <f t="shared" ca="1" si="82"/>
        <v>53.568069097653819</v>
      </c>
      <c r="AL383">
        <v>378</v>
      </c>
      <c r="AM383" s="4">
        <f t="shared" ca="1" si="75"/>
        <v>2.9070068554708284E-2</v>
      </c>
      <c r="AN383" s="4">
        <f t="shared" ca="1" si="76"/>
        <v>3.5550503243214848E-2</v>
      </c>
      <c r="AO383" s="4">
        <f t="shared" ca="1" si="77"/>
        <v>1.014652707416408E-2</v>
      </c>
      <c r="AP383" s="4">
        <f t="shared" ca="1" si="78"/>
        <v>2.5985179985947647E-2</v>
      </c>
    </row>
    <row r="384" spans="20:42" x14ac:dyDescent="0.3">
      <c r="T384">
        <v>378</v>
      </c>
      <c r="U384" s="4">
        <v>-4.6632223578228381E-3</v>
      </c>
      <c r="V384" s="4"/>
      <c r="W384">
        <v>379</v>
      </c>
      <c r="X384">
        <f t="shared" ca="1" si="79"/>
        <v>1.6567088225353104</v>
      </c>
      <c r="Y384">
        <f t="shared" ca="1" si="79"/>
        <v>-1.79178739329874</v>
      </c>
      <c r="Z384">
        <f t="shared" ca="1" si="79"/>
        <v>1.5624810187468368</v>
      </c>
      <c r="AB384">
        <v>379</v>
      </c>
      <c r="AC384" s="24">
        <f t="shared" ca="1" si="72"/>
        <v>1.6567088225353104</v>
      </c>
      <c r="AD384" s="24">
        <f t="shared" ca="1" si="73"/>
        <v>0.55874478385496773</v>
      </c>
      <c r="AE384" s="24">
        <f t="shared" ca="1" si="74"/>
        <v>1.6506167300800956</v>
      </c>
      <c r="AF384" s="24"/>
      <c r="AG384">
        <v>379</v>
      </c>
      <c r="AH384">
        <f t="shared" ca="1" si="80"/>
        <v>318.28315124942117</v>
      </c>
      <c r="AI384">
        <f t="shared" ca="1" si="81"/>
        <v>166.18033254362302</v>
      </c>
      <c r="AJ384">
        <f t="shared" ca="1" si="82"/>
        <v>54.606635610745229</v>
      </c>
      <c r="AL384">
        <v>379</v>
      </c>
      <c r="AM384" s="4">
        <f t="shared" ca="1" si="75"/>
        <v>2.8577910865579259E-2</v>
      </c>
      <c r="AN384" s="4">
        <f t="shared" ca="1" si="76"/>
        <v>1.1690844399170564E-2</v>
      </c>
      <c r="AO384" s="4">
        <f t="shared" ca="1" si="77"/>
        <v>2.9731036540471489E-2</v>
      </c>
      <c r="AP384" s="4">
        <f t="shared" ca="1" si="78"/>
        <v>2.2169021981483451E-2</v>
      </c>
    </row>
    <row r="385" spans="20:42" x14ac:dyDescent="0.3">
      <c r="T385">
        <v>379</v>
      </c>
      <c r="U385" s="4">
        <v>-4.5843621974183905E-3</v>
      </c>
      <c r="V385" s="4"/>
      <c r="W385">
        <v>380</v>
      </c>
      <c r="X385">
        <f t="shared" ca="1" si="79"/>
        <v>-1.2824940402274365</v>
      </c>
      <c r="Y385">
        <f t="shared" ca="1" si="79"/>
        <v>2.3912669603480317</v>
      </c>
      <c r="Z385">
        <f t="shared" ca="1" si="79"/>
        <v>-1.2796779818913164</v>
      </c>
      <c r="AB385">
        <v>380</v>
      </c>
      <c r="AC385" s="24">
        <f t="shared" ca="1" si="72"/>
        <v>-1.2824940402274365</v>
      </c>
      <c r="AD385" s="24">
        <f t="shared" ca="1" si="73"/>
        <v>6.2275595774953452E-2</v>
      </c>
      <c r="AE385" s="24">
        <f t="shared" ca="1" si="74"/>
        <v>-1.0361613452107075</v>
      </c>
      <c r="AF385" s="24"/>
      <c r="AG385">
        <v>380</v>
      </c>
      <c r="AH385">
        <f t="shared" ca="1" si="80"/>
        <v>302.76640126571073</v>
      </c>
      <c r="AI385">
        <f t="shared" ca="1" si="81"/>
        <v>164.47378502595114</v>
      </c>
      <c r="AJ385">
        <f t="shared" ca="1" si="82"/>
        <v>52.06397502518049</v>
      </c>
      <c r="AL385">
        <v>380</v>
      </c>
      <c r="AM385" s="4">
        <f t="shared" ca="1" si="75"/>
        <v>-2.1566704766811662E-2</v>
      </c>
      <c r="AN385" s="4">
        <f t="shared" ca="1" si="76"/>
        <v>1.3015373570297584E-3</v>
      </c>
      <c r="AO385" s="4">
        <f t="shared" ca="1" si="77"/>
        <v>-1.8216552448676482E-2</v>
      </c>
      <c r="AP385" s="4">
        <f t="shared" ca="1" si="78"/>
        <v>-1.1414362221834539E-2</v>
      </c>
    </row>
    <row r="386" spans="20:42" x14ac:dyDescent="0.3">
      <c r="T386">
        <v>380</v>
      </c>
      <c r="U386" s="4">
        <v>-4.5746607843494148E-3</v>
      </c>
      <c r="V386" s="4"/>
      <c r="W386">
        <v>381</v>
      </c>
      <c r="X386">
        <f t="shared" ca="1" si="79"/>
        <v>7.9235197514658615E-2</v>
      </c>
      <c r="Y386">
        <f t="shared" ca="1" si="79"/>
        <v>-0.53887880308795288</v>
      </c>
      <c r="Z386">
        <f t="shared" ca="1" si="79"/>
        <v>0.24255357165537372</v>
      </c>
      <c r="AB386">
        <v>381</v>
      </c>
      <c r="AC386" s="24">
        <f t="shared" ca="1" si="72"/>
        <v>7.9235197514658615E-2</v>
      </c>
      <c r="AD386" s="24">
        <f t="shared" ca="1" si="73"/>
        <v>-0.19657834052052198</v>
      </c>
      <c r="AE386" s="24">
        <f t="shared" ca="1" si="74"/>
        <v>3.9017924449566338E-2</v>
      </c>
      <c r="AF386" s="24"/>
      <c r="AG386">
        <v>381</v>
      </c>
      <c r="AH386">
        <f t="shared" ca="1" si="80"/>
        <v>309.85893898094008</v>
      </c>
      <c r="AI386">
        <f t="shared" ca="1" si="81"/>
        <v>163.59097083117203</v>
      </c>
      <c r="AJ386">
        <f t="shared" ca="1" si="82"/>
        <v>53.066955086043073</v>
      </c>
      <c r="AL386">
        <v>381</v>
      </c>
      <c r="AM386" s="4">
        <f t="shared" ca="1" si="75"/>
        <v>1.3538538528592436E-3</v>
      </c>
      <c r="AN386" s="4">
        <f t="shared" ca="1" si="76"/>
        <v>-4.0729556680652035E-3</v>
      </c>
      <c r="AO386" s="4">
        <f t="shared" ca="1" si="77"/>
        <v>6.9689435408215594E-4</v>
      </c>
      <c r="AP386" s="4">
        <f t="shared" ca="1" si="78"/>
        <v>-1.0139578051436616E-3</v>
      </c>
    </row>
    <row r="387" spans="20:42" x14ac:dyDescent="0.3">
      <c r="T387">
        <v>381</v>
      </c>
      <c r="U387" s="4">
        <v>-4.5702332322053009E-3</v>
      </c>
      <c r="V387" s="4"/>
      <c r="W387">
        <v>382</v>
      </c>
      <c r="X387">
        <f t="shared" ca="1" si="79"/>
        <v>0.57838354578757056</v>
      </c>
      <c r="Y387">
        <f t="shared" ca="1" si="79"/>
        <v>-1.0315725349396869</v>
      </c>
      <c r="Z387">
        <f t="shared" ca="1" si="79"/>
        <v>1.0882535641634301</v>
      </c>
      <c r="AB387">
        <v>382</v>
      </c>
      <c r="AC387" s="24">
        <f t="shared" ca="1" si="72"/>
        <v>0.57838354578757056</v>
      </c>
      <c r="AD387" s="24">
        <f t="shared" ca="1" si="73"/>
        <v>-5.0007952826806035E-3</v>
      </c>
      <c r="AE387" s="24">
        <f t="shared" ca="1" si="74"/>
        <v>0.73963562965012075</v>
      </c>
      <c r="AF387" s="24"/>
      <c r="AG387">
        <v>382</v>
      </c>
      <c r="AH387">
        <f t="shared" ca="1" si="80"/>
        <v>312.50015187051059</v>
      </c>
      <c r="AI387">
        <f t="shared" ca="1" si="81"/>
        <v>164.24388359758706</v>
      </c>
      <c r="AJ387">
        <f t="shared" ca="1" si="82"/>
        <v>53.730900126286045</v>
      </c>
      <c r="AL387">
        <v>382</v>
      </c>
      <c r="AM387" s="4">
        <f t="shared" ca="1" si="75"/>
        <v>9.8893142611191642E-3</v>
      </c>
      <c r="AN387" s="4">
        <f t="shared" ca="1" si="76"/>
        <v>-9.8081759325019391E-5</v>
      </c>
      <c r="AO387" s="4">
        <f t="shared" ca="1" si="77"/>
        <v>1.3217072659313045E-2</v>
      </c>
      <c r="AP387" s="4">
        <f t="shared" ca="1" si="78"/>
        <v>6.8926833723996547E-3</v>
      </c>
    </row>
    <row r="388" spans="20:42" x14ac:dyDescent="0.3">
      <c r="T388">
        <v>382</v>
      </c>
      <c r="U388" s="4">
        <v>-4.5319133041863517E-3</v>
      </c>
      <c r="V388" s="4"/>
      <c r="W388">
        <v>383</v>
      </c>
      <c r="X388">
        <f t="shared" ca="1" si="79"/>
        <v>0.37016394262495395</v>
      </c>
      <c r="Y388">
        <f t="shared" ca="1" si="79"/>
        <v>-0.44274035452618549</v>
      </c>
      <c r="Z388">
        <f t="shared" ca="1" si="79"/>
        <v>-0.70360599749092645</v>
      </c>
      <c r="AB388">
        <v>383</v>
      </c>
      <c r="AC388" s="24">
        <f t="shared" ca="1" si="72"/>
        <v>0.37016394262495395</v>
      </c>
      <c r="AD388" s="24">
        <f t="shared" ca="1" si="73"/>
        <v>0.10395232307350355</v>
      </c>
      <c r="AE388" s="24">
        <f t="shared" ca="1" si="74"/>
        <v>-0.17717017028008902</v>
      </c>
      <c r="AF388" s="24"/>
      <c r="AG388">
        <v>383</v>
      </c>
      <c r="AH388">
        <f t="shared" ca="1" si="80"/>
        <v>311.39564464927093</v>
      </c>
      <c r="AI388">
        <f t="shared" ca="1" si="81"/>
        <v>164.61636695075396</v>
      </c>
      <c r="AJ388">
        <f t="shared" ca="1" si="82"/>
        <v>52.863744107456071</v>
      </c>
      <c r="AL388">
        <v>383</v>
      </c>
      <c r="AM388" s="4">
        <f t="shared" ca="1" si="75"/>
        <v>6.3199398669706586E-3</v>
      </c>
      <c r="AN388" s="4">
        <f t="shared" ca="1" si="76"/>
        <v>2.1695632280331889E-3</v>
      </c>
      <c r="AO388" s="4">
        <f t="shared" ca="1" si="77"/>
        <v>-3.1351060846268597E-3</v>
      </c>
      <c r="AP388" s="4">
        <f t="shared" ca="1" si="78"/>
        <v>1.8232754259164151E-3</v>
      </c>
    </row>
    <row r="389" spans="20:42" x14ac:dyDescent="0.3">
      <c r="T389">
        <v>383</v>
      </c>
      <c r="U389" s="4">
        <v>-4.4996903021422112E-3</v>
      </c>
      <c r="V389" s="4"/>
      <c r="W389">
        <v>384</v>
      </c>
      <c r="X389">
        <f t="shared" ca="1" si="79"/>
        <v>1.6142983546507828</v>
      </c>
      <c r="Y389">
        <f t="shared" ca="1" si="79"/>
        <v>-1.4934848088854127</v>
      </c>
      <c r="Z389">
        <f t="shared" ca="1" si="79"/>
        <v>2.4163022194436916</v>
      </c>
      <c r="AB389">
        <v>384</v>
      </c>
      <c r="AC389" s="24">
        <f t="shared" ca="1" si="72"/>
        <v>1.6142983546507828</v>
      </c>
      <c r="AD389" s="24">
        <f t="shared" ca="1" si="73"/>
        <v>0.6688256997554789</v>
      </c>
      <c r="AE389" s="24">
        <f t="shared" ca="1" si="74"/>
        <v>2.1316730762753089</v>
      </c>
      <c r="AF389" s="24"/>
      <c r="AG389">
        <v>384</v>
      </c>
      <c r="AH389">
        <f t="shared" ca="1" si="80"/>
        <v>318.05369734239622</v>
      </c>
      <c r="AI389">
        <f t="shared" ca="1" si="81"/>
        <v>166.56111308744821</v>
      </c>
      <c r="AJ389">
        <f t="shared" ca="1" si="82"/>
        <v>55.074823977883597</v>
      </c>
      <c r="AL389">
        <v>384</v>
      </c>
      <c r="AM389" s="4">
        <f t="shared" ca="1" si="75"/>
        <v>2.783639746972022E-2</v>
      </c>
      <c r="AN389" s="4">
        <f t="shared" ca="1" si="76"/>
        <v>1.4009001933318999E-2</v>
      </c>
      <c r="AO389" s="4">
        <f t="shared" ca="1" si="77"/>
        <v>3.8559782116855512E-2</v>
      </c>
      <c r="AP389" s="4">
        <f t="shared" ca="1" si="78"/>
        <v>2.5522454649300318E-2</v>
      </c>
    </row>
    <row r="390" spans="20:42" x14ac:dyDescent="0.3">
      <c r="T390">
        <v>384</v>
      </c>
      <c r="U390" s="4">
        <v>-4.4354774287099991E-3</v>
      </c>
      <c r="V390" s="4"/>
      <c r="W390">
        <v>385</v>
      </c>
      <c r="X390">
        <f t="shared" ca="1" si="79"/>
        <v>1.3302136615869042</v>
      </c>
      <c r="Y390">
        <f t="shared" ca="1" si="79"/>
        <v>-5.6145047969521099E-2</v>
      </c>
      <c r="Z390">
        <f t="shared" ca="1" si="79"/>
        <v>-0.22095151178939704</v>
      </c>
      <c r="AB390">
        <v>385</v>
      </c>
      <c r="AC390" s="24">
        <f t="shared" ref="AC390:AC453" ca="1" si="83">SUMPRODUCT($Q$24:$S$24,X390:Z390)</f>
        <v>1.3302136615869042</v>
      </c>
      <c r="AD390" s="24">
        <f t="shared" ref="AD390:AD453" ca="1" si="84">SUMPRODUCT($Q$25:$S$25,X390:Z390)</f>
        <v>1.1298561324860097</v>
      </c>
      <c r="AE390" s="24">
        <f t="shared" ref="AE390:AE453" ca="1" si="85">SUMPRODUCT($Q$26:$S$26,X390:Z390)</f>
        <v>0.95812115389637398</v>
      </c>
      <c r="AF390" s="24"/>
      <c r="AG390">
        <v>385</v>
      </c>
      <c r="AH390">
        <f t="shared" ca="1" si="80"/>
        <v>316.5209694559685</v>
      </c>
      <c r="AI390">
        <f t="shared" ca="1" si="81"/>
        <v>168.16536417262705</v>
      </c>
      <c r="AJ390">
        <f t="shared" ca="1" si="82"/>
        <v>53.939643701567526</v>
      </c>
      <c r="AL390">
        <v>385</v>
      </c>
      <c r="AM390" s="4">
        <f t="shared" ref="AM390:AM453" ca="1" si="86">AH390/$AH$2-1</f>
        <v>2.2883166231564722E-2</v>
      </c>
      <c r="AN390" s="4">
        <f t="shared" ref="AN390:AN453" ca="1" si="87">AI390/$AI$2-1</f>
        <v>2.377553754045425E-2</v>
      </c>
      <c r="AO390" s="4">
        <f t="shared" ref="AO390:AO453" ca="1" si="88">AJ390/$AJ$2-1</f>
        <v>1.7153402662831274E-2</v>
      </c>
      <c r="AP390" s="4">
        <f t="shared" ref="AP390:AP453" ca="1" si="89">SUMPRODUCT($P$6:$R$6,AM390:AO390)</f>
        <v>2.1521185684500496E-2</v>
      </c>
    </row>
    <row r="391" spans="20:42" x14ac:dyDescent="0.3">
      <c r="T391">
        <v>385</v>
      </c>
      <c r="U391" s="4">
        <v>-4.3702250832862617E-3</v>
      </c>
      <c r="V391" s="4"/>
      <c r="W391">
        <v>386</v>
      </c>
      <c r="X391">
        <f t="shared" ref="X391:Z454" ca="1" si="90">_xlfn.NORM.S.INV(RAND())</f>
        <v>-0.98595458715992801</v>
      </c>
      <c r="Y391">
        <f t="shared" ca="1" si="90"/>
        <v>-0.19009106786363475</v>
      </c>
      <c r="Z391">
        <f t="shared" ca="1" si="90"/>
        <v>-0.79099380261212404</v>
      </c>
      <c r="AB391">
        <v>386</v>
      </c>
      <c r="AC391" s="24">
        <f t="shared" ca="1" si="83"/>
        <v>-0.98595458715992801</v>
      </c>
      <c r="AD391" s="24">
        <f t="shared" ca="1" si="84"/>
        <v>-0.95162018834382589</v>
      </c>
      <c r="AE391" s="24">
        <f t="shared" ca="1" si="85"/>
        <v>-1.2586782255298439</v>
      </c>
      <c r="AF391" s="24"/>
      <c r="AG391">
        <v>386</v>
      </c>
      <c r="AH391">
        <f t="shared" ref="AH391:AH454" ca="1" si="91">$L$21*EXP(($L$19-(($L$20^2)/2))*(1/252)+$L$20*AC391)</f>
        <v>304.29696326275661</v>
      </c>
      <c r="AI391">
        <f t="shared" ref="AI391:AI454" ca="1" si="92">$M$21*EXP(($M$19-(($M$20^2)/2))*(1/252)+$M$20*AD391)</f>
        <v>161.04289741695044</v>
      </c>
      <c r="AJ391">
        <f t="shared" ref="AJ391:AJ454" ca="1" si="93">$N$21*EXP(($N$19-(($N$20^2)/2))*(1/252)+$N$20*AE391)</f>
        <v>51.858779854152637</v>
      </c>
      <c r="AL391">
        <v>386</v>
      </c>
      <c r="AM391" s="4">
        <f t="shared" ca="1" si="86"/>
        <v>-1.6620472912590833E-2</v>
      </c>
      <c r="AN391" s="4">
        <f t="shared" ca="1" si="87"/>
        <v>-1.9585396307502556E-2</v>
      </c>
      <c r="AO391" s="4">
        <f t="shared" ca="1" si="88"/>
        <v>-2.2085969302367947E-2</v>
      </c>
      <c r="AP391" s="4">
        <f t="shared" ca="1" si="89"/>
        <v>-1.9446091187488655E-2</v>
      </c>
    </row>
    <row r="392" spans="20:42" x14ac:dyDescent="0.3">
      <c r="T392">
        <v>386</v>
      </c>
      <c r="U392" s="4">
        <v>-4.3202260891186508E-3</v>
      </c>
      <c r="V392" s="4"/>
      <c r="W392">
        <v>387</v>
      </c>
      <c r="X392">
        <f t="shared" ca="1" si="90"/>
        <v>3.6426839058117041E-2</v>
      </c>
      <c r="Y392">
        <f t="shared" ca="1" si="90"/>
        <v>0.42858645817941532</v>
      </c>
      <c r="Z392">
        <f t="shared" ca="1" si="90"/>
        <v>1.5660647728797312</v>
      </c>
      <c r="AB392">
        <v>387</v>
      </c>
      <c r="AC392" s="24">
        <f t="shared" ca="1" si="83"/>
        <v>3.6426839058117041E-2</v>
      </c>
      <c r="AD392" s="24">
        <f t="shared" ca="1" si="84"/>
        <v>0.24287934307531703</v>
      </c>
      <c r="AE392" s="24">
        <f t="shared" ca="1" si="85"/>
        <v>0.94284454641487003</v>
      </c>
      <c r="AF392" s="24"/>
      <c r="AG392">
        <v>387</v>
      </c>
      <c r="AH392">
        <f t="shared" ca="1" si="91"/>
        <v>309.63346321080024</v>
      </c>
      <c r="AI392">
        <f t="shared" ca="1" si="92"/>
        <v>165.09254910527025</v>
      </c>
      <c r="AJ392">
        <f t="shared" ca="1" si="93"/>
        <v>53.925021922891624</v>
      </c>
      <c r="AL392">
        <v>387</v>
      </c>
      <c r="AM392" s="4">
        <f t="shared" ca="1" si="86"/>
        <v>6.2519638013136536E-4</v>
      </c>
      <c r="AN392" s="4">
        <f t="shared" ca="1" si="87"/>
        <v>5.0685171452420352E-3</v>
      </c>
      <c r="AO392" s="4">
        <f t="shared" ca="1" si="88"/>
        <v>1.687767611158697E-2</v>
      </c>
      <c r="AP392" s="4">
        <f t="shared" ca="1" si="89"/>
        <v>7.2782686056123147E-3</v>
      </c>
    </row>
    <row r="393" spans="20:42" x14ac:dyDescent="0.3">
      <c r="T393">
        <v>387</v>
      </c>
      <c r="U393" s="4">
        <v>-4.3186182476826155E-3</v>
      </c>
      <c r="V393" s="4"/>
      <c r="W393">
        <v>388</v>
      </c>
      <c r="X393">
        <f t="shared" ca="1" si="90"/>
        <v>-0.10297767934839075</v>
      </c>
      <c r="Y393">
        <f t="shared" ca="1" si="90"/>
        <v>-0.91714757348777942</v>
      </c>
      <c r="Z393">
        <f t="shared" ca="1" si="90"/>
        <v>-0.80965638636307935</v>
      </c>
      <c r="AB393">
        <v>388</v>
      </c>
      <c r="AC393" s="24">
        <f t="shared" ca="1" si="83"/>
        <v>-0.10297767934839075</v>
      </c>
      <c r="AD393" s="24">
        <f t="shared" ca="1" si="84"/>
        <v>-0.54152378551931402</v>
      </c>
      <c r="AE393" s="24">
        <f t="shared" ca="1" si="85"/>
        <v>-0.74814179279119575</v>
      </c>
      <c r="AF393" s="24"/>
      <c r="AG393">
        <v>388</v>
      </c>
      <c r="AH393">
        <f t="shared" ca="1" si="91"/>
        <v>308.90034260356526</v>
      </c>
      <c r="AI393">
        <f t="shared" ca="1" si="92"/>
        <v>162.42190407663054</v>
      </c>
      <c r="AJ393">
        <f t="shared" ca="1" si="93"/>
        <v>52.330779919317571</v>
      </c>
      <c r="AL393">
        <v>388</v>
      </c>
      <c r="AM393" s="4">
        <f t="shared" ca="1" si="86"/>
        <v>-1.7439886038747021E-3</v>
      </c>
      <c r="AN393" s="4">
        <f t="shared" ca="1" si="87"/>
        <v>-1.1190128404198751E-2</v>
      </c>
      <c r="AO393" s="4">
        <f t="shared" ca="1" si="88"/>
        <v>-1.3185345579381891E-2</v>
      </c>
      <c r="AP393" s="4">
        <f t="shared" ca="1" si="89"/>
        <v>-8.9548516166564791E-3</v>
      </c>
    </row>
    <row r="394" spans="20:42" x14ac:dyDescent="0.3">
      <c r="T394">
        <v>388</v>
      </c>
      <c r="U394" s="4">
        <v>-4.3114416282579275E-3</v>
      </c>
      <c r="V394" s="4"/>
      <c r="W394">
        <v>389</v>
      </c>
      <c r="X394">
        <f t="shared" ca="1" si="90"/>
        <v>0.73350880485261993</v>
      </c>
      <c r="Y394">
        <f t="shared" ca="1" si="90"/>
        <v>-1.6216632358940775</v>
      </c>
      <c r="Z394">
        <f t="shared" ca="1" si="90"/>
        <v>0.84371372670714362</v>
      </c>
      <c r="AB394">
        <v>389</v>
      </c>
      <c r="AC394" s="24">
        <f t="shared" ca="1" si="83"/>
        <v>0.73350880485261993</v>
      </c>
      <c r="AD394" s="24">
        <f t="shared" ca="1" si="84"/>
        <v>-0.16077550141771069</v>
      </c>
      <c r="AE394" s="24">
        <f t="shared" ca="1" si="85"/>
        <v>0.57925273615285211</v>
      </c>
      <c r="AF394" s="24"/>
      <c r="AG394">
        <v>389</v>
      </c>
      <c r="AH394">
        <f t="shared" ca="1" si="91"/>
        <v>313.32556431498369</v>
      </c>
      <c r="AI394">
        <f t="shared" ca="1" si="92"/>
        <v>163.71279247388017</v>
      </c>
      <c r="AJ394">
        <f t="shared" ca="1" si="93"/>
        <v>53.578182796626876</v>
      </c>
      <c r="AL394">
        <v>389</v>
      </c>
      <c r="AM394" s="4">
        <f t="shared" ca="1" si="86"/>
        <v>1.2556753628882866E-2</v>
      </c>
      <c r="AN394" s="4">
        <f t="shared" ca="1" si="87"/>
        <v>-3.3313165180464122E-3</v>
      </c>
      <c r="AO394" s="4">
        <f t="shared" ca="1" si="88"/>
        <v>1.0337243634712223E-2</v>
      </c>
      <c r="AP394" s="4">
        <f t="shared" ca="1" si="89"/>
        <v>5.5356725718599623E-3</v>
      </c>
    </row>
    <row r="395" spans="20:42" x14ac:dyDescent="0.3">
      <c r="T395">
        <v>389</v>
      </c>
      <c r="U395" s="4">
        <v>-4.2719174002127207E-3</v>
      </c>
      <c r="V395" s="4"/>
      <c r="W395">
        <v>390</v>
      </c>
      <c r="X395">
        <f t="shared" ca="1" si="90"/>
        <v>0.35432810819581628</v>
      </c>
      <c r="Y395">
        <f t="shared" ca="1" si="90"/>
        <v>0.72189131818724905</v>
      </c>
      <c r="Z395">
        <f t="shared" ca="1" si="90"/>
        <v>-0.96475991439337805</v>
      </c>
      <c r="AB395">
        <v>390</v>
      </c>
      <c r="AC395" s="24">
        <f t="shared" ca="1" si="83"/>
        <v>0.35432810819581628</v>
      </c>
      <c r="AD395" s="24">
        <f t="shared" ca="1" si="84"/>
        <v>0.66403258482004712</v>
      </c>
      <c r="AE395" s="24">
        <f t="shared" ca="1" si="85"/>
        <v>-1.1428347342056222E-3</v>
      </c>
      <c r="AF395" s="24"/>
      <c r="AG395">
        <v>390</v>
      </c>
      <c r="AH395">
        <f t="shared" ca="1" si="91"/>
        <v>311.31180289650854</v>
      </c>
      <c r="AI395">
        <f t="shared" ca="1" si="92"/>
        <v>166.54451508518972</v>
      </c>
      <c r="AJ395">
        <f t="shared" ca="1" si="93"/>
        <v>53.029146067215208</v>
      </c>
      <c r="AL395">
        <v>390</v>
      </c>
      <c r="AM395" s="4">
        <f t="shared" ca="1" si="86"/>
        <v>6.0489931499949634E-3</v>
      </c>
      <c r="AN395" s="4">
        <f t="shared" ca="1" si="87"/>
        <v>1.3907954795771449E-2</v>
      </c>
      <c r="AO395" s="4">
        <f t="shared" ca="1" si="88"/>
        <v>-1.6079805793323132E-5</v>
      </c>
      <c r="AP395" s="4">
        <f t="shared" ca="1" si="89"/>
        <v>7.3730559215690718E-3</v>
      </c>
    </row>
    <row r="396" spans="20:42" x14ac:dyDescent="0.3">
      <c r="T396">
        <v>390</v>
      </c>
      <c r="U396" s="4">
        <v>-4.2371725733802547E-3</v>
      </c>
      <c r="V396" s="4"/>
      <c r="W396">
        <v>391</v>
      </c>
      <c r="X396">
        <f t="shared" ca="1" si="90"/>
        <v>2.9098947209955339</v>
      </c>
      <c r="Y396">
        <f t="shared" ca="1" si="90"/>
        <v>-0.4937508616861539</v>
      </c>
      <c r="Z396">
        <f t="shared" ca="1" si="90"/>
        <v>0.1766866799326294</v>
      </c>
      <c r="AB396">
        <v>391</v>
      </c>
      <c r="AC396" s="24">
        <f t="shared" ca="1" si="83"/>
        <v>2.9098947209955339</v>
      </c>
      <c r="AD396" s="24">
        <f t="shared" ca="1" si="84"/>
        <v>2.2888321436484991</v>
      </c>
      <c r="AE396" s="24">
        <f t="shared" ca="1" si="85"/>
        <v>2.3285072070792316</v>
      </c>
      <c r="AF396" s="24"/>
      <c r="AG396">
        <v>391</v>
      </c>
      <c r="AH396">
        <f t="shared" ca="1" si="91"/>
        <v>325.13850832349141</v>
      </c>
      <c r="AI396">
        <f t="shared" ca="1" si="92"/>
        <v>172.26683922722771</v>
      </c>
      <c r="AJ396">
        <f t="shared" ca="1" si="93"/>
        <v>55.267548229829828</v>
      </c>
      <c r="AL396">
        <v>391</v>
      </c>
      <c r="AM396" s="4">
        <f t="shared" ca="1" si="86"/>
        <v>5.0731986033570431E-2</v>
      </c>
      <c r="AN396" s="4">
        <f t="shared" ca="1" si="87"/>
        <v>4.8744946963087399E-2</v>
      </c>
      <c r="AO396" s="4">
        <f t="shared" ca="1" si="88"/>
        <v>4.2194031718638891E-2</v>
      </c>
      <c r="AP396" s="4">
        <f t="shared" ca="1" si="89"/>
        <v>4.7375784110897753E-2</v>
      </c>
    </row>
    <row r="397" spans="20:42" x14ac:dyDescent="0.3">
      <c r="T397">
        <v>391</v>
      </c>
      <c r="U397" s="4">
        <v>-4.2291232160029391E-3</v>
      </c>
      <c r="V397" s="4"/>
      <c r="W397">
        <v>392</v>
      </c>
      <c r="X397">
        <f t="shared" ca="1" si="90"/>
        <v>1.189394199685776</v>
      </c>
      <c r="Y397">
        <f t="shared" ca="1" si="90"/>
        <v>1.0476150207373398</v>
      </c>
      <c r="Z397">
        <f t="shared" ca="1" si="90"/>
        <v>-2.0037190283292468</v>
      </c>
      <c r="AB397">
        <v>392</v>
      </c>
      <c r="AC397" s="24">
        <f t="shared" ca="1" si="83"/>
        <v>1.189394199685776</v>
      </c>
      <c r="AD397" s="24">
        <f t="shared" ca="1" si="84"/>
        <v>1.551184690526962</v>
      </c>
      <c r="AE397" s="24">
        <f t="shared" ca="1" si="85"/>
        <v>0.24308761307270377</v>
      </c>
      <c r="AF397" s="24"/>
      <c r="AG397">
        <v>392</v>
      </c>
      <c r="AH397">
        <f t="shared" ca="1" si="91"/>
        <v>315.76394374181842</v>
      </c>
      <c r="AI397">
        <f t="shared" ca="1" si="92"/>
        <v>169.64497350328455</v>
      </c>
      <c r="AJ397">
        <f t="shared" ca="1" si="93"/>
        <v>53.259491737852073</v>
      </c>
      <c r="AL397">
        <v>392</v>
      </c>
      <c r="AM397" s="4">
        <f t="shared" ca="1" si="86"/>
        <v>2.0436728446606933E-2</v>
      </c>
      <c r="AN397" s="4">
        <f t="shared" ca="1" si="87"/>
        <v>3.2783265411746143E-2</v>
      </c>
      <c r="AO397" s="4">
        <f t="shared" ca="1" si="88"/>
        <v>4.3276063329813486E-3</v>
      </c>
      <c r="AP397" s="4">
        <f t="shared" ca="1" si="89"/>
        <v>2.0542606598574941E-2</v>
      </c>
    </row>
    <row r="398" spans="20:42" x14ac:dyDescent="0.3">
      <c r="T398">
        <v>392</v>
      </c>
      <c r="U398" s="4">
        <v>-4.1952245599695577E-3</v>
      </c>
      <c r="V398" s="4"/>
      <c r="W398">
        <v>393</v>
      </c>
      <c r="X398">
        <f t="shared" ca="1" si="90"/>
        <v>0.53178055289114567</v>
      </c>
      <c r="Y398">
        <f t="shared" ca="1" si="90"/>
        <v>-0.27067197735316956</v>
      </c>
      <c r="Z398">
        <f t="shared" ca="1" si="90"/>
        <v>-0.50217024181490455</v>
      </c>
      <c r="AB398">
        <v>393</v>
      </c>
      <c r="AC398" s="24">
        <f t="shared" ca="1" si="83"/>
        <v>0.53178055289114567</v>
      </c>
      <c r="AD398" s="24">
        <f t="shared" ca="1" si="84"/>
        <v>0.32937225972154527</v>
      </c>
      <c r="AE398" s="24">
        <f t="shared" ca="1" si="85"/>
        <v>0.10447630853236695</v>
      </c>
      <c r="AF398" s="24"/>
      <c r="AG398">
        <v>393</v>
      </c>
      <c r="AH398">
        <f t="shared" ca="1" si="91"/>
        <v>312.25260507639592</v>
      </c>
      <c r="AI398">
        <f t="shared" ca="1" si="92"/>
        <v>165.38970515440164</v>
      </c>
      <c r="AJ398">
        <f t="shared" ca="1" si="93"/>
        <v>53.128638132303578</v>
      </c>
      <c r="AL398">
        <v>393</v>
      </c>
      <c r="AM398" s="4">
        <f t="shared" ca="1" si="86"/>
        <v>9.0893310910002967E-3</v>
      </c>
      <c r="AN398" s="4">
        <f t="shared" ca="1" si="87"/>
        <v>6.8775763140527246E-3</v>
      </c>
      <c r="AO398" s="4">
        <f t="shared" ca="1" si="88"/>
        <v>1.8600670427564303E-3</v>
      </c>
      <c r="AP398" s="4">
        <f t="shared" ca="1" si="89"/>
        <v>6.0358499657481076E-3</v>
      </c>
    </row>
    <row r="399" spans="20:42" x14ac:dyDescent="0.3">
      <c r="T399">
        <v>393</v>
      </c>
      <c r="U399" s="4">
        <v>-4.1695405374263198E-3</v>
      </c>
      <c r="V399" s="4"/>
      <c r="W399">
        <v>394</v>
      </c>
      <c r="X399">
        <f t="shared" ca="1" si="90"/>
        <v>1.9683855500612888</v>
      </c>
      <c r="Y399">
        <f t="shared" ca="1" si="90"/>
        <v>0.40293720403078298</v>
      </c>
      <c r="Z399">
        <f t="shared" ca="1" si="90"/>
        <v>-0.41525504550929548</v>
      </c>
      <c r="AB399">
        <v>394</v>
      </c>
      <c r="AC399" s="24">
        <f t="shared" ca="1" si="83"/>
        <v>1.9683855500612888</v>
      </c>
      <c r="AD399" s="24">
        <f t="shared" ca="1" si="84"/>
        <v>1.9113865257765246</v>
      </c>
      <c r="AE399" s="24">
        <f t="shared" ca="1" si="85"/>
        <v>1.5071302371401387</v>
      </c>
      <c r="AF399" s="24"/>
      <c r="AG399">
        <v>394</v>
      </c>
      <c r="AH399">
        <f t="shared" ca="1" si="91"/>
        <v>319.97450609467853</v>
      </c>
      <c r="AI399">
        <f t="shared" ca="1" si="92"/>
        <v>170.92023773821754</v>
      </c>
      <c r="AJ399">
        <f t="shared" ca="1" si="93"/>
        <v>54.467759455001797</v>
      </c>
      <c r="AL399">
        <v>394</v>
      </c>
      <c r="AM399" s="4">
        <f t="shared" ca="1" si="86"/>
        <v>3.4043768000768582E-2</v>
      </c>
      <c r="AN399" s="4">
        <f t="shared" ca="1" si="87"/>
        <v>4.0546958809897005E-2</v>
      </c>
      <c r="AO399" s="4">
        <f t="shared" ca="1" si="88"/>
        <v>2.7112214007183999E-2</v>
      </c>
      <c r="AP399" s="4">
        <f t="shared" ca="1" si="89"/>
        <v>3.456557812634458E-2</v>
      </c>
    </row>
    <row r="400" spans="20:42" x14ac:dyDescent="0.3">
      <c r="T400">
        <v>394</v>
      </c>
      <c r="U400" s="4">
        <v>-4.1368839333804312E-3</v>
      </c>
      <c r="V400" s="4"/>
      <c r="W400">
        <v>395</v>
      </c>
      <c r="X400">
        <f t="shared" ca="1" si="90"/>
        <v>0.68603291594172722</v>
      </c>
      <c r="Y400">
        <f t="shared" ca="1" si="90"/>
        <v>1.2923123959293636</v>
      </c>
      <c r="Z400">
        <f t="shared" ca="1" si="90"/>
        <v>0.26819126319878417</v>
      </c>
      <c r="AB400">
        <v>395</v>
      </c>
      <c r="AC400" s="24">
        <f t="shared" ca="1" si="83"/>
        <v>0.68603291594172722</v>
      </c>
      <c r="AD400" s="24">
        <f t="shared" ca="1" si="84"/>
        <v>1.233743501454049</v>
      </c>
      <c r="AE400" s="24">
        <f t="shared" ca="1" si="85"/>
        <v>1.0528081754600001</v>
      </c>
      <c r="AF400" s="24"/>
      <c r="AG400">
        <v>395</v>
      </c>
      <c r="AH400">
        <f t="shared" ca="1" si="91"/>
        <v>313.07271663221945</v>
      </c>
      <c r="AI400">
        <f t="shared" ca="1" si="92"/>
        <v>168.52898974535915</v>
      </c>
      <c r="AJ400">
        <f t="shared" ca="1" si="93"/>
        <v>54.030360467419264</v>
      </c>
      <c r="AL400">
        <v>395</v>
      </c>
      <c r="AM400" s="4">
        <f t="shared" ca="1" si="86"/>
        <v>1.1739639872518692E-2</v>
      </c>
      <c r="AN400" s="4">
        <f t="shared" ca="1" si="87"/>
        <v>2.5989257161131318E-2</v>
      </c>
      <c r="AO400" s="4">
        <f t="shared" ca="1" si="88"/>
        <v>1.8864071490663825E-2</v>
      </c>
      <c r="AP400" s="4">
        <f t="shared" ca="1" si="89"/>
        <v>1.9576816273407283E-2</v>
      </c>
    </row>
    <row r="401" spans="20:42" x14ac:dyDescent="0.3">
      <c r="T401">
        <v>395</v>
      </c>
      <c r="U401" s="4">
        <v>-4.1342551056534945E-3</v>
      </c>
      <c r="V401" s="4"/>
      <c r="W401">
        <v>396</v>
      </c>
      <c r="X401">
        <f t="shared" ca="1" si="90"/>
        <v>5.0297805051858276E-2</v>
      </c>
      <c r="Y401">
        <f t="shared" ca="1" si="90"/>
        <v>-0.75512443842625609</v>
      </c>
      <c r="Z401">
        <f t="shared" ca="1" si="90"/>
        <v>-0.96551923993159194</v>
      </c>
      <c r="AB401">
        <v>396</v>
      </c>
      <c r="AC401" s="24">
        <f t="shared" ca="1" si="83"/>
        <v>5.0297805051858276E-2</v>
      </c>
      <c r="AD401" s="24">
        <f t="shared" ca="1" si="84"/>
        <v>-0.3283117921997652</v>
      </c>
      <c r="AE401" s="24">
        <f t="shared" ca="1" si="85"/>
        <v>-0.65741110129967217</v>
      </c>
      <c r="AF401" s="24"/>
      <c r="AG401">
        <v>396</v>
      </c>
      <c r="AH401">
        <f t="shared" ca="1" si="91"/>
        <v>309.70650495775254</v>
      </c>
      <c r="AI401">
        <f t="shared" ca="1" si="92"/>
        <v>163.14351848896754</v>
      </c>
      <c r="AJ401">
        <f t="shared" ca="1" si="93"/>
        <v>52.415110522575006</v>
      </c>
      <c r="AL401">
        <v>396</v>
      </c>
      <c r="AM401" s="4">
        <f t="shared" ca="1" si="86"/>
        <v>8.6124132059173242E-4</v>
      </c>
      <c r="AN401" s="4">
        <f t="shared" ca="1" si="87"/>
        <v>-6.7970050846495322E-3</v>
      </c>
      <c r="AO401" s="4">
        <f t="shared" ca="1" si="88"/>
        <v>-1.1595102222816678E-2</v>
      </c>
      <c r="AP401" s="4">
        <f t="shared" ca="1" si="89"/>
        <v>-5.9389603045272967E-3</v>
      </c>
    </row>
    <row r="402" spans="20:42" x14ac:dyDescent="0.3">
      <c r="T402">
        <v>396</v>
      </c>
      <c r="U402" s="4">
        <v>-4.0689165643817199E-3</v>
      </c>
      <c r="V402" s="4"/>
      <c r="W402">
        <v>397</v>
      </c>
      <c r="X402">
        <f t="shared" ca="1" si="90"/>
        <v>0.78894071389579612</v>
      </c>
      <c r="Y402">
        <f t="shared" ca="1" si="90"/>
        <v>0.32721163411632953</v>
      </c>
      <c r="Z402">
        <f t="shared" ca="1" si="90"/>
        <v>-1.1285053359430435</v>
      </c>
      <c r="AB402">
        <v>397</v>
      </c>
      <c r="AC402" s="24">
        <f t="shared" ca="1" si="83"/>
        <v>0.78894071389579612</v>
      </c>
      <c r="AD402" s="24">
        <f t="shared" ca="1" si="84"/>
        <v>0.84774803661022669</v>
      </c>
      <c r="AE402" s="24">
        <f t="shared" ca="1" si="85"/>
        <v>0.16154631876653047</v>
      </c>
      <c r="AF402" s="24"/>
      <c r="AG402">
        <v>397</v>
      </c>
      <c r="AH402">
        <f t="shared" ca="1" si="91"/>
        <v>313.62104268812368</v>
      </c>
      <c r="AI402">
        <f t="shared" ca="1" si="92"/>
        <v>167.18188524513562</v>
      </c>
      <c r="AJ402">
        <f t="shared" ca="1" si="93"/>
        <v>53.182475109356574</v>
      </c>
      <c r="AL402">
        <v>397</v>
      </c>
      <c r="AM402" s="4">
        <f t="shared" ca="1" si="86"/>
        <v>1.3511634610038348E-2</v>
      </c>
      <c r="AN402" s="4">
        <f t="shared" ca="1" si="87"/>
        <v>1.7788206721138344E-2</v>
      </c>
      <c r="AO402" s="4">
        <f t="shared" ca="1" si="88"/>
        <v>2.8752844346529027E-3</v>
      </c>
      <c r="AP402" s="4">
        <f t="shared" ca="1" si="89"/>
        <v>1.2031358401862714E-2</v>
      </c>
    </row>
    <row r="403" spans="20:42" x14ac:dyDescent="0.3">
      <c r="T403">
        <v>397</v>
      </c>
      <c r="U403" s="4">
        <v>-4.0572265507566874E-3</v>
      </c>
      <c r="V403" s="4"/>
      <c r="W403">
        <v>398</v>
      </c>
      <c r="X403">
        <f t="shared" ca="1" si="90"/>
        <v>-0.56081748918963137</v>
      </c>
      <c r="Y403">
        <f t="shared" ca="1" si="90"/>
        <v>0.67959111532552585</v>
      </c>
      <c r="Z403">
        <f t="shared" ca="1" si="90"/>
        <v>6.2690311092428286E-2</v>
      </c>
      <c r="AB403">
        <v>398</v>
      </c>
      <c r="AC403" s="24">
        <f t="shared" ca="1" si="83"/>
        <v>-0.56081748918963137</v>
      </c>
      <c r="AD403" s="24">
        <f t="shared" ca="1" si="84"/>
        <v>-0.15314884219069019</v>
      </c>
      <c r="AE403" s="24">
        <f t="shared" ca="1" si="85"/>
        <v>-0.23833916825876389</v>
      </c>
      <c r="AF403" s="24"/>
      <c r="AG403">
        <v>398</v>
      </c>
      <c r="AH403">
        <f t="shared" ca="1" si="91"/>
        <v>306.50477845950462</v>
      </c>
      <c r="AI403">
        <f t="shared" ca="1" si="92"/>
        <v>163.73875442890025</v>
      </c>
      <c r="AJ403">
        <f t="shared" ca="1" si="93"/>
        <v>52.806388265133656</v>
      </c>
      <c r="AL403">
        <v>398</v>
      </c>
      <c r="AM403" s="4">
        <f t="shared" ca="1" si="86"/>
        <v>-9.4855996598475212E-3</v>
      </c>
      <c r="AN403" s="4">
        <f t="shared" ca="1" si="87"/>
        <v>-3.1732624824425404E-3</v>
      </c>
      <c r="AO403" s="4">
        <f t="shared" ca="1" si="88"/>
        <v>-4.2166796023092035E-3</v>
      </c>
      <c r="AP403" s="4">
        <f t="shared" ca="1" si="89"/>
        <v>-5.3799887716240334E-3</v>
      </c>
    </row>
    <row r="404" spans="20:42" x14ac:dyDescent="0.3">
      <c r="T404">
        <v>398</v>
      </c>
      <c r="U404" s="4">
        <v>-4.0245151663654615E-3</v>
      </c>
      <c r="V404" s="4"/>
      <c r="W404">
        <v>399</v>
      </c>
      <c r="X404">
        <f t="shared" ca="1" si="90"/>
        <v>-0.1202730939768271</v>
      </c>
      <c r="Y404">
        <f t="shared" ca="1" si="90"/>
        <v>1.3291842441765305</v>
      </c>
      <c r="Z404">
        <f t="shared" ca="1" si="90"/>
        <v>0.69963954964228248</v>
      </c>
      <c r="AB404">
        <v>399</v>
      </c>
      <c r="AC404" s="24">
        <f t="shared" ca="1" si="83"/>
        <v>-0.1202730939768271</v>
      </c>
      <c r="AD404" s="24">
        <f t="shared" ca="1" si="84"/>
        <v>0.55028296602434801</v>
      </c>
      <c r="AE404" s="24">
        <f t="shared" ca="1" si="85"/>
        <v>0.62382459290671211</v>
      </c>
      <c r="AF404" s="24"/>
      <c r="AG404">
        <v>399</v>
      </c>
      <c r="AH404">
        <f t="shared" ca="1" si="91"/>
        <v>308.80950810119776</v>
      </c>
      <c r="AI404">
        <f t="shared" ca="1" si="92"/>
        <v>166.15109835170691</v>
      </c>
      <c r="AJ404">
        <f t="shared" ca="1" si="93"/>
        <v>53.620580718135891</v>
      </c>
      <c r="AL404">
        <v>399</v>
      </c>
      <c r="AM404" s="4">
        <f t="shared" ca="1" si="86"/>
        <v>-2.037533399799063E-3</v>
      </c>
      <c r="AN404" s="4">
        <f t="shared" ca="1" si="87"/>
        <v>1.1512869281103066E-2</v>
      </c>
      <c r="AO404" s="4">
        <f t="shared" ca="1" si="88"/>
        <v>1.1136751884476048E-2</v>
      </c>
      <c r="AP404" s="4">
        <f t="shared" ca="1" si="89"/>
        <v>7.3349132578443225E-3</v>
      </c>
    </row>
    <row r="405" spans="20:42" x14ac:dyDescent="0.3">
      <c r="T405">
        <v>399</v>
      </c>
      <c r="U405" s="4">
        <v>-4.0239696308182584E-3</v>
      </c>
      <c r="V405" s="4"/>
      <c r="W405">
        <v>400</v>
      </c>
      <c r="X405">
        <f t="shared" ca="1" si="90"/>
        <v>5.5040077509016336E-2</v>
      </c>
      <c r="Y405">
        <f t="shared" ca="1" si="90"/>
        <v>0.5481924544341783</v>
      </c>
      <c r="Z405">
        <f t="shared" ca="1" si="90"/>
        <v>1.3272255739080889</v>
      </c>
      <c r="AB405">
        <v>400</v>
      </c>
      <c r="AC405" s="24">
        <f t="shared" ca="1" si="83"/>
        <v>5.5040077509016336E-2</v>
      </c>
      <c r="AD405" s="24">
        <f t="shared" ca="1" si="84"/>
        <v>0.3180107710045243</v>
      </c>
      <c r="AE405" s="24">
        <f t="shared" ca="1" si="85"/>
        <v>0.86983940699456386</v>
      </c>
      <c r="AF405" s="24"/>
      <c r="AG405">
        <v>400</v>
      </c>
      <c r="AH405">
        <f t="shared" ca="1" si="91"/>
        <v>309.73148077310231</v>
      </c>
      <c r="AI405">
        <f t="shared" ca="1" si="92"/>
        <v>165.35064100052472</v>
      </c>
      <c r="AJ405">
        <f t="shared" ca="1" si="93"/>
        <v>53.85520084680855</v>
      </c>
      <c r="AL405">
        <v>400</v>
      </c>
      <c r="AM405" s="4">
        <f t="shared" ca="1" si="86"/>
        <v>9.4195427028376244E-4</v>
      </c>
      <c r="AN405" s="4">
        <f t="shared" ca="1" si="87"/>
        <v>6.6397572760441559E-3</v>
      </c>
      <c r="AO405" s="4">
        <f t="shared" ca="1" si="88"/>
        <v>1.5561042551521131E-2</v>
      </c>
      <c r="AP405" s="4">
        <f t="shared" ca="1" si="89"/>
        <v>7.6068019569591298E-3</v>
      </c>
    </row>
    <row r="406" spans="20:42" x14ac:dyDescent="0.3">
      <c r="T406">
        <v>400</v>
      </c>
      <c r="U406" s="4">
        <v>-4.0092184384011853E-3</v>
      </c>
      <c r="V406" s="4"/>
      <c r="W406">
        <v>401</v>
      </c>
      <c r="X406">
        <f t="shared" ca="1" si="90"/>
        <v>-0.10224289748534543</v>
      </c>
      <c r="Y406">
        <f t="shared" ca="1" si="90"/>
        <v>-2.5668367351368278</v>
      </c>
      <c r="Z406">
        <f t="shared" ca="1" si="90"/>
        <v>-0.28625010477053708</v>
      </c>
      <c r="AB406">
        <v>401</v>
      </c>
      <c r="AC406" s="24">
        <f t="shared" ca="1" si="83"/>
        <v>-0.10224289748534543</v>
      </c>
      <c r="AD406" s="24">
        <f t="shared" ca="1" si="84"/>
        <v>-1.353751703953872</v>
      </c>
      <c r="AE406" s="24">
        <f t="shared" ca="1" si="85"/>
        <v>-0.937296350876482</v>
      </c>
      <c r="AF406" s="24"/>
      <c r="AG406">
        <v>401</v>
      </c>
      <c r="AH406">
        <f t="shared" ca="1" si="91"/>
        <v>308.90420222638966</v>
      </c>
      <c r="AI406">
        <f t="shared" ca="1" si="92"/>
        <v>159.70204369471696</v>
      </c>
      <c r="AJ406">
        <f t="shared" ca="1" si="93"/>
        <v>52.155404242839495</v>
      </c>
      <c r="AL406">
        <v>401</v>
      </c>
      <c r="AM406" s="4">
        <f t="shared" ca="1" si="86"/>
        <v>-1.7315156760245864E-3</v>
      </c>
      <c r="AN406" s="4">
        <f t="shared" ca="1" si="87"/>
        <v>-2.774839257606565E-2</v>
      </c>
      <c r="AO406" s="4">
        <f t="shared" ca="1" si="88"/>
        <v>-1.6492448738255505E-2</v>
      </c>
      <c r="AP406" s="4">
        <f t="shared" ca="1" si="89"/>
        <v>-1.6566546354710287E-2</v>
      </c>
    </row>
    <row r="407" spans="20:42" x14ac:dyDescent="0.3">
      <c r="T407">
        <v>401</v>
      </c>
      <c r="U407" s="4">
        <v>-4.0066088435276488E-3</v>
      </c>
      <c r="V407" s="4"/>
      <c r="W407">
        <v>402</v>
      </c>
      <c r="X407">
        <f t="shared" ca="1" si="90"/>
        <v>1.0270522386800718</v>
      </c>
      <c r="Y407">
        <f t="shared" ca="1" si="90"/>
        <v>-1.5475526493491634</v>
      </c>
      <c r="Z407">
        <f t="shared" ca="1" si="90"/>
        <v>0.12026798968698227</v>
      </c>
      <c r="AB407">
        <v>402</v>
      </c>
      <c r="AC407" s="24">
        <f t="shared" ca="1" si="83"/>
        <v>1.0270522386800718</v>
      </c>
      <c r="AD407" s="24">
        <f t="shared" ca="1" si="84"/>
        <v>0.1311764018877779</v>
      </c>
      <c r="AE407" s="24">
        <f t="shared" ca="1" si="85"/>
        <v>0.47214882509899547</v>
      </c>
      <c r="AF407" s="24"/>
      <c r="AG407">
        <v>402</v>
      </c>
      <c r="AH407">
        <f t="shared" ca="1" si="91"/>
        <v>314.89346263075481</v>
      </c>
      <c r="AI407">
        <f t="shared" ca="1" si="92"/>
        <v>164.7095710739386</v>
      </c>
      <c r="AJ407">
        <f t="shared" ca="1" si="93"/>
        <v>53.476439756381318</v>
      </c>
      <c r="AL407">
        <v>402</v>
      </c>
      <c r="AM407" s="4">
        <f t="shared" ca="1" si="86"/>
        <v>1.7623643182272275E-2</v>
      </c>
      <c r="AN407" s="4">
        <f t="shared" ca="1" si="87"/>
        <v>2.7369815057731728E-3</v>
      </c>
      <c r="AO407" s="4">
        <f t="shared" ca="1" si="88"/>
        <v>8.4186495825229191E-3</v>
      </c>
      <c r="AP407" s="4">
        <f t="shared" ca="1" si="89"/>
        <v>8.9074804317478273E-3</v>
      </c>
    </row>
    <row r="408" spans="20:42" x14ac:dyDescent="0.3">
      <c r="T408">
        <v>402</v>
      </c>
      <c r="U408" s="4">
        <v>-3.9750140264251501E-3</v>
      </c>
      <c r="V408" s="4"/>
      <c r="W408">
        <v>403</v>
      </c>
      <c r="X408">
        <f t="shared" ca="1" si="90"/>
        <v>1.813265645935989</v>
      </c>
      <c r="Y408">
        <f t="shared" ca="1" si="90"/>
        <v>0.18554292912624071</v>
      </c>
      <c r="Z408">
        <f t="shared" ca="1" si="90"/>
        <v>-1.9694452484989193</v>
      </c>
      <c r="AB408">
        <v>403</v>
      </c>
      <c r="AC408" s="24">
        <f t="shared" ca="1" si="83"/>
        <v>1.813265645935989</v>
      </c>
      <c r="AD408" s="24">
        <f t="shared" ca="1" si="84"/>
        <v>1.6692860035693089</v>
      </c>
      <c r="AE408" s="24">
        <f t="shared" ca="1" si="85"/>
        <v>0.53173063805628273</v>
      </c>
      <c r="AF408" s="24"/>
      <c r="AG408">
        <v>403</v>
      </c>
      <c r="AH408">
        <f t="shared" ca="1" si="91"/>
        <v>319.13160700119209</v>
      </c>
      <c r="AI408">
        <f t="shared" ca="1" si="92"/>
        <v>170.06204934893378</v>
      </c>
      <c r="AJ408">
        <f t="shared" ca="1" si="93"/>
        <v>53.533015453429059</v>
      </c>
      <c r="AL408">
        <v>403</v>
      </c>
      <c r="AM408" s="4">
        <f t="shared" ca="1" si="86"/>
        <v>3.1319818004529765E-2</v>
      </c>
      <c r="AN408" s="4">
        <f t="shared" ca="1" si="87"/>
        <v>3.532238546286659E-2</v>
      </c>
      <c r="AO408" s="4">
        <f t="shared" ca="1" si="88"/>
        <v>9.4855117049077453E-3</v>
      </c>
      <c r="AP408" s="4">
        <f t="shared" ca="1" si="89"/>
        <v>2.6370553097977891E-2</v>
      </c>
    </row>
    <row r="409" spans="20:42" x14ac:dyDescent="0.3">
      <c r="T409">
        <v>403</v>
      </c>
      <c r="U409" s="4">
        <v>-3.9406844465739495E-3</v>
      </c>
      <c r="V409" s="4"/>
      <c r="W409">
        <v>404</v>
      </c>
      <c r="X409">
        <f t="shared" ca="1" si="90"/>
        <v>0.34672908912772715</v>
      </c>
      <c r="Y409">
        <f t="shared" ca="1" si="90"/>
        <v>2.2345049325344872</v>
      </c>
      <c r="Z409">
        <f t="shared" ca="1" si="90"/>
        <v>0.96942816424478717</v>
      </c>
      <c r="AB409">
        <v>404</v>
      </c>
      <c r="AC409" s="24">
        <f t="shared" ca="1" si="83"/>
        <v>0.34672908912772715</v>
      </c>
      <c r="AD409" s="24">
        <f t="shared" ca="1" si="84"/>
        <v>1.4027448422809656</v>
      </c>
      <c r="AE409" s="24">
        <f t="shared" ca="1" si="85"/>
        <v>1.3918369313528429</v>
      </c>
      <c r="AF409" s="24"/>
      <c r="AG409">
        <v>404</v>
      </c>
      <c r="AH409">
        <f t="shared" ca="1" si="91"/>
        <v>311.27157842036877</v>
      </c>
      <c r="AI409">
        <f t="shared" ca="1" si="92"/>
        <v>169.1222073119477</v>
      </c>
      <c r="AJ409">
        <f t="shared" ca="1" si="93"/>
        <v>54.356426572157538</v>
      </c>
      <c r="AL409">
        <v>404</v>
      </c>
      <c r="AM409" s="4">
        <f t="shared" ca="1" si="86"/>
        <v>5.9190019535679816E-3</v>
      </c>
      <c r="AN409" s="4">
        <f t="shared" ca="1" si="87"/>
        <v>2.9600712088848846E-2</v>
      </c>
      <c r="AO409" s="4">
        <f t="shared" ca="1" si="88"/>
        <v>2.5012781885610513E-2</v>
      </c>
      <c r="AP409" s="4">
        <f t="shared" ca="1" si="89"/>
        <v>2.1119819987293089E-2</v>
      </c>
    </row>
    <row r="410" spans="20:42" x14ac:dyDescent="0.3">
      <c r="T410">
        <v>404</v>
      </c>
      <c r="U410" s="4">
        <v>-3.9198338294559772E-3</v>
      </c>
      <c r="V410" s="4"/>
      <c r="W410">
        <v>405</v>
      </c>
      <c r="X410">
        <f t="shared" ca="1" si="90"/>
        <v>0.62075613037416311</v>
      </c>
      <c r="Y410">
        <f t="shared" ca="1" si="90"/>
        <v>-1.4799224266711517</v>
      </c>
      <c r="Z410">
        <f t="shared" ca="1" si="90"/>
        <v>-1.7839377520338333</v>
      </c>
      <c r="AB410">
        <v>405</v>
      </c>
      <c r="AC410" s="24">
        <f t="shared" ca="1" si="83"/>
        <v>0.62075613037416311</v>
      </c>
      <c r="AD410" s="24">
        <f t="shared" ca="1" si="84"/>
        <v>-0.18904893844456128</v>
      </c>
      <c r="AE410" s="24">
        <f t="shared" ca="1" si="85"/>
        <v>-0.80722580139669198</v>
      </c>
      <c r="AF410" s="24"/>
      <c r="AG410">
        <v>405</v>
      </c>
      <c r="AH410">
        <f t="shared" ca="1" si="91"/>
        <v>312.72539782151176</v>
      </c>
      <c r="AI410">
        <f t="shared" ca="1" si="92"/>
        <v>163.61658261426163</v>
      </c>
      <c r="AJ410">
        <f t="shared" ca="1" si="93"/>
        <v>52.275936620408849</v>
      </c>
      <c r="AL410">
        <v>405</v>
      </c>
      <c r="AM410" s="4">
        <f t="shared" ca="1" si="86"/>
        <v>1.0617229040152498E-2</v>
      </c>
      <c r="AN410" s="4">
        <f t="shared" ca="1" si="87"/>
        <v>-3.917033447523921E-3</v>
      </c>
      <c r="AO410" s="4">
        <f t="shared" ca="1" si="88"/>
        <v>-1.4219539435145867E-2</v>
      </c>
      <c r="AP410" s="4">
        <f t="shared" ca="1" si="89"/>
        <v>-2.6475064975075785E-3</v>
      </c>
    </row>
    <row r="411" spans="20:42" x14ac:dyDescent="0.3">
      <c r="T411">
        <v>405</v>
      </c>
      <c r="U411" s="4">
        <v>-3.7774241423582876E-3</v>
      </c>
      <c r="V411" s="4"/>
      <c r="W411">
        <v>406</v>
      </c>
      <c r="X411">
        <f t="shared" ca="1" si="90"/>
        <v>0.28188820857676516</v>
      </c>
      <c r="Y411">
        <f t="shared" ca="1" si="90"/>
        <v>-0.16135244315145622</v>
      </c>
      <c r="Z411">
        <f t="shared" ca="1" si="90"/>
        <v>0.5123243909091022</v>
      </c>
      <c r="AB411">
        <v>406</v>
      </c>
      <c r="AC411" s="24">
        <f t="shared" ca="1" si="83"/>
        <v>0.28188820857676516</v>
      </c>
      <c r="AD411" s="24">
        <f t="shared" ca="1" si="84"/>
        <v>0.16578781930913261</v>
      </c>
      <c r="AE411" s="24">
        <f t="shared" ca="1" si="85"/>
        <v>0.44555649990695312</v>
      </c>
      <c r="AF411" s="24"/>
      <c r="AG411">
        <v>406</v>
      </c>
      <c r="AH411">
        <f t="shared" ca="1" si="91"/>
        <v>310.92856247863284</v>
      </c>
      <c r="AI411">
        <f t="shared" ca="1" si="92"/>
        <v>164.82814262377224</v>
      </c>
      <c r="AJ411">
        <f t="shared" ca="1" si="93"/>
        <v>53.451208411098776</v>
      </c>
      <c r="AL411">
        <v>406</v>
      </c>
      <c r="AM411" s="4">
        <f t="shared" ca="1" si="86"/>
        <v>4.8104964629085423E-3</v>
      </c>
      <c r="AN411" s="4">
        <f t="shared" ca="1" si="87"/>
        <v>3.4588343841299718E-3</v>
      </c>
      <c r="AO411" s="4">
        <f t="shared" ca="1" si="88"/>
        <v>7.94285577027809E-3</v>
      </c>
      <c r="AP411" s="4">
        <f t="shared" ca="1" si="89"/>
        <v>5.2095394236079777E-3</v>
      </c>
    </row>
    <row r="412" spans="20:42" x14ac:dyDescent="0.3">
      <c r="T412">
        <v>406</v>
      </c>
      <c r="U412" s="4">
        <v>-3.7110594795948136E-3</v>
      </c>
      <c r="V412" s="4"/>
      <c r="W412">
        <v>407</v>
      </c>
      <c r="X412">
        <f t="shared" ca="1" si="90"/>
        <v>-0.58205342353748535</v>
      </c>
      <c r="Y412">
        <f t="shared" ca="1" si="90"/>
        <v>-0.37788516513169035</v>
      </c>
      <c r="Z412">
        <f t="shared" ca="1" si="90"/>
        <v>-2.6920857156860865</v>
      </c>
      <c r="AB412">
        <v>407</v>
      </c>
      <c r="AC412" s="24">
        <f t="shared" ca="1" si="83"/>
        <v>-0.58205342353748535</v>
      </c>
      <c r="AD412" s="24">
        <f t="shared" ca="1" si="84"/>
        <v>-0.69268838227203011</v>
      </c>
      <c r="AE412" s="24">
        <f t="shared" ca="1" si="85"/>
        <v>-1.9456767786695268</v>
      </c>
      <c r="AF412" s="24"/>
      <c r="AG412">
        <v>407</v>
      </c>
      <c r="AH412">
        <f t="shared" ca="1" si="91"/>
        <v>306.394117215655</v>
      </c>
      <c r="AI412">
        <f t="shared" ca="1" si="92"/>
        <v>161.91222314387304</v>
      </c>
      <c r="AJ412">
        <f t="shared" ca="1" si="93"/>
        <v>51.230349143953866</v>
      </c>
      <c r="AL412">
        <v>407</v>
      </c>
      <c r="AM412" s="4">
        <f t="shared" ca="1" si="86"/>
        <v>-9.843217430583362E-3</v>
      </c>
      <c r="AN412" s="4">
        <f t="shared" ca="1" si="87"/>
        <v>-1.4293019855569744E-2</v>
      </c>
      <c r="AO412" s="4">
        <f t="shared" ca="1" si="88"/>
        <v>-3.3936444970191548E-2</v>
      </c>
      <c r="AP412" s="4">
        <f t="shared" ca="1" si="89"/>
        <v>-1.8851106662460371E-2</v>
      </c>
    </row>
    <row r="413" spans="20:42" x14ac:dyDescent="0.3">
      <c r="T413">
        <v>407</v>
      </c>
      <c r="U413" s="4">
        <v>-3.6449667819204003E-3</v>
      </c>
      <c r="V413" s="4"/>
      <c r="W413">
        <v>408</v>
      </c>
      <c r="X413">
        <f t="shared" ca="1" si="90"/>
        <v>-5.2425510244932409E-2</v>
      </c>
      <c r="Y413">
        <f t="shared" ca="1" si="90"/>
        <v>-1.3446988802014705</v>
      </c>
      <c r="Z413">
        <f t="shared" ca="1" si="90"/>
        <v>1.081277687467201</v>
      </c>
      <c r="AB413">
        <v>408</v>
      </c>
      <c r="AC413" s="24">
        <f t="shared" ca="1" si="83"/>
        <v>-5.2425510244932409E-2</v>
      </c>
      <c r="AD413" s="24">
        <f t="shared" ca="1" si="84"/>
        <v>-0.70820595614621173</v>
      </c>
      <c r="AE413" s="24">
        <f t="shared" ca="1" si="85"/>
        <v>0.13477450171908845</v>
      </c>
      <c r="AF413" s="24"/>
      <c r="AG413">
        <v>408</v>
      </c>
      <c r="AH413">
        <f t="shared" ca="1" si="91"/>
        <v>309.16599283399626</v>
      </c>
      <c r="AI413">
        <f t="shared" ca="1" si="92"/>
        <v>161.85999321890492</v>
      </c>
      <c r="AJ413">
        <f t="shared" ca="1" si="93"/>
        <v>53.15721313382776</v>
      </c>
      <c r="AL413">
        <v>408</v>
      </c>
      <c r="AM413" s="4">
        <f t="shared" ca="1" si="86"/>
        <v>-8.8550156814859449E-4</v>
      </c>
      <c r="AN413" s="4">
        <f t="shared" ca="1" si="87"/>
        <v>-1.4610990917999889E-2</v>
      </c>
      <c r="AO413" s="4">
        <f t="shared" ca="1" si="88"/>
        <v>2.3989130201644837E-3</v>
      </c>
      <c r="AP413" s="4">
        <f t="shared" ca="1" si="89"/>
        <v>-5.3903729315951891E-3</v>
      </c>
    </row>
    <row r="414" spans="20:42" x14ac:dyDescent="0.3">
      <c r="T414">
        <v>408</v>
      </c>
      <c r="U414" s="4">
        <v>-3.6268631274909984E-3</v>
      </c>
      <c r="V414" s="4"/>
      <c r="W414">
        <v>409</v>
      </c>
      <c r="X414">
        <f t="shared" ca="1" si="90"/>
        <v>-1.5351400436048968</v>
      </c>
      <c r="Y414">
        <f t="shared" ca="1" si="90"/>
        <v>-0.76615308759595957</v>
      </c>
      <c r="Z414">
        <f t="shared" ca="1" si="90"/>
        <v>1.6962338462318645</v>
      </c>
      <c r="AB414">
        <v>409</v>
      </c>
      <c r="AC414" s="24">
        <f t="shared" ca="1" si="83"/>
        <v>-1.5351400436048968</v>
      </c>
      <c r="AD414" s="24">
        <f t="shared" ca="1" si="84"/>
        <v>-1.7133572290159136</v>
      </c>
      <c r="AE414" s="24">
        <f t="shared" ca="1" si="85"/>
        <v>-0.60365153937169491</v>
      </c>
      <c r="AF414" s="24"/>
      <c r="AG414">
        <v>409</v>
      </c>
      <c r="AH414">
        <f t="shared" ca="1" si="91"/>
        <v>301.46846643621456</v>
      </c>
      <c r="AI414">
        <f t="shared" ca="1" si="92"/>
        <v>158.51244552066555</v>
      </c>
      <c r="AJ414">
        <f t="shared" ca="1" si="93"/>
        <v>52.465142019802343</v>
      </c>
      <c r="AL414">
        <v>409</v>
      </c>
      <c r="AM414" s="4">
        <f t="shared" ca="1" si="86"/>
        <v>-2.5761168376092325E-2</v>
      </c>
      <c r="AN414" s="4">
        <f t="shared" ca="1" si="87"/>
        <v>-3.499055873845347E-2</v>
      </c>
      <c r="AO414" s="4">
        <f t="shared" ca="1" si="88"/>
        <v>-1.0651645719346625E-2</v>
      </c>
      <c r="AP414" s="4">
        <f t="shared" ca="1" si="89"/>
        <v>-2.4920067724013072E-2</v>
      </c>
    </row>
    <row r="415" spans="20:42" x14ac:dyDescent="0.3">
      <c r="T415">
        <v>409</v>
      </c>
      <c r="U415" s="4">
        <v>-3.5960985810039366E-3</v>
      </c>
      <c r="V415" s="4"/>
      <c r="W415">
        <v>410</v>
      </c>
      <c r="X415">
        <f t="shared" ca="1" si="90"/>
        <v>-1.4670114500560938</v>
      </c>
      <c r="Y415">
        <f t="shared" ca="1" si="90"/>
        <v>1.5140355443520088</v>
      </c>
      <c r="Z415">
        <f t="shared" ca="1" si="90"/>
        <v>0.75628517867917999</v>
      </c>
      <c r="AB415">
        <v>410</v>
      </c>
      <c r="AC415" s="24">
        <f t="shared" ca="1" si="83"/>
        <v>-1.4670114500560938</v>
      </c>
      <c r="AD415" s="24">
        <f t="shared" ca="1" si="84"/>
        <v>-0.53053389427246556</v>
      </c>
      <c r="AE415" s="24">
        <f t="shared" ca="1" si="85"/>
        <v>-0.39564331722955148</v>
      </c>
      <c r="AF415" s="24"/>
      <c r="AG415">
        <v>410</v>
      </c>
      <c r="AH415">
        <f t="shared" ca="1" si="91"/>
        <v>301.81791900616582</v>
      </c>
      <c r="AI415">
        <f t="shared" ca="1" si="92"/>
        <v>162.45902114031819</v>
      </c>
      <c r="AJ415">
        <f t="shared" ca="1" si="93"/>
        <v>52.659175773923785</v>
      </c>
      <c r="AL415">
        <v>410</v>
      </c>
      <c r="AM415" s="4">
        <f t="shared" ca="1" si="86"/>
        <v>-2.4631861992967408E-2</v>
      </c>
      <c r="AN415" s="4">
        <f t="shared" ca="1" si="87"/>
        <v>-1.096416307527559E-2</v>
      </c>
      <c r="AO415" s="4">
        <f t="shared" ca="1" si="88"/>
        <v>-6.992702506298798E-3</v>
      </c>
      <c r="AP415" s="4">
        <f t="shared" ca="1" si="89"/>
        <v>-1.3873034579890097E-2</v>
      </c>
    </row>
    <row r="416" spans="20:42" x14ac:dyDescent="0.3">
      <c r="T416">
        <v>410</v>
      </c>
      <c r="U416" s="4">
        <v>-3.5115813405884877E-3</v>
      </c>
      <c r="V416" s="4"/>
      <c r="W416">
        <v>411</v>
      </c>
      <c r="X416">
        <f t="shared" ca="1" si="90"/>
        <v>-0.28981423081614621</v>
      </c>
      <c r="Y416">
        <f t="shared" ca="1" si="90"/>
        <v>7.2896051504282813E-2</v>
      </c>
      <c r="Z416">
        <f t="shared" ca="1" si="90"/>
        <v>-1.3205919846758605</v>
      </c>
      <c r="AB416">
        <v>411</v>
      </c>
      <c r="AC416" s="24">
        <f t="shared" ca="1" si="83"/>
        <v>-0.28981423081614621</v>
      </c>
      <c r="AD416" s="24">
        <f t="shared" ca="1" si="84"/>
        <v>-0.21627083378512746</v>
      </c>
      <c r="AE416" s="24">
        <f t="shared" ca="1" si="85"/>
        <v>-0.88665234911828461</v>
      </c>
      <c r="AF416" s="24"/>
      <c r="AG416">
        <v>411</v>
      </c>
      <c r="AH416">
        <f t="shared" ca="1" si="91"/>
        <v>307.92050104001373</v>
      </c>
      <c r="AI416">
        <f t="shared" ca="1" si="92"/>
        <v>163.52400440352937</v>
      </c>
      <c r="AJ416">
        <f t="shared" ca="1" si="93"/>
        <v>52.202301408443716</v>
      </c>
      <c r="AL416">
        <v>411</v>
      </c>
      <c r="AM416" s="4">
        <f t="shared" ca="1" si="86"/>
        <v>-4.9104879440401428E-3</v>
      </c>
      <c r="AN416" s="4">
        <f t="shared" ca="1" si="87"/>
        <v>-4.480641226826565E-3</v>
      </c>
      <c r="AO416" s="4">
        <f t="shared" ca="1" si="88"/>
        <v>-1.5608097113066877E-2</v>
      </c>
      <c r="AP416" s="4">
        <f t="shared" ca="1" si="89"/>
        <v>-7.9478320078627315E-3</v>
      </c>
    </row>
    <row r="417" spans="20:42" x14ac:dyDescent="0.3">
      <c r="T417">
        <v>411</v>
      </c>
      <c r="U417" s="4">
        <v>-3.4282656440999594E-3</v>
      </c>
      <c r="V417" s="4"/>
      <c r="W417">
        <v>412</v>
      </c>
      <c r="X417">
        <f t="shared" ca="1" si="90"/>
        <v>1.3766637014660301</v>
      </c>
      <c r="Y417">
        <f t="shared" ca="1" si="90"/>
        <v>2.3064103034534416E-2</v>
      </c>
      <c r="Z417">
        <f t="shared" ca="1" si="90"/>
        <v>1.811059665205986</v>
      </c>
      <c r="AB417">
        <v>412</v>
      </c>
      <c r="AC417" s="24">
        <f t="shared" ca="1" si="83"/>
        <v>1.3766637014660301</v>
      </c>
      <c r="AD417" s="24">
        <f t="shared" ca="1" si="84"/>
        <v>1.2093053697510128</v>
      </c>
      <c r="AE417" s="24">
        <f t="shared" ca="1" si="85"/>
        <v>2.0491775045630547</v>
      </c>
      <c r="AF417" s="24"/>
      <c r="AG417">
        <v>412</v>
      </c>
      <c r="AH417">
        <f t="shared" ca="1" si="91"/>
        <v>316.77107622225355</v>
      </c>
      <c r="AI417">
        <f t="shared" ca="1" si="92"/>
        <v>168.443380968735</v>
      </c>
      <c r="AJ417">
        <f t="shared" ca="1" si="93"/>
        <v>54.994250898438025</v>
      </c>
      <c r="AL417">
        <v>412</v>
      </c>
      <c r="AM417" s="4">
        <f t="shared" ca="1" si="86"/>
        <v>2.3691422320990085E-2</v>
      </c>
      <c r="AN417" s="4">
        <f t="shared" ca="1" si="87"/>
        <v>2.5468078666750049E-2</v>
      </c>
      <c r="AO417" s="4">
        <f t="shared" ca="1" si="88"/>
        <v>3.7040395330125486E-2</v>
      </c>
      <c r="AP417" s="4">
        <f t="shared" ca="1" si="89"/>
        <v>2.8406776762034687E-2</v>
      </c>
    </row>
    <row r="418" spans="20:42" x14ac:dyDescent="0.3">
      <c r="T418">
        <v>412</v>
      </c>
      <c r="U418" s="4">
        <v>-3.4271466027077759E-3</v>
      </c>
      <c r="V418" s="4"/>
      <c r="W418">
        <v>413</v>
      </c>
      <c r="X418">
        <f t="shared" ca="1" si="90"/>
        <v>-1.2157601307885646</v>
      </c>
      <c r="Y418">
        <f t="shared" ca="1" si="90"/>
        <v>0.48257307603300648</v>
      </c>
      <c r="Z418">
        <f t="shared" ca="1" si="90"/>
        <v>5.2284817098864476E-2</v>
      </c>
      <c r="AB418">
        <v>413</v>
      </c>
      <c r="AC418" s="24">
        <f t="shared" ca="1" si="83"/>
        <v>-1.2157601307885646</v>
      </c>
      <c r="AD418" s="24">
        <f t="shared" ca="1" si="84"/>
        <v>-0.82014331910069238</v>
      </c>
      <c r="AE418" s="24">
        <f t="shared" ca="1" si="85"/>
        <v>-0.83258805626186549</v>
      </c>
      <c r="AF418" s="24"/>
      <c r="AG418">
        <v>413</v>
      </c>
      <c r="AH418">
        <f t="shared" ca="1" si="91"/>
        <v>303.11016971822994</v>
      </c>
      <c r="AI418">
        <f t="shared" ca="1" si="92"/>
        <v>161.48372692824987</v>
      </c>
      <c r="AJ418">
        <f t="shared" ca="1" si="93"/>
        <v>52.2524123570402</v>
      </c>
      <c r="AL418">
        <v>413</v>
      </c>
      <c r="AM418" s="4">
        <f t="shared" ca="1" si="86"/>
        <v>-2.0455767429017779E-2</v>
      </c>
      <c r="AN418" s="4">
        <f t="shared" ca="1" si="87"/>
        <v>-1.6901666086867051E-2</v>
      </c>
      <c r="AO418" s="4">
        <f t="shared" ca="1" si="88"/>
        <v>-1.4663142375182736E-2</v>
      </c>
      <c r="AP418" s="4">
        <f t="shared" ca="1" si="89"/>
        <v>-1.7296339376006973E-2</v>
      </c>
    </row>
    <row r="419" spans="20:42" x14ac:dyDescent="0.3">
      <c r="T419">
        <v>413</v>
      </c>
      <c r="U419" s="4">
        <v>-3.417014191298562E-3</v>
      </c>
      <c r="V419" s="4"/>
      <c r="W419">
        <v>414</v>
      </c>
      <c r="X419">
        <f t="shared" ca="1" si="90"/>
        <v>1.1367363181973249</v>
      </c>
      <c r="Y419">
        <f t="shared" ca="1" si="90"/>
        <v>2.9660845287613467</v>
      </c>
      <c r="Z419">
        <f t="shared" ca="1" si="90"/>
        <v>0.65041639696660369</v>
      </c>
      <c r="AB419">
        <v>414</v>
      </c>
      <c r="AC419" s="24">
        <f t="shared" ca="1" si="83"/>
        <v>1.1367363181973249</v>
      </c>
      <c r="AD419" s="24">
        <f t="shared" ca="1" si="84"/>
        <v>2.4506690756092859</v>
      </c>
      <c r="AE419" s="24">
        <f t="shared" ca="1" si="85"/>
        <v>2.0767087057823717</v>
      </c>
      <c r="AF419" s="24"/>
      <c r="AG419">
        <v>414</v>
      </c>
      <c r="AH419">
        <f t="shared" ca="1" si="91"/>
        <v>315.48132768610657</v>
      </c>
      <c r="AI419">
        <f t="shared" ca="1" si="92"/>
        <v>172.84746484420245</v>
      </c>
      <c r="AJ419">
        <f t="shared" ca="1" si="93"/>
        <v>55.021127393703757</v>
      </c>
      <c r="AL419">
        <v>414</v>
      </c>
      <c r="AM419" s="4">
        <f t="shared" ca="1" si="86"/>
        <v>1.9523413899418252E-2</v>
      </c>
      <c r="AN419" s="4">
        <f t="shared" ca="1" si="87"/>
        <v>5.2279743239673104E-2</v>
      </c>
      <c r="AO419" s="4">
        <f t="shared" ca="1" si="88"/>
        <v>3.754721214861334E-2</v>
      </c>
      <c r="AP419" s="4">
        <f t="shared" ca="1" si="89"/>
        <v>3.8033085110278725E-2</v>
      </c>
    </row>
    <row r="420" spans="20:42" x14ac:dyDescent="0.3">
      <c r="T420">
        <v>414</v>
      </c>
      <c r="U420" s="4">
        <v>-3.3461407728567981E-3</v>
      </c>
      <c r="V420" s="4"/>
      <c r="W420">
        <v>415</v>
      </c>
      <c r="X420">
        <f t="shared" ca="1" si="90"/>
        <v>-0.77546979638939828</v>
      </c>
      <c r="Y420">
        <f t="shared" ca="1" si="90"/>
        <v>-1.9867255554936802</v>
      </c>
      <c r="Z420">
        <f t="shared" ca="1" si="90"/>
        <v>-0.67635327804059597</v>
      </c>
      <c r="AB420">
        <v>415</v>
      </c>
      <c r="AC420" s="24">
        <f t="shared" ca="1" si="83"/>
        <v>-0.77546979638939828</v>
      </c>
      <c r="AD420" s="24">
        <f t="shared" ca="1" si="84"/>
        <v>-1.6537343146460406</v>
      </c>
      <c r="AE420" s="24">
        <f t="shared" ca="1" si="85"/>
        <v>-1.5246479083232565</v>
      </c>
      <c r="AF420" s="24"/>
      <c r="AG420">
        <v>415</v>
      </c>
      <c r="AH420">
        <f t="shared" ca="1" si="91"/>
        <v>305.38805462762474</v>
      </c>
      <c r="AI420">
        <f t="shared" ca="1" si="92"/>
        <v>158.70906737285321</v>
      </c>
      <c r="AJ420">
        <f t="shared" ca="1" si="93"/>
        <v>51.614575194157204</v>
      </c>
      <c r="AL420">
        <v>415</v>
      </c>
      <c r="AM420" s="4">
        <f t="shared" ca="1" si="86"/>
        <v>-1.3094453793344174E-2</v>
      </c>
      <c r="AN420" s="4">
        <f t="shared" ca="1" si="87"/>
        <v>-3.3793542673902888E-2</v>
      </c>
      <c r="AO420" s="4">
        <f t="shared" ca="1" si="88"/>
        <v>-2.669099788273388E-2</v>
      </c>
      <c r="AP420" s="4">
        <f t="shared" ca="1" si="89"/>
        <v>-2.5453052572384574E-2</v>
      </c>
    </row>
    <row r="421" spans="20:42" x14ac:dyDescent="0.3">
      <c r="T421">
        <v>415</v>
      </c>
      <c r="U421" s="4">
        <v>-3.2262051810959531E-3</v>
      </c>
      <c r="V421" s="4"/>
      <c r="W421">
        <v>416</v>
      </c>
      <c r="X421">
        <f t="shared" ca="1" si="90"/>
        <v>-1.0044280857734575</v>
      </c>
      <c r="Y421">
        <f t="shared" ca="1" si="90"/>
        <v>2.595063552352244E-2</v>
      </c>
      <c r="Z421">
        <f t="shared" ca="1" si="90"/>
        <v>-0.21274812861347731</v>
      </c>
      <c r="AB421">
        <v>416</v>
      </c>
      <c r="AC421" s="24">
        <f t="shared" ca="1" si="83"/>
        <v>-1.0044280857734575</v>
      </c>
      <c r="AD421" s="24">
        <f t="shared" ca="1" si="84"/>
        <v>-0.8612430780160758</v>
      </c>
      <c r="AE421" s="24">
        <f t="shared" ca="1" si="85"/>
        <v>-0.92065057008697926</v>
      </c>
      <c r="AF421" s="24"/>
      <c r="AG421">
        <v>416</v>
      </c>
      <c r="AH421">
        <f t="shared" ca="1" si="91"/>
        <v>304.20138835354544</v>
      </c>
      <c r="AI421">
        <f t="shared" ca="1" si="92"/>
        <v>161.34579382878391</v>
      </c>
      <c r="AJ421">
        <f t="shared" ca="1" si="93"/>
        <v>52.17081385538588</v>
      </c>
      <c r="AL421">
        <v>416</v>
      </c>
      <c r="AM421" s="4">
        <f t="shared" ca="1" si="86"/>
        <v>-1.692933701696353E-2</v>
      </c>
      <c r="AN421" s="4">
        <f t="shared" ca="1" si="87"/>
        <v>-1.7741390329401363E-2</v>
      </c>
      <c r="AO421" s="4">
        <f t="shared" ca="1" si="88"/>
        <v>-1.6201865805932192E-2</v>
      </c>
      <c r="AP421" s="4">
        <f t="shared" ca="1" si="89"/>
        <v>-1.7035916978629259E-2</v>
      </c>
    </row>
    <row r="422" spans="20:42" x14ac:dyDescent="0.3">
      <c r="T422">
        <v>416</v>
      </c>
      <c r="U422" s="4">
        <v>-3.1837220129963149E-3</v>
      </c>
      <c r="V422" s="4"/>
      <c r="W422">
        <v>417</v>
      </c>
      <c r="X422">
        <f t="shared" ca="1" si="90"/>
        <v>-1.7993415727217157</v>
      </c>
      <c r="Y422">
        <f t="shared" ca="1" si="90"/>
        <v>0.524469889653704</v>
      </c>
      <c r="Z422">
        <f t="shared" ca="1" si="90"/>
        <v>-0.32820924208422492</v>
      </c>
      <c r="AB422">
        <v>417</v>
      </c>
      <c r="AC422" s="24">
        <f t="shared" ca="1" si="83"/>
        <v>-1.7993415727217157</v>
      </c>
      <c r="AD422" s="24">
        <f t="shared" ca="1" si="84"/>
        <v>-1.3073181098741675</v>
      </c>
      <c r="AE422" s="24">
        <f t="shared" ca="1" si="85"/>
        <v>-1.4904640624429557</v>
      </c>
      <c r="AF422" s="24"/>
      <c r="AG422">
        <v>417</v>
      </c>
      <c r="AH422">
        <f t="shared" ca="1" si="91"/>
        <v>300.1171179591903</v>
      </c>
      <c r="AI422">
        <f t="shared" ca="1" si="92"/>
        <v>159.85629840413412</v>
      </c>
      <c r="AJ422">
        <f t="shared" ca="1" si="93"/>
        <v>51.64589716658169</v>
      </c>
      <c r="AL422">
        <v>417</v>
      </c>
      <c r="AM422" s="4">
        <f t="shared" ca="1" si="86"/>
        <v>-3.0128245891482774E-2</v>
      </c>
      <c r="AN422" s="4">
        <f t="shared" ca="1" si="87"/>
        <v>-2.6809303847368793E-2</v>
      </c>
      <c r="AO422" s="4">
        <f t="shared" ca="1" si="88"/>
        <v>-2.6100351585440107E-2</v>
      </c>
      <c r="AP422" s="4">
        <f t="shared" ca="1" si="89"/>
        <v>-2.7592300782024383E-2</v>
      </c>
    </row>
    <row r="423" spans="20:42" x14ac:dyDescent="0.3">
      <c r="T423">
        <v>417</v>
      </c>
      <c r="U423" s="4">
        <v>-3.1358967467306825E-3</v>
      </c>
      <c r="V423" s="4"/>
      <c r="W423">
        <v>418</v>
      </c>
      <c r="X423">
        <f t="shared" ca="1" si="90"/>
        <v>-1.6051900527285066</v>
      </c>
      <c r="Y423">
        <f t="shared" ca="1" si="90"/>
        <v>1.7793811916708628</v>
      </c>
      <c r="Z423">
        <f t="shared" ca="1" si="90"/>
        <v>0.25469981577981832</v>
      </c>
      <c r="AB423">
        <v>418</v>
      </c>
      <c r="AC423" s="24">
        <f t="shared" ca="1" si="83"/>
        <v>-1.6051900527285066</v>
      </c>
      <c r="AD423" s="24">
        <f t="shared" ca="1" si="84"/>
        <v>-0.52002737504082319</v>
      </c>
      <c r="AE423" s="24">
        <f t="shared" ca="1" si="85"/>
        <v>-0.68974298176048199</v>
      </c>
      <c r="AF423" s="24"/>
      <c r="AG423">
        <v>418</v>
      </c>
      <c r="AH423">
        <f t="shared" ca="1" si="91"/>
        <v>301.10958021113743</v>
      </c>
      <c r="AI423">
        <f t="shared" ca="1" si="92"/>
        <v>162.4945136025963</v>
      </c>
      <c r="AJ423">
        <f t="shared" ca="1" si="93"/>
        <v>52.385043739692996</v>
      </c>
      <c r="AL423">
        <v>418</v>
      </c>
      <c r="AM423" s="4">
        <f t="shared" ca="1" si="86"/>
        <v>-2.6920960976420605E-2</v>
      </c>
      <c r="AN423" s="4">
        <f t="shared" ca="1" si="87"/>
        <v>-1.0748088172894965E-2</v>
      </c>
      <c r="AO423" s="4">
        <f t="shared" ca="1" si="88"/>
        <v>-1.2162079095796474E-2</v>
      </c>
      <c r="AP423" s="4">
        <f t="shared" ca="1" si="89"/>
        <v>-1.6024147290823108E-2</v>
      </c>
    </row>
    <row r="424" spans="20:42" x14ac:dyDescent="0.3">
      <c r="T424">
        <v>418</v>
      </c>
      <c r="U424" s="4">
        <v>-3.0142232651973471E-3</v>
      </c>
      <c r="V424" s="4"/>
      <c r="W424">
        <v>419</v>
      </c>
      <c r="X424">
        <f t="shared" ca="1" si="90"/>
        <v>1.0022974537537919</v>
      </c>
      <c r="Y424">
        <f t="shared" ca="1" si="90"/>
        <v>-0.52073958089470263</v>
      </c>
      <c r="Z424">
        <f t="shared" ca="1" si="90"/>
        <v>0.48719940051157101</v>
      </c>
      <c r="AB424">
        <v>419</v>
      </c>
      <c r="AC424" s="24">
        <f t="shared" ca="1" si="83"/>
        <v>1.0022974537537919</v>
      </c>
      <c r="AD424" s="24">
        <f t="shared" ca="1" si="84"/>
        <v>0.61558690524120996</v>
      </c>
      <c r="AE424" s="24">
        <f t="shared" ca="1" si="85"/>
        <v>0.92161495205219934</v>
      </c>
      <c r="AF424" s="24"/>
      <c r="AG424">
        <v>419</v>
      </c>
      <c r="AH424">
        <f t="shared" ca="1" si="91"/>
        <v>314.76093796019563</v>
      </c>
      <c r="AI424">
        <f t="shared" ca="1" si="92"/>
        <v>166.37684612028553</v>
      </c>
      <c r="AJ424">
        <f t="shared" ca="1" si="93"/>
        <v>53.904708912104731</v>
      </c>
      <c r="AL424">
        <v>419</v>
      </c>
      <c r="AM424" s="4">
        <f t="shared" ca="1" si="86"/>
        <v>1.7195370594650816E-2</v>
      </c>
      <c r="AN424" s="4">
        <f t="shared" ca="1" si="87"/>
        <v>1.2887201292110406E-2</v>
      </c>
      <c r="AO424" s="4">
        <f t="shared" ca="1" si="88"/>
        <v>1.6494628567659486E-2</v>
      </c>
      <c r="AP424" s="4">
        <f t="shared" ca="1" si="89"/>
        <v>1.5261880265537254E-2</v>
      </c>
    </row>
    <row r="425" spans="20:42" x14ac:dyDescent="0.3">
      <c r="T425">
        <v>419</v>
      </c>
      <c r="U425" s="4">
        <v>-2.9622560896939262E-3</v>
      </c>
      <c r="V425" s="4"/>
      <c r="W425">
        <v>420</v>
      </c>
      <c r="X425">
        <f t="shared" ca="1" si="90"/>
        <v>-2.5380750102079679</v>
      </c>
      <c r="Y425">
        <f t="shared" ca="1" si="90"/>
        <v>-0.30113967329319125</v>
      </c>
      <c r="Z425">
        <f t="shared" ca="1" si="90"/>
        <v>-2.1525957213153579</v>
      </c>
      <c r="AB425">
        <v>420</v>
      </c>
      <c r="AC425" s="24">
        <f t="shared" ca="1" si="83"/>
        <v>-2.5380750102079679</v>
      </c>
      <c r="AD425" s="24">
        <f t="shared" ca="1" si="84"/>
        <v>-2.3569573765862049</v>
      </c>
      <c r="AE425" s="24">
        <f t="shared" ca="1" si="85"/>
        <v>-3.2472492713416292</v>
      </c>
      <c r="AF425" s="24"/>
      <c r="AG425">
        <v>420</v>
      </c>
      <c r="AH425">
        <f t="shared" ca="1" si="91"/>
        <v>296.37067653405563</v>
      </c>
      <c r="AI425">
        <f t="shared" ca="1" si="92"/>
        <v>156.40545294594969</v>
      </c>
      <c r="AJ425">
        <f t="shared" ca="1" si="93"/>
        <v>50.060543965586177</v>
      </c>
      <c r="AL425">
        <v>420</v>
      </c>
      <c r="AM425" s="4">
        <f t="shared" ca="1" si="86"/>
        <v>-4.223541172516998E-2</v>
      </c>
      <c r="AN425" s="4">
        <f t="shared" ca="1" si="87"/>
        <v>-4.7817739093851452E-2</v>
      </c>
      <c r="AO425" s="4">
        <f t="shared" ca="1" si="88"/>
        <v>-5.5995754894678784E-2</v>
      </c>
      <c r="AP425" s="4">
        <f t="shared" ca="1" si="89"/>
        <v>-4.8596445623495216E-2</v>
      </c>
    </row>
    <row r="426" spans="20:42" x14ac:dyDescent="0.3">
      <c r="T426">
        <v>420</v>
      </c>
      <c r="U426" s="4">
        <v>-2.9253975688348531E-3</v>
      </c>
      <c r="V426" s="4"/>
      <c r="W426">
        <v>421</v>
      </c>
      <c r="X426">
        <f t="shared" ca="1" si="90"/>
        <v>-0.41336800705995469</v>
      </c>
      <c r="Y426">
        <f t="shared" ca="1" si="90"/>
        <v>-1.5380760215926264</v>
      </c>
      <c r="Z426">
        <f t="shared" ca="1" si="90"/>
        <v>0.37444636359923544</v>
      </c>
      <c r="AB426">
        <v>421</v>
      </c>
      <c r="AC426" s="24">
        <f t="shared" ca="1" si="83"/>
        <v>-0.41336800705995469</v>
      </c>
      <c r="AD426" s="24">
        <f t="shared" ca="1" si="84"/>
        <v>-1.1175743222727763</v>
      </c>
      <c r="AE426" s="24">
        <f t="shared" ca="1" si="85"/>
        <v>-0.57194541486705452</v>
      </c>
      <c r="AF426" s="24"/>
      <c r="AG426">
        <v>421</v>
      </c>
      <c r="AH426">
        <f t="shared" ca="1" si="91"/>
        <v>307.27424618062872</v>
      </c>
      <c r="AI426">
        <f t="shared" ca="1" si="92"/>
        <v>160.48818662531411</v>
      </c>
      <c r="AJ426">
        <f t="shared" ca="1" si="93"/>
        <v>52.494671805006298</v>
      </c>
      <c r="AL426">
        <v>421</v>
      </c>
      <c r="AM426" s="4">
        <f t="shared" ca="1" si="86"/>
        <v>-6.9989537347789899E-3</v>
      </c>
      <c r="AN426" s="4">
        <f t="shared" ca="1" si="87"/>
        <v>-2.2962425469726488E-2</v>
      </c>
      <c r="AO426" s="4">
        <f t="shared" ca="1" si="88"/>
        <v>-1.0094795146393554E-2</v>
      </c>
      <c r="AP426" s="4">
        <f t="shared" ca="1" si="89"/>
        <v>-1.431309485224236E-2</v>
      </c>
    </row>
    <row r="427" spans="20:42" x14ac:dyDescent="0.3">
      <c r="T427">
        <v>421</v>
      </c>
      <c r="U427" s="4">
        <v>-2.9121490109871306E-3</v>
      </c>
      <c r="V427" s="4"/>
      <c r="W427">
        <v>422</v>
      </c>
      <c r="X427">
        <f t="shared" ca="1" si="90"/>
        <v>-1.5903253544316498</v>
      </c>
      <c r="Y427">
        <f t="shared" ca="1" si="90"/>
        <v>0.60158719649414483</v>
      </c>
      <c r="Z427">
        <f t="shared" ca="1" si="90"/>
        <v>-0.57506826140352474</v>
      </c>
      <c r="AB427">
        <v>422</v>
      </c>
      <c r="AC427" s="24">
        <f t="shared" ca="1" si="83"/>
        <v>-1.5903253544316498</v>
      </c>
      <c r="AD427" s="24">
        <f t="shared" ca="1" si="84"/>
        <v>-1.0874382954387913</v>
      </c>
      <c r="AE427" s="24">
        <f t="shared" ca="1" si="85"/>
        <v>-1.4238562173538796</v>
      </c>
      <c r="AF427" s="24"/>
      <c r="AG427">
        <v>422</v>
      </c>
      <c r="AH427">
        <f t="shared" ca="1" si="91"/>
        <v>301.1857005821239</v>
      </c>
      <c r="AI427">
        <f t="shared" ca="1" si="92"/>
        <v>160.58877577367565</v>
      </c>
      <c r="AJ427">
        <f t="shared" ca="1" si="93"/>
        <v>51.706983211138819</v>
      </c>
      <c r="AL427">
        <v>422</v>
      </c>
      <c r="AM427" s="4">
        <f t="shared" ca="1" si="86"/>
        <v>-2.6674967018348261E-2</v>
      </c>
      <c r="AN427" s="4">
        <f t="shared" ca="1" si="87"/>
        <v>-2.2350047826201425E-2</v>
      </c>
      <c r="AO427" s="4">
        <f t="shared" ca="1" si="88"/>
        <v>-2.4948436707761923E-2</v>
      </c>
      <c r="AP427" s="4">
        <f t="shared" ca="1" si="89"/>
        <v>-2.4427040248313624E-2</v>
      </c>
    </row>
    <row r="428" spans="20:42" x14ac:dyDescent="0.3">
      <c r="T428">
        <v>422</v>
      </c>
      <c r="U428" s="4">
        <v>-2.8806341340977372E-3</v>
      </c>
      <c r="V428" s="4"/>
      <c r="W428">
        <v>423</v>
      </c>
      <c r="X428">
        <f t="shared" ca="1" si="90"/>
        <v>-0.79767760204066085</v>
      </c>
      <c r="Y428">
        <f t="shared" ca="1" si="90"/>
        <v>1.8573145985016255</v>
      </c>
      <c r="Z428">
        <f t="shared" ca="1" si="90"/>
        <v>0.30249902794571476</v>
      </c>
      <c r="AB428">
        <v>423</v>
      </c>
      <c r="AC428" s="24">
        <f t="shared" ca="1" si="83"/>
        <v>-0.79767760204066085</v>
      </c>
      <c r="AD428" s="24">
        <f t="shared" ca="1" si="84"/>
        <v>0.22105208169389612</v>
      </c>
      <c r="AE428" s="24">
        <f t="shared" ca="1" si="85"/>
        <v>1.5142464484774076E-2</v>
      </c>
      <c r="AF428" s="24"/>
      <c r="AG428">
        <v>423</v>
      </c>
      <c r="AH428">
        <f t="shared" ca="1" si="91"/>
        <v>305.27275151562111</v>
      </c>
      <c r="AI428">
        <f t="shared" ca="1" si="92"/>
        <v>165.01764352346555</v>
      </c>
      <c r="AJ428">
        <f t="shared" ca="1" si="93"/>
        <v>53.044474481128738</v>
      </c>
      <c r="AL428">
        <v>423</v>
      </c>
      <c r="AM428" s="4">
        <f t="shared" ca="1" si="86"/>
        <v>-1.3467072430540128E-2</v>
      </c>
      <c r="AN428" s="4">
        <f t="shared" ca="1" si="87"/>
        <v>4.6124987335185441E-3</v>
      </c>
      <c r="AO428" s="4">
        <f t="shared" ca="1" si="88"/>
        <v>2.729719435254907E-4</v>
      </c>
      <c r="AP428" s="4">
        <f t="shared" ca="1" si="89"/>
        <v>-2.1132306526969731E-3</v>
      </c>
    </row>
    <row r="429" spans="20:42" x14ac:dyDescent="0.3">
      <c r="T429">
        <v>423</v>
      </c>
      <c r="U429" s="4">
        <v>-2.8724089446951926E-3</v>
      </c>
      <c r="V429" s="4"/>
      <c r="W429">
        <v>424</v>
      </c>
      <c r="X429">
        <f t="shared" ca="1" si="90"/>
        <v>-8.9461742603001645E-2</v>
      </c>
      <c r="Y429">
        <f t="shared" ca="1" si="90"/>
        <v>-1.1345658998595169</v>
      </c>
      <c r="Z429">
        <f t="shared" ca="1" si="90"/>
        <v>0.79530097559043711</v>
      </c>
      <c r="AB429">
        <v>424</v>
      </c>
      <c r="AC429" s="24">
        <f t="shared" ca="1" si="83"/>
        <v>-8.9461742603001645E-2</v>
      </c>
      <c r="AD429" s="24">
        <f t="shared" ca="1" si="84"/>
        <v>-0.63689316778100369</v>
      </c>
      <c r="AE429" s="24">
        <f t="shared" ca="1" si="85"/>
        <v>1.7413418530776437E-2</v>
      </c>
      <c r="AF429" s="24"/>
      <c r="AG429">
        <v>424</v>
      </c>
      <c r="AH429">
        <f t="shared" ca="1" si="91"/>
        <v>308.9713461079686</v>
      </c>
      <c r="AI429">
        <f t="shared" ca="1" si="92"/>
        <v>162.10016110826669</v>
      </c>
      <c r="AJ429">
        <f t="shared" ca="1" si="93"/>
        <v>53.046612351318679</v>
      </c>
      <c r="AL429">
        <v>424</v>
      </c>
      <c r="AM429" s="4">
        <f t="shared" ca="1" si="86"/>
        <v>-1.5145305381975005E-3</v>
      </c>
      <c r="AN429" s="4">
        <f t="shared" ca="1" si="87"/>
        <v>-1.3148870515020228E-2</v>
      </c>
      <c r="AO429" s="4">
        <f t="shared" ca="1" si="88"/>
        <v>3.1328629840299271E-4</v>
      </c>
      <c r="AP429" s="4">
        <f t="shared" ca="1" si="89"/>
        <v>-5.6199214779464445E-3</v>
      </c>
    </row>
    <row r="430" spans="20:42" x14ac:dyDescent="0.3">
      <c r="T430">
        <v>424</v>
      </c>
      <c r="U430" s="4">
        <v>-2.8546884116199211E-3</v>
      </c>
      <c r="V430" s="4"/>
      <c r="W430">
        <v>425</v>
      </c>
      <c r="X430">
        <f t="shared" ca="1" si="90"/>
        <v>-0.51206218830563399</v>
      </c>
      <c r="Y430">
        <f t="shared" ca="1" si="90"/>
        <v>-1.0620589144045798</v>
      </c>
      <c r="Z430">
        <f t="shared" ca="1" si="90"/>
        <v>0.22994350873436159</v>
      </c>
      <c r="AB430">
        <v>425</v>
      </c>
      <c r="AC430" s="24">
        <f t="shared" ca="1" si="83"/>
        <v>-0.51206218830563399</v>
      </c>
      <c r="AD430" s="24">
        <f t="shared" ca="1" si="84"/>
        <v>-0.96890318921435536</v>
      </c>
      <c r="AE430" s="24">
        <f t="shared" ca="1" si="85"/>
        <v>-0.59443678449620752</v>
      </c>
      <c r="AF430" s="24"/>
      <c r="AG430">
        <v>425</v>
      </c>
      <c r="AH430">
        <f t="shared" ca="1" si="91"/>
        <v>306.75899538764764</v>
      </c>
      <c r="AI430">
        <f t="shared" ca="1" si="92"/>
        <v>160.98503871292138</v>
      </c>
      <c r="AJ430">
        <f t="shared" ca="1" si="93"/>
        <v>52.473722552168944</v>
      </c>
      <c r="AL430">
        <v>425</v>
      </c>
      <c r="AM430" s="4">
        <f t="shared" ca="1" si="86"/>
        <v>-8.6640609895485277E-3</v>
      </c>
      <c r="AN430" s="4">
        <f t="shared" ca="1" si="87"/>
        <v>-1.9937634868101406E-2</v>
      </c>
      <c r="AO430" s="4">
        <f t="shared" ca="1" si="88"/>
        <v>-1.048984046639323E-2</v>
      </c>
      <c r="AP430" s="4">
        <f t="shared" ca="1" si="89"/>
        <v>-1.372122438402309E-2</v>
      </c>
    </row>
    <row r="431" spans="20:42" x14ac:dyDescent="0.3">
      <c r="T431">
        <v>425</v>
      </c>
      <c r="U431" s="4">
        <v>-2.8400067992952801E-3</v>
      </c>
      <c r="V431" s="4"/>
      <c r="W431">
        <v>426</v>
      </c>
      <c r="X431">
        <f t="shared" ca="1" si="90"/>
        <v>-1.1364619027452529</v>
      </c>
      <c r="Y431">
        <f t="shared" ca="1" si="90"/>
        <v>0.59711361648685901</v>
      </c>
      <c r="Z431">
        <f t="shared" ca="1" si="90"/>
        <v>0.28570655686778668</v>
      </c>
      <c r="AB431">
        <v>426</v>
      </c>
      <c r="AC431" s="24">
        <f t="shared" ca="1" si="83"/>
        <v>-1.1364619027452529</v>
      </c>
      <c r="AD431" s="24">
        <f t="shared" ca="1" si="84"/>
        <v>-0.69470117410019161</v>
      </c>
      <c r="AE431" s="24">
        <f t="shared" ca="1" si="85"/>
        <v>-0.61777903399549339</v>
      </c>
      <c r="AF431" s="24"/>
      <c r="AG431">
        <v>426</v>
      </c>
      <c r="AH431">
        <f t="shared" ca="1" si="91"/>
        <v>303.51916864333293</v>
      </c>
      <c r="AI431">
        <f t="shared" ca="1" si="92"/>
        <v>161.90544742450038</v>
      </c>
      <c r="AJ431">
        <f t="shared" ca="1" si="93"/>
        <v>52.451989600550391</v>
      </c>
      <c r="AL431">
        <v>426</v>
      </c>
      <c r="AM431" s="4">
        <f t="shared" ca="1" si="86"/>
        <v>-1.9134028410545345E-2</v>
      </c>
      <c r="AN431" s="4">
        <f t="shared" ca="1" si="87"/>
        <v>-1.4334269822690371E-2</v>
      </c>
      <c r="AO431" s="4">
        <f t="shared" ca="1" si="88"/>
        <v>-1.0899664191055258E-2</v>
      </c>
      <c r="AP431" s="4">
        <f t="shared" ca="1" si="89"/>
        <v>-1.4743815709556331E-2</v>
      </c>
    </row>
    <row r="432" spans="20:42" x14ac:dyDescent="0.3">
      <c r="T432">
        <v>426</v>
      </c>
      <c r="U432" s="4">
        <v>-2.8333253888417559E-3</v>
      </c>
      <c r="V432" s="4"/>
      <c r="W432">
        <v>427</v>
      </c>
      <c r="X432">
        <f t="shared" ca="1" si="90"/>
        <v>-7.3075112955147126E-2</v>
      </c>
      <c r="Y432">
        <f t="shared" ca="1" si="90"/>
        <v>-0.8662391212864895</v>
      </c>
      <c r="Z432">
        <f t="shared" ca="1" si="90"/>
        <v>0.26679933781411252</v>
      </c>
      <c r="AB432">
        <v>427</v>
      </c>
      <c r="AC432" s="24">
        <f t="shared" ca="1" si="83"/>
        <v>-7.3075112955147126E-2</v>
      </c>
      <c r="AD432" s="24">
        <f t="shared" ca="1" si="84"/>
        <v>-0.49041865251218253</v>
      </c>
      <c r="AE432" s="24">
        <f t="shared" ca="1" si="85"/>
        <v>-0.16336344714353374</v>
      </c>
      <c r="AF432" s="24"/>
      <c r="AG432">
        <v>427</v>
      </c>
      <c r="AH432">
        <f t="shared" ca="1" si="91"/>
        <v>309.05745216198068</v>
      </c>
      <c r="AI432">
        <f t="shared" ca="1" si="92"/>
        <v>162.59457764849626</v>
      </c>
      <c r="AJ432">
        <f t="shared" ca="1" si="93"/>
        <v>52.876698761691841</v>
      </c>
      <c r="AL432">
        <v>427</v>
      </c>
      <c r="AM432" s="4">
        <f t="shared" ca="1" si="86"/>
        <v>-1.2362664051419614E-3</v>
      </c>
      <c r="AN432" s="4">
        <f t="shared" ca="1" si="87"/>
        <v>-1.0138907305694889E-2</v>
      </c>
      <c r="AO432" s="4">
        <f t="shared" ca="1" si="88"/>
        <v>-2.890816917476613E-3</v>
      </c>
      <c r="AP432" s="4">
        <f t="shared" ca="1" si="89"/>
        <v>-5.2936879190635276E-3</v>
      </c>
    </row>
    <row r="433" spans="20:42" x14ac:dyDescent="0.3">
      <c r="T433">
        <v>427</v>
      </c>
      <c r="U433" s="4">
        <v>-2.8123489065540628E-3</v>
      </c>
      <c r="V433" s="4"/>
      <c r="W433">
        <v>428</v>
      </c>
      <c r="X433">
        <f t="shared" ca="1" si="90"/>
        <v>0.28291480030378535</v>
      </c>
      <c r="Y433">
        <f t="shared" ca="1" si="90"/>
        <v>-0.36353314657016061</v>
      </c>
      <c r="Z433">
        <f t="shared" ca="1" si="90"/>
        <v>0.63618410418644344</v>
      </c>
      <c r="AB433">
        <v>428</v>
      </c>
      <c r="AC433" s="24">
        <f t="shared" ca="1" si="83"/>
        <v>0.28291480030378535</v>
      </c>
      <c r="AD433" s="24">
        <f t="shared" ca="1" si="84"/>
        <v>6.7058680606967846E-2</v>
      </c>
      <c r="AE433" s="24">
        <f t="shared" ca="1" si="85"/>
        <v>0.45344385716256808</v>
      </c>
      <c r="AF433" s="24"/>
      <c r="AG433">
        <v>428</v>
      </c>
      <c r="AH433">
        <f t="shared" ca="1" si="91"/>
        <v>310.93399032447604</v>
      </c>
      <c r="AI433">
        <f t="shared" ca="1" si="92"/>
        <v>164.49014235412582</v>
      </c>
      <c r="AJ433">
        <f t="shared" ca="1" si="93"/>
        <v>53.458690855857093</v>
      </c>
      <c r="AL433">
        <v>428</v>
      </c>
      <c r="AM433" s="4">
        <f t="shared" ca="1" si="86"/>
        <v>4.8280373296367696E-3</v>
      </c>
      <c r="AN433" s="4">
        <f t="shared" ca="1" si="87"/>
        <v>1.4011192925083016E-3</v>
      </c>
      <c r="AO433" s="4">
        <f t="shared" ca="1" si="88"/>
        <v>8.0839541095305556E-3</v>
      </c>
      <c r="AP433" s="4">
        <f t="shared" ca="1" si="89"/>
        <v>4.4340451487535175E-3</v>
      </c>
    </row>
    <row r="434" spans="20:42" x14ac:dyDescent="0.3">
      <c r="T434">
        <v>428</v>
      </c>
      <c r="U434" s="4">
        <v>-2.8087997057666845E-3</v>
      </c>
      <c r="V434" s="4"/>
      <c r="W434">
        <v>429</v>
      </c>
      <c r="X434">
        <f t="shared" ca="1" si="90"/>
        <v>1.402898453204706</v>
      </c>
      <c r="Y434">
        <f t="shared" ca="1" si="90"/>
        <v>-0.79891290462502595</v>
      </c>
      <c r="Z434">
        <f t="shared" ca="1" si="90"/>
        <v>0.1061281839245528</v>
      </c>
      <c r="AB434">
        <v>429</v>
      </c>
      <c r="AC434" s="24">
        <f t="shared" ca="1" si="83"/>
        <v>1.402898453204706</v>
      </c>
      <c r="AD434" s="24">
        <f t="shared" ca="1" si="84"/>
        <v>0.82711355405167764</v>
      </c>
      <c r="AE434" s="24">
        <f t="shared" ca="1" si="85"/>
        <v>0.97840789626279201</v>
      </c>
      <c r="AF434" s="24"/>
      <c r="AG434">
        <v>429</v>
      </c>
      <c r="AH434">
        <f t="shared" ca="1" si="91"/>
        <v>316.91242260185527</v>
      </c>
      <c r="AI434">
        <f t="shared" ca="1" si="92"/>
        <v>167.11017591840491</v>
      </c>
      <c r="AJ434">
        <f t="shared" ca="1" si="93"/>
        <v>53.95906698517053</v>
      </c>
      <c r="AL434">
        <v>429</v>
      </c>
      <c r="AM434" s="4">
        <f t="shared" ca="1" si="86"/>
        <v>2.4148203533782553E-2</v>
      </c>
      <c r="AN434" s="4">
        <f t="shared" ca="1" si="87"/>
        <v>1.7351646821413436E-2</v>
      </c>
      <c r="AO434" s="4">
        <f t="shared" ca="1" si="88"/>
        <v>1.7519672397888986E-2</v>
      </c>
      <c r="AP434" s="4">
        <f t="shared" ca="1" si="89"/>
        <v>1.9441021508066834E-2</v>
      </c>
    </row>
    <row r="435" spans="20:42" x14ac:dyDescent="0.3">
      <c r="T435">
        <v>429</v>
      </c>
      <c r="U435" s="4">
        <v>-2.7682417440040852E-3</v>
      </c>
      <c r="V435" s="4"/>
      <c r="W435">
        <v>430</v>
      </c>
      <c r="X435">
        <f t="shared" ca="1" si="90"/>
        <v>0.12589760272146491</v>
      </c>
      <c r="Y435">
        <f t="shared" ca="1" si="90"/>
        <v>0.21608219329058195</v>
      </c>
      <c r="Z435">
        <f t="shared" ca="1" si="90"/>
        <v>-0.91012285439640495</v>
      </c>
      <c r="AB435">
        <v>430</v>
      </c>
      <c r="AC435" s="24">
        <f t="shared" ca="1" si="83"/>
        <v>0.12589760272146491</v>
      </c>
      <c r="AD435" s="24">
        <f t="shared" ca="1" si="84"/>
        <v>0.21602543973050536</v>
      </c>
      <c r="AE435" s="24">
        <f t="shared" ca="1" si="85"/>
        <v>-0.29949169022918942</v>
      </c>
      <c r="AF435" s="24"/>
      <c r="AG435">
        <v>430</v>
      </c>
      <c r="AH435">
        <f t="shared" ca="1" si="91"/>
        <v>310.10490142341706</v>
      </c>
      <c r="AI435">
        <f t="shared" ca="1" si="92"/>
        <v>165.00039818823836</v>
      </c>
      <c r="AJ435">
        <f t="shared" ca="1" si="93"/>
        <v>52.749110076259846</v>
      </c>
      <c r="AL435">
        <v>430</v>
      </c>
      <c r="AM435" s="4">
        <f t="shared" ca="1" si="86"/>
        <v>2.1487169621416946E-3</v>
      </c>
      <c r="AN435" s="4">
        <f t="shared" ca="1" si="87"/>
        <v>4.5075106913665675E-3</v>
      </c>
      <c r="AO435" s="4">
        <f t="shared" ca="1" si="88"/>
        <v>-5.2967887894165289E-3</v>
      </c>
      <c r="AP435" s="4">
        <f t="shared" ca="1" si="89"/>
        <v>8.5858272836417701E-4</v>
      </c>
    </row>
    <row r="436" spans="20:42" x14ac:dyDescent="0.3">
      <c r="T436">
        <v>430</v>
      </c>
      <c r="U436" s="4">
        <v>-2.6666854636646195E-3</v>
      </c>
      <c r="V436" s="4"/>
      <c r="W436">
        <v>431</v>
      </c>
      <c r="X436">
        <f t="shared" ca="1" si="90"/>
        <v>0.98676569864508046</v>
      </c>
      <c r="Y436">
        <f t="shared" ca="1" si="90"/>
        <v>-0.62967531438603219</v>
      </c>
      <c r="Z436">
        <f t="shared" ca="1" si="90"/>
        <v>-1.3951294596796897</v>
      </c>
      <c r="AB436">
        <v>431</v>
      </c>
      <c r="AC436" s="24">
        <f t="shared" ca="1" si="83"/>
        <v>0.98676569864508046</v>
      </c>
      <c r="AD436" s="24">
        <f t="shared" ca="1" si="84"/>
        <v>0.54839457438147177</v>
      </c>
      <c r="AE436" s="24">
        <f t="shared" ca="1" si="85"/>
        <v>-7.6444891109696655E-2</v>
      </c>
      <c r="AF436" s="24"/>
      <c r="AG436">
        <v>431</v>
      </c>
      <c r="AH436">
        <f t="shared" ca="1" si="91"/>
        <v>314.67781722985796</v>
      </c>
      <c r="AI436">
        <f t="shared" ca="1" si="92"/>
        <v>166.14457497043915</v>
      </c>
      <c r="AJ436">
        <f t="shared" ca="1" si="93"/>
        <v>52.958326153533164</v>
      </c>
      <c r="AL436">
        <v>431</v>
      </c>
      <c r="AM436" s="4">
        <f t="shared" ca="1" si="86"/>
        <v>1.6926753965637475E-2</v>
      </c>
      <c r="AN436" s="4">
        <f t="shared" ca="1" si="87"/>
        <v>1.147315552555761E-2</v>
      </c>
      <c r="AO436" s="4">
        <f t="shared" ca="1" si="88"/>
        <v>-1.3515486972179858E-3</v>
      </c>
      <c r="AP436" s="4">
        <f t="shared" ca="1" si="89"/>
        <v>9.2618237907488889E-3</v>
      </c>
    </row>
    <row r="437" spans="20:42" x14ac:dyDescent="0.3">
      <c r="T437">
        <v>431</v>
      </c>
      <c r="U437" s="4">
        <v>-2.6401780343936697E-3</v>
      </c>
      <c r="V437" s="4"/>
      <c r="W437">
        <v>432</v>
      </c>
      <c r="X437">
        <f t="shared" ca="1" si="90"/>
        <v>-0.14950318085789838</v>
      </c>
      <c r="Y437">
        <f t="shared" ca="1" si="90"/>
        <v>-0.41719148258771316</v>
      </c>
      <c r="Z437">
        <f t="shared" ca="1" si="90"/>
        <v>-0.90659746112793671</v>
      </c>
      <c r="AB437">
        <v>432</v>
      </c>
      <c r="AC437" s="24">
        <f t="shared" ca="1" si="83"/>
        <v>-0.14950318085789838</v>
      </c>
      <c r="AD437" s="24">
        <f t="shared" ca="1" si="84"/>
        <v>-0.33566099215423673</v>
      </c>
      <c r="AE437" s="24">
        <f t="shared" ca="1" si="85"/>
        <v>-0.69730506890349031</v>
      </c>
      <c r="AF437" s="24"/>
      <c r="AG437">
        <v>432</v>
      </c>
      <c r="AH437">
        <f t="shared" ca="1" si="91"/>
        <v>308.65605411394006</v>
      </c>
      <c r="AI437">
        <f t="shared" ca="1" si="92"/>
        <v>163.11859190818279</v>
      </c>
      <c r="AJ437">
        <f t="shared" ca="1" si="93"/>
        <v>52.378013924150572</v>
      </c>
      <c r="AL437">
        <v>432</v>
      </c>
      <c r="AM437" s="4">
        <f t="shared" ca="1" si="86"/>
        <v>-2.5334420930739343E-3</v>
      </c>
      <c r="AN437" s="4">
        <f t="shared" ca="1" si="87"/>
        <v>-6.9487558554904849E-3</v>
      </c>
      <c r="AO437" s="4">
        <f t="shared" ca="1" si="88"/>
        <v>-1.2294642092293695E-2</v>
      </c>
      <c r="AP437" s="4">
        <f t="shared" ca="1" si="89"/>
        <v>-7.2279275978064834E-3</v>
      </c>
    </row>
    <row r="438" spans="20:42" x14ac:dyDescent="0.3">
      <c r="T438">
        <v>432</v>
      </c>
      <c r="U438" s="4">
        <v>-2.5424181533233448E-3</v>
      </c>
      <c r="V438" s="4"/>
      <c r="W438">
        <v>433</v>
      </c>
      <c r="X438">
        <f t="shared" ca="1" si="90"/>
        <v>-0.67073714165010867</v>
      </c>
      <c r="Y438">
        <f t="shared" ca="1" si="90"/>
        <v>-0.26380164499807407</v>
      </c>
      <c r="Z438">
        <f t="shared" ca="1" si="90"/>
        <v>-0.89978079777403885</v>
      </c>
      <c r="AB438">
        <v>433</v>
      </c>
      <c r="AC438" s="24">
        <f t="shared" ca="1" si="83"/>
        <v>-0.67073714165010867</v>
      </c>
      <c r="AD438" s="24">
        <f t="shared" ca="1" si="84"/>
        <v>-0.71364541638553303</v>
      </c>
      <c r="AE438" s="24">
        <f t="shared" ca="1" si="85"/>
        <v>-1.0769479207612016</v>
      </c>
      <c r="AF438" s="24"/>
      <c r="AG438">
        <v>433</v>
      </c>
      <c r="AH438">
        <f t="shared" ca="1" si="91"/>
        <v>305.93241471417065</v>
      </c>
      <c r="AI438">
        <f t="shared" ca="1" si="92"/>
        <v>161.84168876536393</v>
      </c>
      <c r="AJ438">
        <f t="shared" ca="1" si="93"/>
        <v>52.026302782154438</v>
      </c>
      <c r="AL438">
        <v>433</v>
      </c>
      <c r="AM438" s="4">
        <f t="shared" ca="1" si="86"/>
        <v>-1.1335275657837873E-2</v>
      </c>
      <c r="AN438" s="4">
        <f t="shared" ca="1" si="87"/>
        <v>-1.4722426776718534E-2</v>
      </c>
      <c r="AO438" s="4">
        <f t="shared" ca="1" si="88"/>
        <v>-1.8926947392919891E-2</v>
      </c>
      <c r="AP438" s="4">
        <f t="shared" ca="1" si="89"/>
        <v>-1.4967637625914743E-2</v>
      </c>
    </row>
    <row r="439" spans="20:42" x14ac:dyDescent="0.3">
      <c r="T439">
        <v>433</v>
      </c>
      <c r="U439" s="4">
        <v>-2.5017550611710735E-3</v>
      </c>
      <c r="V439" s="4"/>
      <c r="W439">
        <v>434</v>
      </c>
      <c r="X439">
        <f t="shared" ca="1" si="90"/>
        <v>-0.70468869184755878</v>
      </c>
      <c r="Y439">
        <f t="shared" ca="1" si="90"/>
        <v>-0.95794664117584249</v>
      </c>
      <c r="Z439">
        <f t="shared" ca="1" si="90"/>
        <v>0.56309745942536127</v>
      </c>
      <c r="AB439">
        <v>434</v>
      </c>
      <c r="AC439" s="24">
        <f t="shared" ca="1" si="83"/>
        <v>-0.70468869184755878</v>
      </c>
      <c r="AD439" s="24">
        <f t="shared" ca="1" si="84"/>
        <v>-1.0852220494615703</v>
      </c>
      <c r="AE439" s="24">
        <f t="shared" ca="1" si="85"/>
        <v>-0.553843077387566</v>
      </c>
      <c r="AF439" s="24"/>
      <c r="AG439">
        <v>434</v>
      </c>
      <c r="AH439">
        <f t="shared" ca="1" si="91"/>
        <v>305.75584139602637</v>
      </c>
      <c r="AI439">
        <f t="shared" ca="1" si="92"/>
        <v>160.59617572997828</v>
      </c>
      <c r="AJ439">
        <f t="shared" ca="1" si="93"/>
        <v>52.51153903347857</v>
      </c>
      <c r="AL439">
        <v>434</v>
      </c>
      <c r="AM439" s="4">
        <f t="shared" ca="1" si="86"/>
        <v>-1.1905897803491827E-2</v>
      </c>
      <c r="AN439" s="4">
        <f t="shared" ca="1" si="87"/>
        <v>-2.2304997561072404E-2</v>
      </c>
      <c r="AO439" s="4">
        <f t="shared" ca="1" si="88"/>
        <v>-9.7767255846258339E-3</v>
      </c>
      <c r="AP439" s="4">
        <f t="shared" ca="1" si="89"/>
        <v>-1.5426786040864261E-2</v>
      </c>
    </row>
    <row r="440" spans="20:42" x14ac:dyDescent="0.3">
      <c r="T440">
        <v>434</v>
      </c>
      <c r="U440" s="4">
        <v>-2.4500909002076686E-3</v>
      </c>
      <c r="V440" s="4"/>
      <c r="W440">
        <v>435</v>
      </c>
      <c r="X440">
        <f t="shared" ca="1" si="90"/>
        <v>-0.23291837841851395</v>
      </c>
      <c r="Y440">
        <f t="shared" ca="1" si="90"/>
        <v>-0.17962471193810964</v>
      </c>
      <c r="Z440">
        <f t="shared" ca="1" si="90"/>
        <v>-0.9177399747511974</v>
      </c>
      <c r="AB440">
        <v>435</v>
      </c>
      <c r="AC440" s="24">
        <f t="shared" ca="1" si="83"/>
        <v>-0.23291837841851395</v>
      </c>
      <c r="AD440" s="24">
        <f t="shared" ca="1" si="84"/>
        <v>-0.29118838481454501</v>
      </c>
      <c r="AE440" s="24">
        <f t="shared" ca="1" si="85"/>
        <v>-0.7054662895987609</v>
      </c>
      <c r="AF440" s="24"/>
      <c r="AG440">
        <v>435</v>
      </c>
      <c r="AH440">
        <f t="shared" ca="1" si="91"/>
        <v>308.21855483265938</v>
      </c>
      <c r="AI440">
        <f t="shared" ca="1" si="92"/>
        <v>163.26948969100374</v>
      </c>
      <c r="AJ440">
        <f t="shared" ca="1" si="93"/>
        <v>52.370428204624076</v>
      </c>
      <c r="AL440">
        <v>435</v>
      </c>
      <c r="AM440" s="4">
        <f t="shared" ca="1" si="86"/>
        <v>-3.9472841232863765E-3</v>
      </c>
      <c r="AN440" s="4">
        <f t="shared" ca="1" si="87"/>
        <v>-6.0301037924973544E-3</v>
      </c>
      <c r="AO440" s="4">
        <f t="shared" ca="1" si="88"/>
        <v>-1.2437687909776507E-2</v>
      </c>
      <c r="AP440" s="4">
        <f t="shared" ca="1" si="89"/>
        <v>-7.3275331269178068E-3</v>
      </c>
    </row>
    <row r="441" spans="20:42" x14ac:dyDescent="0.3">
      <c r="T441">
        <v>435</v>
      </c>
      <c r="U441" s="4">
        <v>-2.4408076099786905E-3</v>
      </c>
      <c r="V441" s="4"/>
      <c r="W441">
        <v>436</v>
      </c>
      <c r="X441">
        <f t="shared" ca="1" si="90"/>
        <v>0.44709048448828048</v>
      </c>
      <c r="Y441">
        <f t="shared" ca="1" si="90"/>
        <v>-0.2634366394173725</v>
      </c>
      <c r="Z441">
        <f t="shared" ca="1" si="90"/>
        <v>1.1130773489966381</v>
      </c>
      <c r="AB441">
        <v>436</v>
      </c>
      <c r="AC441" s="24">
        <f t="shared" ca="1" si="83"/>
        <v>0.44709048448828048</v>
      </c>
      <c r="AD441" s="24">
        <f t="shared" ca="1" si="84"/>
        <v>0.25924206777138309</v>
      </c>
      <c r="AE441" s="24">
        <f t="shared" ca="1" si="85"/>
        <v>0.85711047440225441</v>
      </c>
      <c r="AF441" s="24"/>
      <c r="AG441">
        <v>436</v>
      </c>
      <c r="AH441">
        <f t="shared" ca="1" si="91"/>
        <v>311.80324838933961</v>
      </c>
      <c r="AI441">
        <f t="shared" ca="1" si="92"/>
        <v>165.14872409156069</v>
      </c>
      <c r="AJ441">
        <f t="shared" ca="1" si="93"/>
        <v>53.843036335496357</v>
      </c>
      <c r="AL441">
        <v>436</v>
      </c>
      <c r="AM441" s="4">
        <f t="shared" ca="1" si="86"/>
        <v>7.6371701437698558E-3</v>
      </c>
      <c r="AN441" s="4">
        <f t="shared" ca="1" si="87"/>
        <v>5.4105053844302198E-3</v>
      </c>
      <c r="AO441" s="4">
        <f t="shared" ca="1" si="88"/>
        <v>1.5331653307843807E-2</v>
      </c>
      <c r="AP441" s="4">
        <f t="shared" ca="1" si="89"/>
        <v>9.0548491892561873E-3</v>
      </c>
    </row>
    <row r="442" spans="20:42" x14ac:dyDescent="0.3">
      <c r="T442">
        <v>436</v>
      </c>
      <c r="U442" s="4">
        <v>-2.4142881282388949E-3</v>
      </c>
      <c r="V442" s="4"/>
      <c r="W442">
        <v>437</v>
      </c>
      <c r="X442">
        <f t="shared" ca="1" si="90"/>
        <v>-0.6218718566603425</v>
      </c>
      <c r="Y442">
        <f t="shared" ca="1" si="90"/>
        <v>0.35245247600619545</v>
      </c>
      <c r="Z442">
        <f t="shared" ca="1" si="90"/>
        <v>-2.0361405758906894</v>
      </c>
      <c r="AB442">
        <v>437</v>
      </c>
      <c r="AC442" s="24">
        <f t="shared" ca="1" si="83"/>
        <v>-0.6218718566603425</v>
      </c>
      <c r="AD442" s="24">
        <f t="shared" ca="1" si="84"/>
        <v>-0.36747112261948756</v>
      </c>
      <c r="AE442" s="24">
        <f t="shared" ca="1" si="85"/>
        <v>-1.4436680972825593</v>
      </c>
      <c r="AF442" s="24"/>
      <c r="AG442">
        <v>437</v>
      </c>
      <c r="AH442">
        <f t="shared" ca="1" si="91"/>
        <v>306.18672955973415</v>
      </c>
      <c r="AI442">
        <f t="shared" ca="1" si="92"/>
        <v>163.01074410412573</v>
      </c>
      <c r="AJ442">
        <f t="shared" ca="1" si="93"/>
        <v>51.688806193731267</v>
      </c>
      <c r="AL442">
        <v>437</v>
      </c>
      <c r="AM442" s="4">
        <f t="shared" ca="1" si="86"/>
        <v>-1.0513420553271535E-2</v>
      </c>
      <c r="AN442" s="4">
        <f t="shared" ca="1" si="87"/>
        <v>-7.6053235388199303E-3</v>
      </c>
      <c r="AO442" s="4">
        <f t="shared" ca="1" si="88"/>
        <v>-2.5291205288300644E-2</v>
      </c>
      <c r="AP442" s="4">
        <f t="shared" ca="1" si="89"/>
        <v>-1.3783517167999627E-2</v>
      </c>
    </row>
    <row r="443" spans="20:42" x14ac:dyDescent="0.3">
      <c r="T443">
        <v>437</v>
      </c>
      <c r="U443" s="4">
        <v>-2.3806060743007621E-3</v>
      </c>
      <c r="V443" s="4"/>
      <c r="W443">
        <v>438</v>
      </c>
      <c r="X443">
        <f t="shared" ca="1" si="90"/>
        <v>0.8034923304278061</v>
      </c>
      <c r="Y443">
        <f t="shared" ca="1" si="90"/>
        <v>-0.35979404020926198</v>
      </c>
      <c r="Z443">
        <f t="shared" ca="1" si="90"/>
        <v>-0.91533003969725113</v>
      </c>
      <c r="AB443">
        <v>438</v>
      </c>
      <c r="AC443" s="24">
        <f t="shared" ca="1" si="83"/>
        <v>0.8034923304278061</v>
      </c>
      <c r="AD443" s="24">
        <f t="shared" ca="1" si="84"/>
        <v>0.52189555957982225</v>
      </c>
      <c r="AE443" s="24">
        <f t="shared" ca="1" si="85"/>
        <v>9.1967915813179202E-2</v>
      </c>
      <c r="AF443" s="24"/>
      <c r="AG443">
        <v>438</v>
      </c>
      <c r="AH443">
        <f t="shared" ca="1" si="91"/>
        <v>313.69865587274325</v>
      </c>
      <c r="AI443">
        <f t="shared" ca="1" si="92"/>
        <v>166.05306208235265</v>
      </c>
      <c r="AJ443">
        <f t="shared" ca="1" si="93"/>
        <v>53.11684562723309</v>
      </c>
      <c r="AL443">
        <v>438</v>
      </c>
      <c r="AM443" s="4">
        <f t="shared" ca="1" si="86"/>
        <v>1.3762452810682113E-2</v>
      </c>
      <c r="AN443" s="4">
        <f t="shared" ca="1" si="87"/>
        <v>1.0916033334233743E-2</v>
      </c>
      <c r="AO443" s="4">
        <f t="shared" ca="1" si="88"/>
        <v>1.6376928141699221E-3</v>
      </c>
      <c r="AP443" s="4">
        <f t="shared" ca="1" si="89"/>
        <v>8.9864570211491083E-3</v>
      </c>
    </row>
    <row r="444" spans="20:42" x14ac:dyDescent="0.3">
      <c r="T444">
        <v>438</v>
      </c>
      <c r="U444" s="4">
        <v>-2.3701633136208318E-3</v>
      </c>
      <c r="V444" s="4"/>
      <c r="W444">
        <v>439</v>
      </c>
      <c r="X444">
        <f t="shared" ca="1" si="90"/>
        <v>-1.383222335098893</v>
      </c>
      <c r="Y444">
        <f t="shared" ca="1" si="90"/>
        <v>0.65717512303665548</v>
      </c>
      <c r="Z444">
        <f t="shared" ca="1" si="90"/>
        <v>-0.3313566394620418</v>
      </c>
      <c r="AB444">
        <v>439</v>
      </c>
      <c r="AC444" s="24">
        <f t="shared" ca="1" si="83"/>
        <v>-1.383222335098893</v>
      </c>
      <c r="AD444" s="24">
        <f t="shared" ca="1" si="84"/>
        <v>-0.87983168223418695</v>
      </c>
      <c r="AE444" s="24">
        <f t="shared" ca="1" si="85"/>
        <v>-1.1157808863027716</v>
      </c>
      <c r="AF444" s="24"/>
      <c r="AG444">
        <v>439</v>
      </c>
      <c r="AH444">
        <f t="shared" ca="1" si="91"/>
        <v>302.24825471596449</v>
      </c>
      <c r="AI444">
        <f t="shared" ca="1" si="92"/>
        <v>161.28344812828675</v>
      </c>
      <c r="AJ444">
        <f t="shared" ca="1" si="93"/>
        <v>51.990460309542549</v>
      </c>
      <c r="AL444">
        <v>439</v>
      </c>
      <c r="AM444" s="4">
        <f t="shared" ca="1" si="86"/>
        <v>-2.3241170077237583E-2</v>
      </c>
      <c r="AN444" s="4">
        <f t="shared" ca="1" si="87"/>
        <v>-1.8120945318943038E-2</v>
      </c>
      <c r="AO444" s="4">
        <f t="shared" ca="1" si="88"/>
        <v>-1.9602837897105374E-2</v>
      </c>
      <c r="AP444" s="4">
        <f t="shared" ca="1" si="89"/>
        <v>-2.0101580519880105E-2</v>
      </c>
    </row>
    <row r="445" spans="20:42" x14ac:dyDescent="0.3">
      <c r="T445">
        <v>439</v>
      </c>
      <c r="U445" s="4">
        <v>-2.3507591180865653E-3</v>
      </c>
      <c r="V445" s="4"/>
      <c r="W445">
        <v>440</v>
      </c>
      <c r="X445">
        <f t="shared" ca="1" si="90"/>
        <v>0.33982611268699175</v>
      </c>
      <c r="Y445">
        <f t="shared" ca="1" si="90"/>
        <v>-2.8044758553855593</v>
      </c>
      <c r="Z445">
        <f t="shared" ca="1" si="90"/>
        <v>-0.64441634986721019</v>
      </c>
      <c r="AB445">
        <v>440</v>
      </c>
      <c r="AC445" s="24">
        <f t="shared" ca="1" si="83"/>
        <v>0.33982611268699175</v>
      </c>
      <c r="AD445" s="24">
        <f t="shared" ca="1" si="84"/>
        <v>-1.0861677451524745</v>
      </c>
      <c r="AE445" s="24">
        <f t="shared" ca="1" si="85"/>
        <v>-0.8238421448873654</v>
      </c>
      <c r="AF445" s="24"/>
      <c r="AG445">
        <v>440</v>
      </c>
      <c r="AH445">
        <f t="shared" ca="1" si="91"/>
        <v>311.23504286568988</v>
      </c>
      <c r="AI445">
        <f t="shared" ca="1" si="92"/>
        <v>160.59301804834294</v>
      </c>
      <c r="AJ445">
        <f t="shared" ca="1" si="93"/>
        <v>52.260523259990578</v>
      </c>
      <c r="AL445">
        <v>440</v>
      </c>
      <c r="AM445" s="4">
        <f t="shared" ca="1" si="86"/>
        <v>5.800932038913631E-3</v>
      </c>
      <c r="AN445" s="4">
        <f t="shared" ca="1" si="87"/>
        <v>-2.2324221241462827E-2</v>
      </c>
      <c r="AO445" s="4">
        <f t="shared" ca="1" si="88"/>
        <v>-1.4510193042030162E-2</v>
      </c>
      <c r="AP445" s="4">
        <f t="shared" ca="1" si="89"/>
        <v>-1.1542466797520089E-2</v>
      </c>
    </row>
    <row r="446" spans="20:42" x14ac:dyDescent="0.3">
      <c r="T446">
        <v>440</v>
      </c>
      <c r="U446" s="4">
        <v>-2.3450441236136043E-3</v>
      </c>
      <c r="V446" s="4"/>
      <c r="W446">
        <v>441</v>
      </c>
      <c r="X446">
        <f t="shared" ca="1" si="90"/>
        <v>-0.6415529835478212</v>
      </c>
      <c r="Y446">
        <f t="shared" ca="1" si="90"/>
        <v>-0.33161639254933756</v>
      </c>
      <c r="Z446">
        <f t="shared" ca="1" si="90"/>
        <v>-1.0808252519585657</v>
      </c>
      <c r="AB446">
        <v>441</v>
      </c>
      <c r="AC446" s="24">
        <f t="shared" ca="1" si="83"/>
        <v>-0.6415529835478212</v>
      </c>
      <c r="AD446" s="24">
        <f t="shared" ca="1" si="84"/>
        <v>-0.72166505696120564</v>
      </c>
      <c r="AE446" s="24">
        <f t="shared" ca="1" si="85"/>
        <v>-1.1637299245710548</v>
      </c>
      <c r="AF446" s="24"/>
      <c r="AG446">
        <v>441</v>
      </c>
      <c r="AH446">
        <f t="shared" ca="1" si="91"/>
        <v>306.08427554294929</v>
      </c>
      <c r="AI446">
        <f t="shared" ca="1" si="92"/>
        <v>161.81470546294153</v>
      </c>
      <c r="AJ446">
        <f t="shared" ca="1" si="93"/>
        <v>51.946237851581124</v>
      </c>
      <c r="AL446">
        <v>441</v>
      </c>
      <c r="AM446" s="4">
        <f t="shared" ca="1" si="86"/>
        <v>-1.0844515485977535E-2</v>
      </c>
      <c r="AN446" s="4">
        <f t="shared" ca="1" si="87"/>
        <v>-1.4886698682993749E-2</v>
      </c>
      <c r="AO446" s="4">
        <f t="shared" ca="1" si="88"/>
        <v>-2.0436751888796567E-2</v>
      </c>
      <c r="AP446" s="4">
        <f t="shared" ca="1" si="89"/>
        <v>-1.533905968562973E-2</v>
      </c>
    </row>
    <row r="447" spans="20:42" x14ac:dyDescent="0.3">
      <c r="T447">
        <v>441</v>
      </c>
      <c r="U447" s="4">
        <v>-2.3449324346766828E-3</v>
      </c>
      <c r="V447" s="4"/>
      <c r="W447">
        <v>442</v>
      </c>
      <c r="X447">
        <f t="shared" ca="1" si="90"/>
        <v>-1.2430127469966437</v>
      </c>
      <c r="Y447">
        <f t="shared" ca="1" si="90"/>
        <v>-1.4849893915977366</v>
      </c>
      <c r="Z447">
        <f t="shared" ca="1" si="90"/>
        <v>-0.93929789181139811</v>
      </c>
      <c r="AB447">
        <v>442</v>
      </c>
      <c r="AC447" s="24">
        <f t="shared" ca="1" si="83"/>
        <v>-1.2430127469966437</v>
      </c>
      <c r="AD447" s="24">
        <f t="shared" ca="1" si="84"/>
        <v>-1.8133540120108074</v>
      </c>
      <c r="AE447" s="24">
        <f t="shared" ca="1" si="85"/>
        <v>-1.9012149205554945</v>
      </c>
      <c r="AF447" s="24"/>
      <c r="AG447">
        <v>442</v>
      </c>
      <c r="AH447">
        <f t="shared" ca="1" si="91"/>
        <v>302.96973534617155</v>
      </c>
      <c r="AI447">
        <f t="shared" ca="1" si="92"/>
        <v>158.18322719092501</v>
      </c>
      <c r="AJ447">
        <f t="shared" ca="1" si="93"/>
        <v>51.270789070766469</v>
      </c>
      <c r="AL447">
        <v>442</v>
      </c>
      <c r="AM447" s="4">
        <f t="shared" ca="1" si="86"/>
        <v>-2.090960135789055E-2</v>
      </c>
      <c r="AN447" s="4">
        <f t="shared" ca="1" si="87"/>
        <v>-3.6994810173679449E-2</v>
      </c>
      <c r="AO447" s="4">
        <f t="shared" ca="1" si="88"/>
        <v>-3.3173859117966553E-2</v>
      </c>
      <c r="AP447" s="4">
        <f t="shared" ca="1" si="89"/>
        <v>-3.1022962212228909E-2</v>
      </c>
    </row>
    <row r="448" spans="20:42" x14ac:dyDescent="0.3">
      <c r="T448">
        <v>442</v>
      </c>
      <c r="U448" s="4">
        <v>-2.2481257994058975E-3</v>
      </c>
      <c r="V448" s="4"/>
      <c r="W448">
        <v>443</v>
      </c>
      <c r="X448">
        <f t="shared" ca="1" si="90"/>
        <v>-2.2955605610712762</v>
      </c>
      <c r="Y448">
        <f t="shared" ca="1" si="90"/>
        <v>-1.3744143455664206</v>
      </c>
      <c r="Z448">
        <f t="shared" ca="1" si="90"/>
        <v>0.32283721737548832</v>
      </c>
      <c r="AB448">
        <v>443</v>
      </c>
      <c r="AC448" s="24">
        <f t="shared" ca="1" si="83"/>
        <v>-2.2955605610712762</v>
      </c>
      <c r="AD448" s="24">
        <f t="shared" ca="1" si="84"/>
        <v>-2.6747719548008737</v>
      </c>
      <c r="AE448" s="24">
        <f t="shared" ca="1" si="85"/>
        <v>-2.0892557238971019</v>
      </c>
      <c r="AF448" s="24"/>
      <c r="AG448">
        <v>443</v>
      </c>
      <c r="AH448">
        <f t="shared" ca="1" si="91"/>
        <v>297.59538854278549</v>
      </c>
      <c r="AI448">
        <f t="shared" ca="1" si="92"/>
        <v>155.37535713444748</v>
      </c>
      <c r="AJ448">
        <f t="shared" ca="1" si="93"/>
        <v>51.09997575235581</v>
      </c>
      <c r="AL448">
        <v>443</v>
      </c>
      <c r="AM448" s="4">
        <f t="shared" ca="1" si="86"/>
        <v>-3.8277578222496889E-2</v>
      </c>
      <c r="AN448" s="4">
        <f t="shared" ca="1" si="87"/>
        <v>-5.4088869289581121E-2</v>
      </c>
      <c r="AO448" s="4">
        <f t="shared" ca="1" si="88"/>
        <v>-3.6394928745396848E-2</v>
      </c>
      <c r="AP448" s="4">
        <f t="shared" ca="1" si="89"/>
        <v>-4.4037299806200574E-2</v>
      </c>
    </row>
    <row r="449" spans="20:42" x14ac:dyDescent="0.3">
      <c r="T449">
        <v>443</v>
      </c>
      <c r="U449" s="4">
        <v>-2.0774661916300287E-3</v>
      </c>
      <c r="V449" s="4"/>
      <c r="W449">
        <v>444</v>
      </c>
      <c r="X449">
        <f t="shared" ca="1" si="90"/>
        <v>-0.11105233527478908</v>
      </c>
      <c r="Y449">
        <f t="shared" ca="1" si="90"/>
        <v>0.55214968574565282</v>
      </c>
      <c r="Z449">
        <f t="shared" ca="1" si="90"/>
        <v>1.0004726751594963</v>
      </c>
      <c r="AB449">
        <v>444</v>
      </c>
      <c r="AC449" s="24">
        <f t="shared" ca="1" si="83"/>
        <v>-0.11105233527478908</v>
      </c>
      <c r="AD449" s="24">
        <f t="shared" ca="1" si="84"/>
        <v>0.17543089686779317</v>
      </c>
      <c r="AE449" s="24">
        <f t="shared" ca="1" si="85"/>
        <v>0.56953053884987348</v>
      </c>
      <c r="AF449" s="24"/>
      <c r="AG449">
        <v>444</v>
      </c>
      <c r="AH449">
        <f t="shared" ca="1" si="91"/>
        <v>308.85793165997114</v>
      </c>
      <c r="AI449">
        <f t="shared" ca="1" si="92"/>
        <v>164.86119301186989</v>
      </c>
      <c r="AJ449">
        <f t="shared" ca="1" si="93"/>
        <v>53.568939241687133</v>
      </c>
      <c r="AL449">
        <v>444</v>
      </c>
      <c r="AM449" s="4">
        <f t="shared" ca="1" si="86"/>
        <v>-1.8810456852458302E-3</v>
      </c>
      <c r="AN449" s="4">
        <f t="shared" ca="1" si="87"/>
        <v>3.660042159625565E-3</v>
      </c>
      <c r="AO449" s="4">
        <f t="shared" ca="1" si="88"/>
        <v>1.0162935598647227E-2</v>
      </c>
      <c r="AP449" s="4">
        <f t="shared" ca="1" si="89"/>
        <v>3.9485838378706447E-3</v>
      </c>
    </row>
    <row r="450" spans="20:42" x14ac:dyDescent="0.3">
      <c r="T450">
        <v>444</v>
      </c>
      <c r="U450" s="4">
        <v>-1.9991892782281534E-3</v>
      </c>
      <c r="V450" s="4"/>
      <c r="W450">
        <v>445</v>
      </c>
      <c r="X450">
        <f t="shared" ca="1" si="90"/>
        <v>2.0717434406147559</v>
      </c>
      <c r="Y450">
        <f t="shared" ca="1" si="90"/>
        <v>0.45217659553250006</v>
      </c>
      <c r="Z450">
        <f t="shared" ca="1" si="90"/>
        <v>0.33175951429277317</v>
      </c>
      <c r="AB450">
        <v>445</v>
      </c>
      <c r="AC450" s="24">
        <f t="shared" ca="1" si="83"/>
        <v>2.0717434406147559</v>
      </c>
      <c r="AD450" s="24">
        <f t="shared" ca="1" si="84"/>
        <v>2.0255883629546863</v>
      </c>
      <c r="AE450" s="24">
        <f t="shared" ca="1" si="85"/>
        <v>1.9842075565496486</v>
      </c>
      <c r="AF450" s="24"/>
      <c r="AG450">
        <v>445</v>
      </c>
      <c r="AH450">
        <f t="shared" ca="1" si="91"/>
        <v>320.53737343974535</v>
      </c>
      <c r="AI450">
        <f t="shared" ca="1" si="92"/>
        <v>171.32655781595577</v>
      </c>
      <c r="AJ450">
        <f t="shared" ca="1" si="93"/>
        <v>54.930878004205702</v>
      </c>
      <c r="AL450">
        <v>445</v>
      </c>
      <c r="AM450" s="4">
        <f t="shared" ca="1" si="86"/>
        <v>3.5862755011581537E-2</v>
      </c>
      <c r="AN450" s="4">
        <f t="shared" ca="1" si="87"/>
        <v>4.3020598718129799E-2</v>
      </c>
      <c r="AO450" s="4">
        <f t="shared" ca="1" si="88"/>
        <v>3.5845356754015567E-2</v>
      </c>
      <c r="AP450" s="4">
        <f t="shared" ca="1" si="89"/>
        <v>3.8720673016931051E-2</v>
      </c>
    </row>
    <row r="451" spans="20:42" x14ac:dyDescent="0.3">
      <c r="T451">
        <v>445</v>
      </c>
      <c r="U451" s="4">
        <v>-1.9884546164296133E-3</v>
      </c>
      <c r="V451" s="4"/>
      <c r="W451">
        <v>446</v>
      </c>
      <c r="X451">
        <f t="shared" ca="1" si="90"/>
        <v>1.0410008397455759</v>
      </c>
      <c r="Y451">
        <f t="shared" ca="1" si="90"/>
        <v>-1.4521686474223761</v>
      </c>
      <c r="Z451">
        <f t="shared" ca="1" si="90"/>
        <v>-0.13005728170668884</v>
      </c>
      <c r="AB451">
        <v>446</v>
      </c>
      <c r="AC451" s="24">
        <f t="shared" ca="1" si="83"/>
        <v>1.0410008397455759</v>
      </c>
      <c r="AD451" s="24">
        <f t="shared" ca="1" si="84"/>
        <v>0.19031363301242232</v>
      </c>
      <c r="AE451" s="24">
        <f t="shared" ca="1" si="85"/>
        <v>0.38282052409615214</v>
      </c>
      <c r="AF451" s="24"/>
      <c r="AG451">
        <v>446</v>
      </c>
      <c r="AH451">
        <f t="shared" ca="1" si="91"/>
        <v>314.96816100315698</v>
      </c>
      <c r="AI451">
        <f t="shared" ca="1" si="92"/>
        <v>164.91221465216867</v>
      </c>
      <c r="AJ451">
        <f t="shared" ca="1" si="93"/>
        <v>53.391730388056168</v>
      </c>
      <c r="AL451">
        <v>446</v>
      </c>
      <c r="AM451" s="4">
        <f t="shared" ca="1" si="86"/>
        <v>1.7865041746817356E-2</v>
      </c>
      <c r="AN451" s="4">
        <f t="shared" ca="1" si="87"/>
        <v>3.9706572941990981E-3</v>
      </c>
      <c r="AO451" s="4">
        <f t="shared" ca="1" si="88"/>
        <v>6.821263757988083E-3</v>
      </c>
      <c r="AP451" s="4">
        <f t="shared" ca="1" si="89"/>
        <v>8.9941545691212699E-3</v>
      </c>
    </row>
    <row r="452" spans="20:42" x14ac:dyDescent="0.3">
      <c r="T452">
        <v>446</v>
      </c>
      <c r="U452" s="4">
        <v>-1.9346080259722176E-3</v>
      </c>
      <c r="V452" s="4"/>
      <c r="W452">
        <v>447</v>
      </c>
      <c r="X452">
        <f t="shared" ca="1" si="90"/>
        <v>1.3594084402619453</v>
      </c>
      <c r="Y452">
        <f t="shared" ca="1" si="90"/>
        <v>0.18919527009544987</v>
      </c>
      <c r="Z452">
        <f t="shared" ca="1" si="90"/>
        <v>1.2360538727919557</v>
      </c>
      <c r="AB452">
        <v>447</v>
      </c>
      <c r="AC452" s="24">
        <f t="shared" ca="1" si="83"/>
        <v>1.3594084402619453</v>
      </c>
      <c r="AD452" s="24">
        <f t="shared" ca="1" si="84"/>
        <v>1.2761496603052611</v>
      </c>
      <c r="AE452" s="24">
        <f t="shared" ca="1" si="85"/>
        <v>1.7891288923400235</v>
      </c>
      <c r="AF452" s="24"/>
      <c r="AG452">
        <v>447</v>
      </c>
      <c r="AH452">
        <f t="shared" ca="1" si="91"/>
        <v>316.67814349559899</v>
      </c>
      <c r="AI452">
        <f t="shared" ca="1" si="92"/>
        <v>168.67764526008193</v>
      </c>
      <c r="AJ452">
        <f t="shared" ca="1" si="93"/>
        <v>54.741033146502659</v>
      </c>
      <c r="AL452">
        <v>447</v>
      </c>
      <c r="AM452" s="4">
        <f t="shared" ca="1" si="86"/>
        <v>2.339109681064433E-2</v>
      </c>
      <c r="AN452" s="4">
        <f t="shared" ca="1" si="87"/>
        <v>2.6894258498609158E-2</v>
      </c>
      <c r="AO452" s="4">
        <f t="shared" ca="1" si="88"/>
        <v>3.2265404612339177E-2</v>
      </c>
      <c r="AP452" s="4">
        <f t="shared" ca="1" si="89"/>
        <v>2.7454653826338715E-2</v>
      </c>
    </row>
    <row r="453" spans="20:42" x14ac:dyDescent="0.3">
      <c r="T453">
        <v>447</v>
      </c>
      <c r="U453" s="4">
        <v>-1.9102315909763292E-3</v>
      </c>
      <c r="V453" s="4"/>
      <c r="W453">
        <v>448</v>
      </c>
      <c r="X453">
        <f t="shared" ca="1" si="90"/>
        <v>0.84265577813809911</v>
      </c>
      <c r="Y453">
        <f t="shared" ca="1" si="90"/>
        <v>-0.91367085887895738</v>
      </c>
      <c r="Z453">
        <f t="shared" ca="1" si="90"/>
        <v>-0.32289997185496011</v>
      </c>
      <c r="AB453">
        <v>448</v>
      </c>
      <c r="AC453" s="24">
        <f t="shared" ca="1" si="83"/>
        <v>0.84265577813809911</v>
      </c>
      <c r="AD453" s="24">
        <f t="shared" ca="1" si="84"/>
        <v>0.28305759591877044</v>
      </c>
      <c r="AE453" s="24">
        <f t="shared" ca="1" si="85"/>
        <v>0.27170579420693275</v>
      </c>
      <c r="AF453" s="24"/>
      <c r="AG453">
        <v>448</v>
      </c>
      <c r="AH453">
        <f t="shared" ca="1" si="91"/>
        <v>313.90763529732499</v>
      </c>
      <c r="AI453">
        <f t="shared" ca="1" si="92"/>
        <v>165.23051950815903</v>
      </c>
      <c r="AJ453">
        <f t="shared" ca="1" si="93"/>
        <v>53.286548350185818</v>
      </c>
      <c r="AL453">
        <v>448</v>
      </c>
      <c r="AM453" s="4">
        <f t="shared" ca="1" si="86"/>
        <v>1.4437799963386899E-2</v>
      </c>
      <c r="AN453" s="4">
        <f t="shared" ca="1" si="87"/>
        <v>5.9084684876429261E-3</v>
      </c>
      <c r="AO453" s="4">
        <f t="shared" ca="1" si="88"/>
        <v>4.837819664238463E-3</v>
      </c>
      <c r="AP453" s="4">
        <f t="shared" ca="1" si="89"/>
        <v>8.1460732833447784E-3</v>
      </c>
    </row>
    <row r="454" spans="20:42" x14ac:dyDescent="0.3">
      <c r="T454">
        <v>448</v>
      </c>
      <c r="U454" s="4">
        <v>-1.8838931805725267E-3</v>
      </c>
      <c r="V454" s="4"/>
      <c r="W454">
        <v>449</v>
      </c>
      <c r="X454">
        <f t="shared" ca="1" si="90"/>
        <v>-1.0886366665097156</v>
      </c>
      <c r="Y454">
        <f t="shared" ca="1" si="90"/>
        <v>0.66617601909919877</v>
      </c>
      <c r="Z454">
        <f t="shared" ca="1" si="90"/>
        <v>-0.12223860753269652</v>
      </c>
      <c r="AB454">
        <v>449</v>
      </c>
      <c r="AC454" s="24">
        <f t="shared" ref="AC454:AC517" ca="1" si="94">SUMPRODUCT($Q$24:$S$24,X454:Z454)</f>
        <v>-1.0886366665097156</v>
      </c>
      <c r="AD454" s="24">
        <f t="shared" ref="AD454:AD517" ca="1" si="95">SUMPRODUCT($Q$25:$S$25,X454:Z454)</f>
        <v>-0.61905497846275015</v>
      </c>
      <c r="AE454" s="24">
        <f t="shared" ref="AE454:AE517" ca="1" si="96">SUMPRODUCT($Q$26:$S$26,X454:Z454)</f>
        <v>-0.76671684213065294</v>
      </c>
      <c r="AF454" s="24"/>
      <c r="AG454">
        <v>449</v>
      </c>
      <c r="AH454">
        <f t="shared" ca="1" si="91"/>
        <v>303.76610508697735</v>
      </c>
      <c r="AI454">
        <f t="shared" ca="1" si="92"/>
        <v>162.16029243075721</v>
      </c>
      <c r="AJ454">
        <f t="shared" ca="1" si="93"/>
        <v>52.313531881914116</v>
      </c>
      <c r="AL454">
        <v>449</v>
      </c>
      <c r="AM454" s="4">
        <f t="shared" ref="AM454:AM517" ca="1" si="97">AH454/$AH$2-1</f>
        <v>-1.8336017676005123E-2</v>
      </c>
      <c r="AN454" s="4">
        <f t="shared" ref="AN454:AN517" ca="1" si="98">AI454/$AI$2-1</f>
        <v>-1.2782796458637558E-2</v>
      </c>
      <c r="AO454" s="4">
        <f t="shared" ref="AO454:AO517" ca="1" si="99">AJ454/$AJ$2-1</f>
        <v>-1.3510596150765775E-2</v>
      </c>
      <c r="AP454" s="4">
        <f t="shared" ref="AP454:AP517" ca="1" si="100">SUMPRODUCT($P$6:$R$6,AM454:AO454)</f>
        <v>-1.4667102731486293E-2</v>
      </c>
    </row>
    <row r="455" spans="20:42" x14ac:dyDescent="0.3">
      <c r="T455">
        <v>449</v>
      </c>
      <c r="U455" s="4">
        <v>-1.8757253685803619E-3</v>
      </c>
      <c r="V455" s="4"/>
      <c r="W455">
        <v>450</v>
      </c>
      <c r="X455">
        <f t="shared" ref="X455:Z518" ca="1" si="101">_xlfn.NORM.S.INV(RAND())</f>
        <v>1.5979881130480422</v>
      </c>
      <c r="Y455">
        <f t="shared" ca="1" si="101"/>
        <v>1.4006956517091349</v>
      </c>
      <c r="Z455">
        <f t="shared" ca="1" si="101"/>
        <v>-0.40897281028439697</v>
      </c>
      <c r="AB455">
        <v>450</v>
      </c>
      <c r="AC455" s="24">
        <f t="shared" ca="1" si="94"/>
        <v>1.5979881130480422</v>
      </c>
      <c r="AD455" s="24">
        <f t="shared" ca="1" si="95"/>
        <v>2.0807104585652021</v>
      </c>
      <c r="AE455" s="24">
        <f t="shared" ca="1" si="96"/>
        <v>1.4834180720883738</v>
      </c>
      <c r="AF455" s="24"/>
      <c r="AG455">
        <v>450</v>
      </c>
      <c r="AH455">
        <f t="shared" ref="AH455:AH518" ca="1" si="102">$L$21*EXP(($L$19-(($L$20^2)/2))*(1/252)+$L$20*AC455)</f>
        <v>317.96549787679709</v>
      </c>
      <c r="AI455">
        <f t="shared" ref="AI455:AI518" ca="1" si="103">$M$21*EXP(($M$19-(($M$20^2)/2))*(1/252)+$M$20*AD455)</f>
        <v>171.52302286503448</v>
      </c>
      <c r="AJ455">
        <f t="shared" ref="AJ455:AJ518" ca="1" si="104">$N$21*EXP(($N$19-(($N$20^2)/2))*(1/252)+$N$20*AE455)</f>
        <v>54.4448432116031</v>
      </c>
      <c r="AL455">
        <v>450</v>
      </c>
      <c r="AM455" s="4">
        <f t="shared" ca="1" si="97"/>
        <v>2.7551368175177782E-2</v>
      </c>
      <c r="AN455" s="4">
        <f t="shared" ca="1" si="98"/>
        <v>4.4216660179525746E-2</v>
      </c>
      <c r="AO455" s="4">
        <f t="shared" ca="1" si="99"/>
        <v>2.668007665236205E-2</v>
      </c>
      <c r="AP455" s="4">
        <f t="shared" ca="1" si="100"/>
        <v>3.3956097520072247E-2</v>
      </c>
    </row>
    <row r="456" spans="20:42" x14ac:dyDescent="0.3">
      <c r="T456">
        <v>450</v>
      </c>
      <c r="U456" s="4">
        <v>-1.8161100187189085E-3</v>
      </c>
      <c r="V456" s="4"/>
      <c r="W456">
        <v>451</v>
      </c>
      <c r="X456">
        <f t="shared" ca="1" si="101"/>
        <v>-2.3097298430152016</v>
      </c>
      <c r="Y456">
        <f t="shared" ca="1" si="101"/>
        <v>2.0771658469273051</v>
      </c>
      <c r="Z456">
        <f t="shared" ca="1" si="101"/>
        <v>0.56360337540022809</v>
      </c>
      <c r="AB456">
        <v>451</v>
      </c>
      <c r="AC456" s="24">
        <f t="shared" ca="1" si="94"/>
        <v>-2.3097298430152016</v>
      </c>
      <c r="AD456" s="24">
        <f t="shared" ca="1" si="95"/>
        <v>-0.98637121746683176</v>
      </c>
      <c r="AE456" s="24">
        <f t="shared" ca="1" si="96"/>
        <v>-1.0258314936003603</v>
      </c>
      <c r="AF456" s="24"/>
      <c r="AG456">
        <v>451</v>
      </c>
      <c r="AH456">
        <f t="shared" ca="1" si="102"/>
        <v>297.52369384220401</v>
      </c>
      <c r="AI456">
        <f t="shared" ca="1" si="103"/>
        <v>160.92658171059162</v>
      </c>
      <c r="AJ456">
        <f t="shared" ca="1" si="104"/>
        <v>52.073520450788088</v>
      </c>
      <c r="AL456">
        <v>451</v>
      </c>
      <c r="AM456" s="4">
        <f t="shared" ca="1" si="97"/>
        <v>-3.8509269988318384E-2</v>
      </c>
      <c r="AN456" s="4">
        <f t="shared" ca="1" si="98"/>
        <v>-2.0293515814677976E-2</v>
      </c>
      <c r="AO456" s="4">
        <f t="shared" ca="1" si="99"/>
        <v>-1.8036551961644109E-2</v>
      </c>
      <c r="AP456" s="4">
        <f t="shared" ca="1" si="100"/>
        <v>-2.5081152910859938E-2</v>
      </c>
    </row>
    <row r="457" spans="20:42" x14ac:dyDescent="0.3">
      <c r="T457">
        <v>451</v>
      </c>
      <c r="U457" s="4">
        <v>-1.8066377639940903E-3</v>
      </c>
      <c r="V457" s="4"/>
      <c r="W457">
        <v>452</v>
      </c>
      <c r="X457">
        <f t="shared" ca="1" si="101"/>
        <v>-0.73272330581742007</v>
      </c>
      <c r="Y457">
        <f t="shared" ca="1" si="101"/>
        <v>2.3948014289584482E-2</v>
      </c>
      <c r="Z457">
        <f t="shared" ca="1" si="101"/>
        <v>-0.68718523091551909</v>
      </c>
      <c r="AB457">
        <v>452</v>
      </c>
      <c r="AC457" s="24">
        <f t="shared" ca="1" si="94"/>
        <v>-0.73272330581742007</v>
      </c>
      <c r="AD457" s="24">
        <f t="shared" ca="1" si="95"/>
        <v>-0.62579866155965336</v>
      </c>
      <c r="AE457" s="24">
        <f t="shared" ca="1" si="96"/>
        <v>-0.94021482922569954</v>
      </c>
      <c r="AF457" s="24"/>
      <c r="AG457">
        <v>452</v>
      </c>
      <c r="AH457">
        <f t="shared" ca="1" si="102"/>
        <v>305.61011736886559</v>
      </c>
      <c r="AI457">
        <f t="shared" ca="1" si="103"/>
        <v>162.13755731196497</v>
      </c>
      <c r="AJ457">
        <f t="shared" ca="1" si="104"/>
        <v>52.152702968907825</v>
      </c>
      <c r="AL457">
        <v>452</v>
      </c>
      <c r="AM457" s="4">
        <f t="shared" ca="1" si="97"/>
        <v>-1.2376826015781939E-2</v>
      </c>
      <c r="AN457" s="4">
        <f t="shared" ca="1" si="98"/>
        <v>-1.2921205806942337E-2</v>
      </c>
      <c r="AO457" s="4">
        <f t="shared" ca="1" si="99"/>
        <v>-1.6543387338931459E-2</v>
      </c>
      <c r="AP457" s="4">
        <f t="shared" ca="1" si="100"/>
        <v>-1.3844546329190955E-2</v>
      </c>
    </row>
    <row r="458" spans="20:42" x14ac:dyDescent="0.3">
      <c r="T458">
        <v>452</v>
      </c>
      <c r="U458" s="4">
        <v>-1.7781250451056269E-3</v>
      </c>
      <c r="V458" s="4"/>
      <c r="W458">
        <v>453</v>
      </c>
      <c r="X458">
        <f t="shared" ca="1" si="101"/>
        <v>-6.2043518002529552E-2</v>
      </c>
      <c r="Y458">
        <f t="shared" ca="1" si="101"/>
        <v>0.38798535023412645</v>
      </c>
      <c r="Z458">
        <f t="shared" ca="1" si="101"/>
        <v>-0.33064435899836353</v>
      </c>
      <c r="AB458">
        <v>453</v>
      </c>
      <c r="AC458" s="24">
        <f t="shared" ca="1" si="94"/>
        <v>-6.2043518002529552E-2</v>
      </c>
      <c r="AD458" s="24">
        <f t="shared" ca="1" si="95"/>
        <v>0.1371869490674941</v>
      </c>
      <c r="AE458" s="24">
        <f t="shared" ca="1" si="96"/>
        <v>-0.11134668020400915</v>
      </c>
      <c r="AF458" s="24"/>
      <c r="AG458">
        <v>453</v>
      </c>
      <c r="AH458">
        <f t="shared" ca="1" si="102"/>
        <v>309.11543288105355</v>
      </c>
      <c r="AI458">
        <f t="shared" ca="1" si="103"/>
        <v>164.73015584233875</v>
      </c>
      <c r="AJ458">
        <f t="shared" ca="1" si="104"/>
        <v>52.925533879976193</v>
      </c>
      <c r="AL458">
        <v>453</v>
      </c>
      <c r="AM458" s="4">
        <f t="shared" ca="1" si="97"/>
        <v>-1.0488933486029195E-3</v>
      </c>
      <c r="AN458" s="4">
        <f t="shared" ca="1" si="98"/>
        <v>2.8622997152492058E-3</v>
      </c>
      <c r="AO458" s="4">
        <f t="shared" ca="1" si="99"/>
        <v>-1.9699208320816952E-3</v>
      </c>
      <c r="AP458" s="4">
        <f t="shared" ca="1" si="100"/>
        <v>2.3927563189429812E-4</v>
      </c>
    </row>
    <row r="459" spans="20:42" x14ac:dyDescent="0.3">
      <c r="T459">
        <v>453</v>
      </c>
      <c r="U459" s="4">
        <v>-1.7041112188664665E-3</v>
      </c>
      <c r="V459" s="4"/>
      <c r="W459">
        <v>454</v>
      </c>
      <c r="X459">
        <f t="shared" ca="1" si="101"/>
        <v>0.45451935994619169</v>
      </c>
      <c r="Y459">
        <f t="shared" ca="1" si="101"/>
        <v>-0.14047753041589664</v>
      </c>
      <c r="Z459">
        <f t="shared" ca="1" si="101"/>
        <v>-0.96127883600484743</v>
      </c>
      <c r="AB459">
        <v>454</v>
      </c>
      <c r="AC459" s="24">
        <f t="shared" ca="1" si="94"/>
        <v>0.45451935994619169</v>
      </c>
      <c r="AD459" s="24">
        <f t="shared" ca="1" si="95"/>
        <v>0.32629333455355819</v>
      </c>
      <c r="AE459" s="24">
        <f t="shared" ca="1" si="96"/>
        <v>-0.15565134267017927</v>
      </c>
      <c r="AF459" s="24"/>
      <c r="AG459">
        <v>454</v>
      </c>
      <c r="AH459">
        <f t="shared" ca="1" si="102"/>
        <v>311.84263934155632</v>
      </c>
      <c r="AI459">
        <f t="shared" ca="1" si="103"/>
        <v>165.37911798876954</v>
      </c>
      <c r="AJ459">
        <f t="shared" ca="1" si="104"/>
        <v>52.883936302750833</v>
      </c>
      <c r="AL459">
        <v>454</v>
      </c>
      <c r="AM459" s="4">
        <f t="shared" ca="1" si="97"/>
        <v>7.7644676874162322E-3</v>
      </c>
      <c r="AN459" s="4">
        <f t="shared" ca="1" si="98"/>
        <v>6.8131226066001638E-3</v>
      </c>
      <c r="AO459" s="4">
        <f t="shared" ca="1" si="99"/>
        <v>-2.7543367887646886E-3</v>
      </c>
      <c r="AP459" s="4">
        <f t="shared" ca="1" si="100"/>
        <v>4.2282883122355284E-3</v>
      </c>
    </row>
    <row r="460" spans="20:42" x14ac:dyDescent="0.3">
      <c r="T460">
        <v>454</v>
      </c>
      <c r="U460" s="4">
        <v>-1.5361981698443937E-3</v>
      </c>
      <c r="V460" s="4"/>
      <c r="W460">
        <v>455</v>
      </c>
      <c r="X460">
        <f t="shared" ca="1" si="101"/>
        <v>-7.7184331439163659E-2</v>
      </c>
      <c r="Y460">
        <f t="shared" ca="1" si="101"/>
        <v>0.22416898627283585</v>
      </c>
      <c r="Z460">
        <f t="shared" ca="1" si="101"/>
        <v>-1.5774197680030317</v>
      </c>
      <c r="AB460">
        <v>455</v>
      </c>
      <c r="AC460" s="24">
        <f t="shared" ca="1" si="94"/>
        <v>-7.7184331439163659E-2</v>
      </c>
      <c r="AD460" s="24">
        <f t="shared" ca="1" si="95"/>
        <v>4.3292942308213303E-2</v>
      </c>
      <c r="AE460" s="24">
        <f t="shared" ca="1" si="96"/>
        <v>-0.80168381274047873</v>
      </c>
      <c r="AF460" s="24"/>
      <c r="AG460">
        <v>455</v>
      </c>
      <c r="AH460">
        <f t="shared" ca="1" si="102"/>
        <v>309.03585739039352</v>
      </c>
      <c r="AI460">
        <f t="shared" ca="1" si="103"/>
        <v>164.40888364947588</v>
      </c>
      <c r="AJ460">
        <f t="shared" ca="1" si="104"/>
        <v>52.281078393360403</v>
      </c>
      <c r="AL460">
        <v>455</v>
      </c>
      <c r="AM460" s="4">
        <f t="shared" ca="1" si="97"/>
        <v>-1.3060530242499091E-3</v>
      </c>
      <c r="AN460" s="4">
        <f t="shared" ca="1" si="98"/>
        <v>9.0642364312687462E-4</v>
      </c>
      <c r="AO460" s="4">
        <f t="shared" ca="1" si="99"/>
        <v>-1.4122579731772111E-2</v>
      </c>
      <c r="AP460" s="4">
        <f t="shared" ca="1" si="100"/>
        <v>-4.2660203695558561E-3</v>
      </c>
    </row>
    <row r="461" spans="20:42" x14ac:dyDescent="0.3">
      <c r="T461">
        <v>455</v>
      </c>
      <c r="U461" s="4">
        <v>-1.533503669119063E-3</v>
      </c>
      <c r="V461" s="4"/>
      <c r="W461">
        <v>456</v>
      </c>
      <c r="X461">
        <f t="shared" ca="1" si="101"/>
        <v>0.63047847886845121</v>
      </c>
      <c r="Y461">
        <f t="shared" ca="1" si="101"/>
        <v>1.9360187549544758</v>
      </c>
      <c r="Z461">
        <f t="shared" ca="1" si="101"/>
        <v>-0.70833787369741197</v>
      </c>
      <c r="AB461">
        <v>456</v>
      </c>
      <c r="AC461" s="24">
        <f t="shared" ca="1" si="94"/>
        <v>0.63047847886845121</v>
      </c>
      <c r="AD461" s="24">
        <f t="shared" ca="1" si="95"/>
        <v>1.5025809858702071</v>
      </c>
      <c r="AE461" s="24">
        <f t="shared" ca="1" si="96"/>
        <v>0.68955244170197072</v>
      </c>
      <c r="AF461" s="24"/>
      <c r="AG461">
        <v>456</v>
      </c>
      <c r="AH461">
        <f t="shared" ca="1" si="102"/>
        <v>312.77710318231158</v>
      </c>
      <c r="AI461">
        <f t="shared" ca="1" si="103"/>
        <v>169.47362632672915</v>
      </c>
      <c r="AJ461">
        <f t="shared" ca="1" si="104"/>
        <v>53.683164000127775</v>
      </c>
      <c r="AL461">
        <v>456</v>
      </c>
      <c r="AM461" s="4">
        <f t="shared" ca="1" si="97"/>
        <v>1.0784322371305111E-2</v>
      </c>
      <c r="AN461" s="4">
        <f t="shared" ca="1" si="98"/>
        <v>3.1740119288006019E-2</v>
      </c>
      <c r="AO461" s="4">
        <f t="shared" ca="1" si="99"/>
        <v>1.2316900544338205E-2</v>
      </c>
      <c r="AP461" s="4">
        <f t="shared" ca="1" si="100"/>
        <v>1.9626414589895402E-2</v>
      </c>
    </row>
    <row r="462" spans="20:42" x14ac:dyDescent="0.3">
      <c r="T462">
        <v>456</v>
      </c>
      <c r="U462" s="4">
        <v>-1.5318864835183409E-3</v>
      </c>
      <c r="V462" s="4"/>
      <c r="W462">
        <v>457</v>
      </c>
      <c r="X462">
        <f t="shared" ca="1" si="101"/>
        <v>-2.729762249248173E-2</v>
      </c>
      <c r="Y462">
        <f t="shared" ca="1" si="101"/>
        <v>0.59587320513558306</v>
      </c>
      <c r="Z462">
        <f t="shared" ca="1" si="101"/>
        <v>0.64972541896112046</v>
      </c>
      <c r="AB462">
        <v>457</v>
      </c>
      <c r="AC462" s="24">
        <f t="shared" ca="1" si="94"/>
        <v>-2.729762249248173E-2</v>
      </c>
      <c r="AD462" s="24">
        <f t="shared" ca="1" si="95"/>
        <v>0.26985661510551534</v>
      </c>
      <c r="AE462" s="24">
        <f t="shared" ca="1" si="96"/>
        <v>0.4719534464670459</v>
      </c>
      <c r="AF462" s="24"/>
      <c r="AG462">
        <v>457</v>
      </c>
      <c r="AH462">
        <f t="shared" ca="1" si="102"/>
        <v>309.29812416907652</v>
      </c>
      <c r="AI462">
        <f t="shared" ca="1" si="103"/>
        <v>165.18517519049402</v>
      </c>
      <c r="AJ462">
        <f t="shared" ca="1" si="104"/>
        <v>53.4762543336901</v>
      </c>
      <c r="AL462">
        <v>457</v>
      </c>
      <c r="AM462" s="4">
        <f t="shared" ca="1" si="97"/>
        <v>-4.5850010086001536E-4</v>
      </c>
      <c r="AN462" s="4">
        <f t="shared" ca="1" si="98"/>
        <v>5.6324163801217964E-3</v>
      </c>
      <c r="AO462" s="4">
        <f t="shared" ca="1" si="99"/>
        <v>8.4151530202849489E-3</v>
      </c>
      <c r="AP462" s="4">
        <f t="shared" ca="1" si="100"/>
        <v>4.639962427876199E-3</v>
      </c>
    </row>
    <row r="463" spans="20:42" x14ac:dyDescent="0.3">
      <c r="T463">
        <v>457</v>
      </c>
      <c r="U463" s="4">
        <v>-1.4828593547143722E-3</v>
      </c>
      <c r="V463" s="4"/>
      <c r="W463">
        <v>458</v>
      </c>
      <c r="X463">
        <f t="shared" ca="1" si="101"/>
        <v>-0.73138880168869636</v>
      </c>
      <c r="Y463">
        <f t="shared" ca="1" si="101"/>
        <v>-0.91098939655833755</v>
      </c>
      <c r="Z463">
        <f t="shared" ca="1" si="101"/>
        <v>-0.35687541216843449</v>
      </c>
      <c r="AB463">
        <v>458</v>
      </c>
      <c r="AC463" s="24">
        <f t="shared" ca="1" si="94"/>
        <v>-0.73138880168869636</v>
      </c>
      <c r="AD463" s="24">
        <f t="shared" ca="1" si="95"/>
        <v>-1.0853181671049437</v>
      </c>
      <c r="AE463" s="24">
        <f t="shared" ca="1" si="96"/>
        <v>-1.0295745251051809</v>
      </c>
      <c r="AF463" s="24"/>
      <c r="AG463">
        <v>458</v>
      </c>
      <c r="AH463">
        <f t="shared" ca="1" si="102"/>
        <v>305.61705255165276</v>
      </c>
      <c r="AI463">
        <f t="shared" ca="1" si="103"/>
        <v>160.5958547899541</v>
      </c>
      <c r="AJ463">
        <f t="shared" ca="1" si="104"/>
        <v>52.070061454626163</v>
      </c>
      <c r="AL463">
        <v>458</v>
      </c>
      <c r="AM463" s="4">
        <f t="shared" ca="1" si="97"/>
        <v>-1.2354413972308409E-2</v>
      </c>
      <c r="AN463" s="4">
        <f t="shared" ca="1" si="98"/>
        <v>-2.2306951414931553E-2</v>
      </c>
      <c r="AO463" s="4">
        <f t="shared" ca="1" si="99"/>
        <v>-1.8101779120639927E-2</v>
      </c>
      <c r="AP463" s="4">
        <f t="shared" ca="1" si="100"/>
        <v>-1.8059638493857121E-2</v>
      </c>
    </row>
    <row r="464" spans="20:42" x14ac:dyDescent="0.3">
      <c r="T464">
        <v>458</v>
      </c>
      <c r="U464" s="4">
        <v>-1.4804381936978197E-3</v>
      </c>
      <c r="V464" s="4"/>
      <c r="W464">
        <v>459</v>
      </c>
      <c r="X464">
        <f t="shared" ca="1" si="101"/>
        <v>-2.5190759986006932</v>
      </c>
      <c r="Y464">
        <f t="shared" ca="1" si="101"/>
        <v>-1.7939066658904883</v>
      </c>
      <c r="Z464">
        <f t="shared" ca="1" si="101"/>
        <v>-1.9948425333362154</v>
      </c>
      <c r="AB464">
        <v>459</v>
      </c>
      <c r="AC464" s="24">
        <f t="shared" ca="1" si="94"/>
        <v>-2.5190759986006932</v>
      </c>
      <c r="AD464" s="24">
        <f t="shared" ca="1" si="95"/>
        <v>-3.0759704073414569</v>
      </c>
      <c r="AE464" s="24">
        <f t="shared" ca="1" si="96"/>
        <v>-3.5637528527854982</v>
      </c>
      <c r="AF464" s="24"/>
      <c r="AG464">
        <v>459</v>
      </c>
      <c r="AH464">
        <f t="shared" ca="1" si="102"/>
        <v>296.46644041326198</v>
      </c>
      <c r="AI464">
        <f t="shared" ca="1" si="103"/>
        <v>154.08468090545566</v>
      </c>
      <c r="AJ464">
        <f t="shared" ca="1" si="104"/>
        <v>49.780143238452794</v>
      </c>
      <c r="AL464">
        <v>459</v>
      </c>
      <c r="AM464" s="4">
        <f t="shared" ca="1" si="97"/>
        <v>-4.1925936937001751E-2</v>
      </c>
      <c r="AN464" s="4">
        <f t="shared" ca="1" si="98"/>
        <v>-6.1946389514556666E-2</v>
      </c>
      <c r="AO464" s="4">
        <f t="shared" ca="1" si="99"/>
        <v>-6.1283341799976854E-2</v>
      </c>
      <c r="AP464" s="4">
        <f t="shared" ca="1" si="100"/>
        <v>-5.5741339426916246E-2</v>
      </c>
    </row>
    <row r="465" spans="20:42" x14ac:dyDescent="0.3">
      <c r="T465">
        <v>459</v>
      </c>
      <c r="U465" s="4">
        <v>-1.4348697680165111E-3</v>
      </c>
      <c r="V465" s="4"/>
      <c r="W465">
        <v>460</v>
      </c>
      <c r="X465">
        <f t="shared" ca="1" si="101"/>
        <v>0.46192237571058226</v>
      </c>
      <c r="Y465">
        <f t="shared" ca="1" si="101"/>
        <v>-0.31745241004462277</v>
      </c>
      <c r="Z465">
        <f t="shared" ca="1" si="101"/>
        <v>-1.0596998665738937</v>
      </c>
      <c r="AB465">
        <v>460</v>
      </c>
      <c r="AC465" s="24">
        <f t="shared" ca="1" si="94"/>
        <v>0.46192237571058226</v>
      </c>
      <c r="AD465" s="24">
        <f t="shared" ca="1" si="95"/>
        <v>0.24553272144673344</v>
      </c>
      <c r="AE465" s="24">
        <f t="shared" ca="1" si="96"/>
        <v>-0.24841231675775144</v>
      </c>
      <c r="AF465" s="24"/>
      <c r="AG465">
        <v>460</v>
      </c>
      <c r="AH465">
        <f t="shared" ca="1" si="102"/>
        <v>311.88189812545693</v>
      </c>
      <c r="AI465">
        <f t="shared" ca="1" si="103"/>
        <v>165.10165713918673</v>
      </c>
      <c r="AJ465">
        <f t="shared" ca="1" si="104"/>
        <v>52.796949026506617</v>
      </c>
      <c r="AL465">
        <v>460</v>
      </c>
      <c r="AM465" s="4">
        <f t="shared" ca="1" si="97"/>
        <v>7.8913381100857993E-3</v>
      </c>
      <c r="AN465" s="4">
        <f t="shared" ca="1" si="98"/>
        <v>5.1239660325004266E-3</v>
      </c>
      <c r="AO465" s="4">
        <f t="shared" ca="1" si="99"/>
        <v>-4.3946776947911825E-3</v>
      </c>
      <c r="AP465" s="4">
        <f t="shared" ca="1" si="100"/>
        <v>3.0985845375885558E-3</v>
      </c>
    </row>
    <row r="466" spans="20:42" x14ac:dyDescent="0.3">
      <c r="T466">
        <v>460</v>
      </c>
      <c r="U466" s="4">
        <v>-1.3966749540538668E-3</v>
      </c>
      <c r="V466" s="4"/>
      <c r="W466">
        <v>461</v>
      </c>
      <c r="X466">
        <f t="shared" ca="1" si="101"/>
        <v>8.2532751156160766E-2</v>
      </c>
      <c r="Y466">
        <f t="shared" ca="1" si="101"/>
        <v>0.94687137468799065</v>
      </c>
      <c r="Z466">
        <f t="shared" ca="1" si="101"/>
        <v>1.930212638912201</v>
      </c>
      <c r="AB466">
        <v>461</v>
      </c>
      <c r="AC466" s="24">
        <f t="shared" ca="1" si="94"/>
        <v>8.2532751156160766E-2</v>
      </c>
      <c r="AD466" s="24">
        <f t="shared" ca="1" si="95"/>
        <v>0.53837918024583464</v>
      </c>
      <c r="AE466" s="24">
        <f t="shared" ca="1" si="96"/>
        <v>1.308358911424623</v>
      </c>
      <c r="AF466" s="24"/>
      <c r="AG466">
        <v>461</v>
      </c>
      <c r="AH466">
        <f t="shared" ca="1" si="102"/>
        <v>309.87631432486137</v>
      </c>
      <c r="AI466">
        <f t="shared" ca="1" si="103"/>
        <v>166.10998143137192</v>
      </c>
      <c r="AJ466">
        <f t="shared" ca="1" si="104"/>
        <v>54.275958154720279</v>
      </c>
      <c r="AL466">
        <v>461</v>
      </c>
      <c r="AM466" s="4">
        <f t="shared" ca="1" si="97"/>
        <v>1.4100047828753404E-3</v>
      </c>
      <c r="AN466" s="4">
        <f t="shared" ca="1" si="98"/>
        <v>1.1262553186436097E-2</v>
      </c>
      <c r="AO466" s="4">
        <f t="shared" ca="1" si="99"/>
        <v>2.3495368736646371E-2</v>
      </c>
      <c r="AP466" s="4">
        <f t="shared" ca="1" si="100"/>
        <v>1.1976633330430952E-2</v>
      </c>
    </row>
    <row r="467" spans="20:42" x14ac:dyDescent="0.3">
      <c r="T467">
        <v>461</v>
      </c>
      <c r="U467" s="4">
        <v>-1.3714960869194884E-3</v>
      </c>
      <c r="V467" s="4"/>
      <c r="W467">
        <v>462</v>
      </c>
      <c r="X467">
        <f t="shared" ca="1" si="101"/>
        <v>0.27227547896931342</v>
      </c>
      <c r="Y467">
        <f t="shared" ca="1" si="101"/>
        <v>4.0320468909337742E-2</v>
      </c>
      <c r="Z467">
        <f t="shared" ca="1" si="101"/>
        <v>-1.0851976212131189</v>
      </c>
      <c r="AB467">
        <v>462</v>
      </c>
      <c r="AC467" s="24">
        <f t="shared" ca="1" si="94"/>
        <v>0.27227547896931342</v>
      </c>
      <c r="AD467" s="24">
        <f t="shared" ca="1" si="95"/>
        <v>0.25679529134595624</v>
      </c>
      <c r="AE467" s="24">
        <f t="shared" ca="1" si="96"/>
        <v>-0.31738572193639691</v>
      </c>
      <c r="AF467" s="24"/>
      <c r="AG467">
        <v>462</v>
      </c>
      <c r="AH467">
        <f t="shared" ca="1" si="102"/>
        <v>310.87774218314337</v>
      </c>
      <c r="AI467">
        <f t="shared" ca="1" si="103"/>
        <v>165.14032283079248</v>
      </c>
      <c r="AJ467">
        <f t="shared" ca="1" si="104"/>
        <v>52.732361477984981</v>
      </c>
      <c r="AL467">
        <v>462</v>
      </c>
      <c r="AM467" s="4">
        <f t="shared" ca="1" si="97"/>
        <v>4.6462633479638082E-3</v>
      </c>
      <c r="AN467" s="4">
        <f t="shared" ca="1" si="98"/>
        <v>5.3593592682170677E-3</v>
      </c>
      <c r="AO467" s="4">
        <f t="shared" ca="1" si="99"/>
        <v>-5.612621311769983E-3</v>
      </c>
      <c r="AP467" s="4">
        <f t="shared" ca="1" si="100"/>
        <v>1.8538363181449748E-3</v>
      </c>
    </row>
    <row r="468" spans="20:42" x14ac:dyDescent="0.3">
      <c r="T468">
        <v>462</v>
      </c>
      <c r="U468" s="4">
        <v>-1.343356275393648E-3</v>
      </c>
      <c r="V468" s="4"/>
      <c r="W468">
        <v>463</v>
      </c>
      <c r="X468">
        <f t="shared" ca="1" si="101"/>
        <v>0.75426638600478235</v>
      </c>
      <c r="Y468">
        <f t="shared" ca="1" si="101"/>
        <v>-1.3360914752299085</v>
      </c>
      <c r="Z468">
        <f t="shared" ca="1" si="101"/>
        <v>-1.2640803954157407</v>
      </c>
      <c r="AB468">
        <v>463</v>
      </c>
      <c r="AC468" s="24">
        <f t="shared" ca="1" si="94"/>
        <v>0.75426638600478235</v>
      </c>
      <c r="AD468" s="24">
        <f t="shared" ca="1" si="95"/>
        <v>-2.0001987476914174E-3</v>
      </c>
      <c r="AE468" s="24">
        <f t="shared" ca="1" si="96"/>
        <v>-0.39471143283788063</v>
      </c>
      <c r="AF468" s="24"/>
      <c r="AG468">
        <v>463</v>
      </c>
      <c r="AH468">
        <f t="shared" ca="1" si="102"/>
        <v>313.43617945144524</v>
      </c>
      <c r="AI468">
        <f t="shared" ca="1" si="103"/>
        <v>164.25413058865678</v>
      </c>
      <c r="AJ468">
        <f t="shared" ca="1" si="104"/>
        <v>52.660046664856338</v>
      </c>
      <c r="AL468">
        <v>463</v>
      </c>
      <c r="AM468" s="4">
        <f t="shared" ca="1" si="97"/>
        <v>1.2914222396944064E-2</v>
      </c>
      <c r="AN468" s="4">
        <f t="shared" ca="1" si="98"/>
        <v>-3.5699003861688894E-5</v>
      </c>
      <c r="AO468" s="4">
        <f t="shared" ca="1" si="99"/>
        <v>-6.9762798973491691E-3</v>
      </c>
      <c r="AP468" s="4">
        <f t="shared" ca="1" si="100"/>
        <v>1.7671031483337931E-3</v>
      </c>
    </row>
    <row r="469" spans="20:42" x14ac:dyDescent="0.3">
      <c r="T469">
        <v>463</v>
      </c>
      <c r="U469" s="4">
        <v>-1.3286424284114084E-3</v>
      </c>
      <c r="V469" s="4"/>
      <c r="W469">
        <v>464</v>
      </c>
      <c r="X469">
        <f t="shared" ca="1" si="101"/>
        <v>0.40980015355466698</v>
      </c>
      <c r="Y469">
        <f t="shared" ca="1" si="101"/>
        <v>0.34770218182145995</v>
      </c>
      <c r="Z469">
        <f t="shared" ca="1" si="101"/>
        <v>-2.0118699385952015</v>
      </c>
      <c r="AB469">
        <v>464</v>
      </c>
      <c r="AC469" s="24">
        <f t="shared" ca="1" si="94"/>
        <v>0.40980015355466698</v>
      </c>
      <c r="AD469" s="24">
        <f t="shared" ca="1" si="95"/>
        <v>0.5279252349211192</v>
      </c>
      <c r="AE469" s="24">
        <f t="shared" ca="1" si="96"/>
        <v>-0.59058326955561369</v>
      </c>
      <c r="AF469" s="24"/>
      <c r="AG469">
        <v>464</v>
      </c>
      <c r="AH469">
        <f t="shared" ca="1" si="102"/>
        <v>311.60559488398951</v>
      </c>
      <c r="AI469">
        <f t="shared" ca="1" si="103"/>
        <v>166.07388080321255</v>
      </c>
      <c r="AJ469">
        <f t="shared" ca="1" si="104"/>
        <v>52.477311257955321</v>
      </c>
      <c r="AL469">
        <v>464</v>
      </c>
      <c r="AM469" s="4">
        <f t="shared" ca="1" si="97"/>
        <v>6.9984243326572937E-3</v>
      </c>
      <c r="AN469" s="4">
        <f t="shared" ca="1" si="98"/>
        <v>1.1042775825139017E-2</v>
      </c>
      <c r="AO469" s="4">
        <f t="shared" ca="1" si="99"/>
        <v>-1.0422167340445987E-2</v>
      </c>
      <c r="AP469" s="4">
        <f t="shared" ca="1" si="100"/>
        <v>3.3899874277189992E-3</v>
      </c>
    </row>
    <row r="470" spans="20:42" x14ac:dyDescent="0.3">
      <c r="T470">
        <v>464</v>
      </c>
      <c r="U470" s="4">
        <v>-1.2190736473613462E-3</v>
      </c>
      <c r="V470" s="4"/>
      <c r="W470">
        <v>465</v>
      </c>
      <c r="X470">
        <f t="shared" ca="1" si="101"/>
        <v>0.47150277984124167</v>
      </c>
      <c r="Y470">
        <f t="shared" ca="1" si="101"/>
        <v>-0.30814533618296802</v>
      </c>
      <c r="Z470">
        <f t="shared" ca="1" si="101"/>
        <v>-0.27847255033386403</v>
      </c>
      <c r="AB470">
        <v>465</v>
      </c>
      <c r="AC470" s="24">
        <f t="shared" ca="1" si="94"/>
        <v>0.47150277984124167</v>
      </c>
      <c r="AD470" s="24">
        <f t="shared" ca="1" si="95"/>
        <v>0.25845533114412467</v>
      </c>
      <c r="AE470" s="24">
        <f t="shared" ca="1" si="96"/>
        <v>0.15846162238574063</v>
      </c>
      <c r="AF470" s="24"/>
      <c r="AG470">
        <v>465</v>
      </c>
      <c r="AH470">
        <f t="shared" ca="1" si="102"/>
        <v>311.93271111055327</v>
      </c>
      <c r="AI470">
        <f t="shared" ca="1" si="103"/>
        <v>165.1460227030901</v>
      </c>
      <c r="AJ470">
        <f t="shared" ca="1" si="104"/>
        <v>53.17956376776565</v>
      </c>
      <c r="AL470">
        <v>465</v>
      </c>
      <c r="AM470" s="4">
        <f t="shared" ca="1" si="97"/>
        <v>8.0555476004406934E-3</v>
      </c>
      <c r="AN470" s="4">
        <f t="shared" ca="1" si="98"/>
        <v>5.3940595755848086E-3</v>
      </c>
      <c r="AO470" s="4">
        <f t="shared" ca="1" si="99"/>
        <v>2.8203845353895751E-3</v>
      </c>
      <c r="AP470" s="4">
        <f t="shared" ca="1" si="100"/>
        <v>5.4204034709830051E-3</v>
      </c>
    </row>
    <row r="471" spans="20:42" x14ac:dyDescent="0.3">
      <c r="T471">
        <v>465</v>
      </c>
      <c r="U471" s="4">
        <v>-1.1136212456331785E-3</v>
      </c>
      <c r="V471" s="4"/>
      <c r="W471">
        <v>466</v>
      </c>
      <c r="X471">
        <f t="shared" ca="1" si="101"/>
        <v>1.2074988709622561</v>
      </c>
      <c r="Y471">
        <f t="shared" ca="1" si="101"/>
        <v>0.22064210633947595</v>
      </c>
      <c r="Z471">
        <f t="shared" ca="1" si="101"/>
        <v>-2.7606773921582606E-2</v>
      </c>
      <c r="AB471">
        <v>466</v>
      </c>
      <c r="AC471" s="24">
        <f t="shared" ca="1" si="94"/>
        <v>1.2074988709622561</v>
      </c>
      <c r="AD471" s="24">
        <f t="shared" ca="1" si="95"/>
        <v>1.1594565861992943</v>
      </c>
      <c r="AE471" s="24">
        <f t="shared" ca="1" si="96"/>
        <v>1.032489652909452</v>
      </c>
      <c r="AF471" s="24"/>
      <c r="AG471">
        <v>466</v>
      </c>
      <c r="AH471">
        <f t="shared" ca="1" si="102"/>
        <v>315.86117040240026</v>
      </c>
      <c r="AI471">
        <f t="shared" ca="1" si="103"/>
        <v>168.26889139668748</v>
      </c>
      <c r="AJ471">
        <f t="shared" ca="1" si="104"/>
        <v>54.010881058536555</v>
      </c>
      <c r="AL471">
        <v>466</v>
      </c>
      <c r="AM471" s="4">
        <f t="shared" ca="1" si="97"/>
        <v>2.0750930423774516E-2</v>
      </c>
      <c r="AN471" s="4">
        <f t="shared" ca="1" si="98"/>
        <v>2.440580192327757E-2</v>
      </c>
      <c r="AO471" s="4">
        <f t="shared" ca="1" si="99"/>
        <v>1.8496743387116599E-2</v>
      </c>
      <c r="AP471" s="4">
        <f t="shared" ca="1" si="100"/>
        <v>2.1536622912578362E-2</v>
      </c>
    </row>
    <row r="472" spans="20:42" x14ac:dyDescent="0.3">
      <c r="T472">
        <v>466</v>
      </c>
      <c r="U472" s="4">
        <v>-1.0728188734016042E-3</v>
      </c>
      <c r="V472" s="4"/>
      <c r="W472">
        <v>467</v>
      </c>
      <c r="X472">
        <f t="shared" ca="1" si="101"/>
        <v>-0.74896075885432234</v>
      </c>
      <c r="Y472">
        <f t="shared" ca="1" si="101"/>
        <v>4.7687484921524546E-2</v>
      </c>
      <c r="Z472">
        <f t="shared" ca="1" si="101"/>
        <v>-0.25284658405475913</v>
      </c>
      <c r="AB472">
        <v>467</v>
      </c>
      <c r="AC472" s="24">
        <f t="shared" ca="1" si="94"/>
        <v>-0.74896075885432234</v>
      </c>
      <c r="AD472" s="24">
        <f t="shared" ca="1" si="95"/>
        <v>-0.62823073682438202</v>
      </c>
      <c r="AE472" s="24">
        <f t="shared" ca="1" si="96"/>
        <v>-0.72648147980381028</v>
      </c>
      <c r="AF472" s="24"/>
      <c r="AG472">
        <v>467</v>
      </c>
      <c r="AH472">
        <f t="shared" ca="1" si="102"/>
        <v>305.52574679262011</v>
      </c>
      <c r="AI472">
        <f t="shared" ca="1" si="103"/>
        <v>162.12935878823791</v>
      </c>
      <c r="AJ472">
        <f t="shared" ca="1" si="104"/>
        <v>52.350899989579169</v>
      </c>
      <c r="AL472">
        <v>467</v>
      </c>
      <c r="AM472" s="4">
        <f t="shared" ca="1" si="97"/>
        <v>-1.2649481702117993E-2</v>
      </c>
      <c r="AN472" s="4">
        <f t="shared" ca="1" si="98"/>
        <v>-1.2971117678373223E-2</v>
      </c>
      <c r="AO472" s="4">
        <f t="shared" ca="1" si="99"/>
        <v>-1.2805936363376902E-2</v>
      </c>
      <c r="AP472" s="4">
        <f t="shared" ca="1" si="100"/>
        <v>-1.2825072490997758E-2</v>
      </c>
    </row>
    <row r="473" spans="20:42" x14ac:dyDescent="0.3">
      <c r="T473">
        <v>467</v>
      </c>
      <c r="U473" s="4">
        <v>-1.0068792306480944E-3</v>
      </c>
      <c r="V473" s="4"/>
      <c r="W473">
        <v>468</v>
      </c>
      <c r="X473">
        <f t="shared" ca="1" si="101"/>
        <v>4.5266117338807546E-2</v>
      </c>
      <c r="Y473">
        <f t="shared" ca="1" si="101"/>
        <v>2.5223527712667724</v>
      </c>
      <c r="Z473">
        <f t="shared" ca="1" si="101"/>
        <v>0.48269702154258798</v>
      </c>
      <c r="AB473">
        <v>468</v>
      </c>
      <c r="AC473" s="24">
        <f t="shared" ca="1" si="94"/>
        <v>4.5266117338807546E-2</v>
      </c>
      <c r="AD473" s="24">
        <f t="shared" ca="1" si="95"/>
        <v>1.2822528194342573</v>
      </c>
      <c r="AE473" s="24">
        <f t="shared" ca="1" si="96"/>
        <v>0.97821057955281965</v>
      </c>
      <c r="AF473" s="24"/>
      <c r="AG473">
        <v>468</v>
      </c>
      <c r="AH473">
        <f t="shared" ca="1" si="102"/>
        <v>309.68000710014201</v>
      </c>
      <c r="AI473">
        <f t="shared" ca="1" si="103"/>
        <v>168.69905077994298</v>
      </c>
      <c r="AJ473">
        <f t="shared" ca="1" si="104"/>
        <v>53.958878033115603</v>
      </c>
      <c r="AL473">
        <v>468</v>
      </c>
      <c r="AM473" s="4">
        <f t="shared" ca="1" si="97"/>
        <v>7.7560967180190232E-4</v>
      </c>
      <c r="AN473" s="4">
        <f t="shared" ca="1" si="98"/>
        <v>2.7024573368795934E-2</v>
      </c>
      <c r="AO473" s="4">
        <f t="shared" ca="1" si="99"/>
        <v>1.7516109281553449E-2</v>
      </c>
      <c r="AP473" s="4">
        <f t="shared" ca="1" si="100"/>
        <v>1.6297345033524979E-2</v>
      </c>
    </row>
    <row r="474" spans="20:42" x14ac:dyDescent="0.3">
      <c r="T474">
        <v>468</v>
      </c>
      <c r="U474" s="4">
        <v>-9.7852261439910094E-4</v>
      </c>
      <c r="V474" s="4"/>
      <c r="W474">
        <v>469</v>
      </c>
      <c r="X474">
        <f t="shared" ca="1" si="101"/>
        <v>0.79336847842161418</v>
      </c>
      <c r="Y474">
        <f t="shared" ca="1" si="101"/>
        <v>-0.4623107392566736</v>
      </c>
      <c r="Z474">
        <f t="shared" ca="1" si="101"/>
        <v>-0.2714695968952483</v>
      </c>
      <c r="AB474">
        <v>469</v>
      </c>
      <c r="AC474" s="24">
        <f t="shared" ca="1" si="94"/>
        <v>0.79336847842161418</v>
      </c>
      <c r="AD474" s="24">
        <f t="shared" ca="1" si="95"/>
        <v>0.46257197333970179</v>
      </c>
      <c r="AE474" s="24">
        <f t="shared" ca="1" si="96"/>
        <v>0.38217432098796111</v>
      </c>
      <c r="AF474" s="24"/>
      <c r="AG474">
        <v>469</v>
      </c>
      <c r="AH474">
        <f t="shared" ca="1" si="102"/>
        <v>313.64465678798075</v>
      </c>
      <c r="AI474">
        <f t="shared" ca="1" si="103"/>
        <v>165.84837403659805</v>
      </c>
      <c r="AJ474">
        <f t="shared" ca="1" si="104"/>
        <v>53.391118087531872</v>
      </c>
      <c r="AL474">
        <v>469</v>
      </c>
      <c r="AM474" s="4">
        <f t="shared" ca="1" si="97"/>
        <v>1.3587946979708665E-2</v>
      </c>
      <c r="AN474" s="4">
        <f t="shared" ca="1" si="98"/>
        <v>9.6699110123064091E-3</v>
      </c>
      <c r="AO474" s="4">
        <f t="shared" ca="1" si="99"/>
        <v>6.8097174532852911E-3</v>
      </c>
      <c r="AP474" s="4">
        <f t="shared" ca="1" si="100"/>
        <v>9.9872637348207526E-3</v>
      </c>
    </row>
    <row r="475" spans="20:42" x14ac:dyDescent="0.3">
      <c r="T475">
        <v>469</v>
      </c>
      <c r="U475" s="4">
        <v>-9.4057470942876488E-4</v>
      </c>
      <c r="V475" s="4"/>
      <c r="W475">
        <v>470</v>
      </c>
      <c r="X475">
        <f t="shared" ca="1" si="101"/>
        <v>1.8516822299465698</v>
      </c>
      <c r="Y475">
        <f t="shared" ca="1" si="101"/>
        <v>0.43440692491308724</v>
      </c>
      <c r="Z475">
        <f t="shared" ca="1" si="101"/>
        <v>-1.1073193203494698</v>
      </c>
      <c r="AB475">
        <v>470</v>
      </c>
      <c r="AC475" s="24">
        <f t="shared" ca="1" si="94"/>
        <v>1.8516822299465698</v>
      </c>
      <c r="AD475" s="24">
        <f t="shared" ca="1" si="95"/>
        <v>1.8253403879857546</v>
      </c>
      <c r="AE475" s="24">
        <f t="shared" ca="1" si="96"/>
        <v>1.0693276179781912</v>
      </c>
      <c r="AF475" s="24"/>
      <c r="AG475">
        <v>470</v>
      </c>
      <c r="AH475">
        <f t="shared" ca="1" si="102"/>
        <v>319.34015006981019</v>
      </c>
      <c r="AI475">
        <f t="shared" ca="1" si="103"/>
        <v>170.61472983703752</v>
      </c>
      <c r="AJ475">
        <f t="shared" ca="1" si="104"/>
        <v>54.046202868255264</v>
      </c>
      <c r="AL475">
        <v>470</v>
      </c>
      <c r="AM475" s="4">
        <f t="shared" ca="1" si="97"/>
        <v>3.1993755010000013E-2</v>
      </c>
      <c r="AN475" s="4">
        <f t="shared" ca="1" si="98"/>
        <v>3.8687054320692082E-2</v>
      </c>
      <c r="AO475" s="4">
        <f t="shared" ca="1" si="99"/>
        <v>1.9162815620414442E-2</v>
      </c>
      <c r="AP475" s="4">
        <f t="shared" ca="1" si="100"/>
        <v>3.082179291740117E-2</v>
      </c>
    </row>
    <row r="476" spans="20:42" x14ac:dyDescent="0.3">
      <c r="T476">
        <v>470</v>
      </c>
      <c r="U476" s="4">
        <v>-9.1172661230262101E-4</v>
      </c>
      <c r="V476" s="4"/>
      <c r="W476">
        <v>471</v>
      </c>
      <c r="X476">
        <f t="shared" ca="1" si="101"/>
        <v>-0.75928156965091131</v>
      </c>
      <c r="Y476">
        <f t="shared" ca="1" si="101"/>
        <v>0.40537640713112177</v>
      </c>
      <c r="Z476">
        <f t="shared" ca="1" si="101"/>
        <v>-2.0584683401416677</v>
      </c>
      <c r="AB476">
        <v>471</v>
      </c>
      <c r="AC476" s="24">
        <f t="shared" ca="1" si="94"/>
        <v>-0.75928156965091131</v>
      </c>
      <c r="AD476" s="24">
        <f t="shared" ca="1" si="95"/>
        <v>-0.46096414177401529</v>
      </c>
      <c r="AE476" s="24">
        <f t="shared" ca="1" si="96"/>
        <v>-1.552547810323563</v>
      </c>
      <c r="AF476" s="24"/>
      <c r="AG476">
        <v>471</v>
      </c>
      <c r="AH476">
        <f t="shared" ca="1" si="102"/>
        <v>305.47213147824209</v>
      </c>
      <c r="AI476">
        <f t="shared" ca="1" si="103"/>
        <v>162.69418166728747</v>
      </c>
      <c r="AJ476">
        <f t="shared" ca="1" si="104"/>
        <v>51.589025152987496</v>
      </c>
      <c r="AL476">
        <v>471</v>
      </c>
      <c r="AM476" s="4">
        <f t="shared" ca="1" si="97"/>
        <v>-1.2822747323741002E-2</v>
      </c>
      <c r="AN476" s="4">
        <f t="shared" ca="1" si="98"/>
        <v>-9.5325270419535091E-3</v>
      </c>
      <c r="AO476" s="4">
        <f t="shared" ca="1" si="99"/>
        <v>-2.7172801423330672E-2</v>
      </c>
      <c r="AP476" s="4">
        <f t="shared" ca="1" si="100"/>
        <v>-1.5811675440902905E-2</v>
      </c>
    </row>
    <row r="477" spans="20:42" x14ac:dyDescent="0.3">
      <c r="T477">
        <v>471</v>
      </c>
      <c r="U477" s="4">
        <v>-8.8582820019481598E-4</v>
      </c>
      <c r="V477" s="4"/>
      <c r="W477">
        <v>472</v>
      </c>
      <c r="X477">
        <f t="shared" ca="1" si="101"/>
        <v>-1.637537391377343</v>
      </c>
      <c r="Y477">
        <f t="shared" ca="1" si="101"/>
        <v>0.93629653665809753</v>
      </c>
      <c r="Z477">
        <f t="shared" ca="1" si="101"/>
        <v>0.31998015605058477</v>
      </c>
      <c r="AB477">
        <v>472</v>
      </c>
      <c r="AC477" s="24">
        <f t="shared" ca="1" si="94"/>
        <v>-1.637537391377343</v>
      </c>
      <c r="AD477" s="24">
        <f t="shared" ca="1" si="95"/>
        <v>-0.9635965402327149</v>
      </c>
      <c r="AE477" s="24">
        <f t="shared" ca="1" si="96"/>
        <v>-0.91574562776828183</v>
      </c>
      <c r="AF477" s="24"/>
      <c r="AG477">
        <v>472</v>
      </c>
      <c r="AH477">
        <f t="shared" ca="1" si="102"/>
        <v>300.94399977325048</v>
      </c>
      <c r="AI477">
        <f t="shared" ca="1" si="103"/>
        <v>161.00280169338126</v>
      </c>
      <c r="AJ477">
        <f t="shared" ca="1" si="104"/>
        <v>52.175355409582977</v>
      </c>
      <c r="AL477">
        <v>472</v>
      </c>
      <c r="AM477" s="4">
        <f t="shared" ca="1" si="97"/>
        <v>-2.7456058043963782E-2</v>
      </c>
      <c r="AN477" s="4">
        <f t="shared" ca="1" si="98"/>
        <v>-1.9829495448559831E-2</v>
      </c>
      <c r="AO477" s="4">
        <f t="shared" ca="1" si="99"/>
        <v>-1.6116224578294314E-2</v>
      </c>
      <c r="AP477" s="4">
        <f t="shared" ca="1" si="100"/>
        <v>-2.1003482966101363E-2</v>
      </c>
    </row>
    <row r="478" spans="20:42" x14ac:dyDescent="0.3">
      <c r="T478">
        <v>472</v>
      </c>
      <c r="U478" s="4">
        <v>-8.7485639622051378E-4</v>
      </c>
      <c r="V478" s="4"/>
      <c r="W478">
        <v>473</v>
      </c>
      <c r="X478">
        <f t="shared" ca="1" si="101"/>
        <v>1.3730886971418046</v>
      </c>
      <c r="Y478">
        <f t="shared" ca="1" si="101"/>
        <v>-1.0351363527637552</v>
      </c>
      <c r="Z478">
        <f t="shared" ca="1" si="101"/>
        <v>-1.1469156935538398</v>
      </c>
      <c r="AB478">
        <v>473</v>
      </c>
      <c r="AC478" s="24">
        <f t="shared" ca="1" si="94"/>
        <v>1.3730886971418046</v>
      </c>
      <c r="AD478" s="24">
        <f t="shared" ca="1" si="95"/>
        <v>0.68477713076052471</v>
      </c>
      <c r="AE478" s="24">
        <f t="shared" ca="1" si="96"/>
        <v>0.25292850348733498</v>
      </c>
      <c r="AF478" s="24"/>
      <c r="AG478">
        <v>473</v>
      </c>
      <c r="AH478">
        <f t="shared" ca="1" si="102"/>
        <v>316.751819860951</v>
      </c>
      <c r="AI478">
        <f t="shared" ca="1" si="103"/>
        <v>166.61636296064239</v>
      </c>
      <c r="AJ478">
        <f t="shared" ca="1" si="104"/>
        <v>53.268794103801511</v>
      </c>
      <c r="AL478">
        <v>473</v>
      </c>
      <c r="AM478" s="4">
        <f t="shared" ca="1" si="97"/>
        <v>2.3629192611997585E-2</v>
      </c>
      <c r="AN478" s="4">
        <f t="shared" ca="1" si="98"/>
        <v>1.434535816759297E-2</v>
      </c>
      <c r="AO478" s="4">
        <f t="shared" ca="1" si="99"/>
        <v>4.5030233830203326E-3</v>
      </c>
      <c r="AP478" s="4">
        <f t="shared" ca="1" si="100"/>
        <v>1.4177808065542563E-2</v>
      </c>
    </row>
    <row r="479" spans="20:42" x14ac:dyDescent="0.3">
      <c r="T479">
        <v>473</v>
      </c>
      <c r="U479" s="4">
        <v>-8.650449765911449E-4</v>
      </c>
      <c r="V479" s="4"/>
      <c r="W479">
        <v>474</v>
      </c>
      <c r="X479">
        <f t="shared" ca="1" si="101"/>
        <v>0.16298517359397255</v>
      </c>
      <c r="Y479">
        <f t="shared" ca="1" si="101"/>
        <v>0.3280855287726564</v>
      </c>
      <c r="Z479">
        <f t="shared" ca="1" si="101"/>
        <v>1.1685828642590114E-2</v>
      </c>
      <c r="AB479">
        <v>474</v>
      </c>
      <c r="AC479" s="24">
        <f t="shared" ca="1" si="94"/>
        <v>0.16298517359397255</v>
      </c>
      <c r="AD479" s="24">
        <f t="shared" ca="1" si="95"/>
        <v>0.30348666991470541</v>
      </c>
      <c r="AE479" s="24">
        <f t="shared" ca="1" si="96"/>
        <v>0.22953051472512015</v>
      </c>
      <c r="AF479" s="24"/>
      <c r="AG479">
        <v>474</v>
      </c>
      <c r="AH479">
        <f t="shared" ca="1" si="102"/>
        <v>310.3005331588821</v>
      </c>
      <c r="AI479">
        <f t="shared" ca="1" si="103"/>
        <v>165.30071628770401</v>
      </c>
      <c r="AJ479">
        <f t="shared" ca="1" si="104"/>
        <v>53.246679186976628</v>
      </c>
      <c r="AL479">
        <v>474</v>
      </c>
      <c r="AM479" s="4">
        <f t="shared" ca="1" si="97"/>
        <v>2.7809291322604679E-3</v>
      </c>
      <c r="AN479" s="4">
        <f t="shared" ca="1" si="98"/>
        <v>6.3358201368117761E-3</v>
      </c>
      <c r="AO479" s="4">
        <f t="shared" ca="1" si="99"/>
        <v>4.085996844571449E-3</v>
      </c>
      <c r="AP479" s="4">
        <f t="shared" ca="1" si="100"/>
        <v>4.5944058477742859E-3</v>
      </c>
    </row>
    <row r="480" spans="20:42" x14ac:dyDescent="0.3">
      <c r="T480">
        <v>474</v>
      </c>
      <c r="U480" s="4">
        <v>-8.5027614199245671E-4</v>
      </c>
      <c r="V480" s="4"/>
      <c r="W480">
        <v>475</v>
      </c>
      <c r="X480">
        <f t="shared" ca="1" si="101"/>
        <v>-9.2580426143961198E-2</v>
      </c>
      <c r="Y480">
        <f t="shared" ca="1" si="101"/>
        <v>1.8565484602046285</v>
      </c>
      <c r="Z480">
        <f t="shared" ca="1" si="101"/>
        <v>-0.30260343326547051</v>
      </c>
      <c r="AB480">
        <v>475</v>
      </c>
      <c r="AC480" s="24">
        <f t="shared" ca="1" si="94"/>
        <v>-9.2580426143961198E-2</v>
      </c>
      <c r="AD480" s="24">
        <f t="shared" ca="1" si="95"/>
        <v>0.8342337569370617</v>
      </c>
      <c r="AE480" s="24">
        <f t="shared" ca="1" si="96"/>
        <v>0.2833513523273139</v>
      </c>
      <c r="AF480" s="24"/>
      <c r="AG480">
        <v>475</v>
      </c>
      <c r="AH480">
        <f t="shared" ca="1" si="102"/>
        <v>308.9549612254217</v>
      </c>
      <c r="AI480">
        <f t="shared" ca="1" si="103"/>
        <v>167.13491669988952</v>
      </c>
      <c r="AJ480">
        <f t="shared" ca="1" si="104"/>
        <v>53.297562395497465</v>
      </c>
      <c r="AL480">
        <v>475</v>
      </c>
      <c r="AM480" s="4">
        <f t="shared" ca="1" si="97"/>
        <v>-1.5674806494230253E-3</v>
      </c>
      <c r="AN480" s="4">
        <f t="shared" ca="1" si="98"/>
        <v>1.7502266462908533E-2</v>
      </c>
      <c r="AO480" s="4">
        <f t="shared" ca="1" si="99"/>
        <v>5.0455142817225074E-3</v>
      </c>
      <c r="AP480" s="4">
        <f t="shared" ca="1" si="100"/>
        <v>8.0443166748532576E-3</v>
      </c>
    </row>
    <row r="481" spans="20:42" x14ac:dyDescent="0.3">
      <c r="T481">
        <v>475</v>
      </c>
      <c r="U481" s="4">
        <v>-8.1678321817737522E-4</v>
      </c>
      <c r="V481" s="4"/>
      <c r="W481">
        <v>476</v>
      </c>
      <c r="X481">
        <f t="shared" ca="1" si="101"/>
        <v>1.2678447513603739</v>
      </c>
      <c r="Y481">
        <f t="shared" ca="1" si="101"/>
        <v>-0.35233171612749153</v>
      </c>
      <c r="Z481">
        <f t="shared" ca="1" si="101"/>
        <v>-0.64771613571238618</v>
      </c>
      <c r="AB481">
        <v>476</v>
      </c>
      <c r="AC481" s="24">
        <f t="shared" ca="1" si="94"/>
        <v>1.2678447513603739</v>
      </c>
      <c r="AD481" s="24">
        <f t="shared" ca="1" si="95"/>
        <v>0.92964123183529823</v>
      </c>
      <c r="AE481" s="24">
        <f t="shared" ca="1" si="96"/>
        <v>0.60886298723975973</v>
      </c>
      <c r="AF481" s="24"/>
      <c r="AG481">
        <v>476</v>
      </c>
      <c r="AH481">
        <f t="shared" ca="1" si="102"/>
        <v>316.1854592763695</v>
      </c>
      <c r="AI481">
        <f t="shared" ca="1" si="103"/>
        <v>167.46678548937669</v>
      </c>
      <c r="AJ481">
        <f t="shared" ca="1" si="104"/>
        <v>53.606345106098907</v>
      </c>
      <c r="AL481">
        <v>476</v>
      </c>
      <c r="AM481" s="4">
        <f t="shared" ca="1" si="97"/>
        <v>2.1798916693845261E-2</v>
      </c>
      <c r="AN481" s="4">
        <f t="shared" ca="1" si="98"/>
        <v>1.9522653657511491E-2</v>
      </c>
      <c r="AO481" s="4">
        <f t="shared" ca="1" si="99"/>
        <v>1.086830737448774E-2</v>
      </c>
      <c r="AP481" s="4">
        <f t="shared" ca="1" si="100"/>
        <v>1.7609228683504497E-2</v>
      </c>
    </row>
    <row r="482" spans="20:42" x14ac:dyDescent="0.3">
      <c r="T482">
        <v>476</v>
      </c>
      <c r="U482" s="4">
        <v>-7.5778531480995553E-4</v>
      </c>
      <c r="V482" s="4"/>
      <c r="W482">
        <v>477</v>
      </c>
      <c r="X482">
        <f t="shared" ca="1" si="101"/>
        <v>0.45983488662350375</v>
      </c>
      <c r="Y482">
        <f t="shared" ca="1" si="101"/>
        <v>-1.9137959217064142</v>
      </c>
      <c r="Z482">
        <f t="shared" ca="1" si="101"/>
        <v>0.59567146088669432</v>
      </c>
      <c r="AB482">
        <v>477</v>
      </c>
      <c r="AC482" s="24">
        <f t="shared" ca="1" si="94"/>
        <v>0.45983488662350375</v>
      </c>
      <c r="AD482" s="24">
        <f t="shared" ca="1" si="95"/>
        <v>-0.54286555313340812</v>
      </c>
      <c r="AE482" s="24">
        <f t="shared" ca="1" si="96"/>
        <v>0.14934520075032581</v>
      </c>
      <c r="AF482" s="24"/>
      <c r="AG482">
        <v>477</v>
      </c>
      <c r="AH482">
        <f t="shared" ca="1" si="102"/>
        <v>311.87082750378522</v>
      </c>
      <c r="AI482">
        <f t="shared" ca="1" si="103"/>
        <v>162.41737299541714</v>
      </c>
      <c r="AJ482">
        <f t="shared" ca="1" si="104"/>
        <v>53.170960605291235</v>
      </c>
      <c r="AL482">
        <v>477</v>
      </c>
      <c r="AM482" s="4">
        <f t="shared" ca="1" si="97"/>
        <v>7.8555617993814053E-3</v>
      </c>
      <c r="AN482" s="4">
        <f t="shared" ca="1" si="98"/>
        <v>-1.1217713217086422E-2</v>
      </c>
      <c r="AO482" s="4">
        <f t="shared" ca="1" si="99"/>
        <v>2.658152540811809E-3</v>
      </c>
      <c r="AP482" s="4">
        <f t="shared" ca="1" si="100"/>
        <v>-1.332970984776605E-3</v>
      </c>
    </row>
    <row r="483" spans="20:42" x14ac:dyDescent="0.3">
      <c r="T483">
        <v>477</v>
      </c>
      <c r="U483" s="4">
        <v>-7.5220372704810651E-4</v>
      </c>
      <c r="V483" s="4"/>
      <c r="W483">
        <v>478</v>
      </c>
      <c r="X483">
        <f t="shared" ca="1" si="101"/>
        <v>2.6475575993800481E-2</v>
      </c>
      <c r="Y483">
        <f t="shared" ca="1" si="101"/>
        <v>0.60536043538334661</v>
      </c>
      <c r="Z483">
        <f t="shared" ca="1" si="101"/>
        <v>0.21264777574047192</v>
      </c>
      <c r="AB483">
        <v>478</v>
      </c>
      <c r="AC483" s="24">
        <f t="shared" ca="1" si="94"/>
        <v>2.6475575993800481E-2</v>
      </c>
      <c r="AD483" s="24">
        <f t="shared" ca="1" si="95"/>
        <v>0.32132353798504504</v>
      </c>
      <c r="AE483" s="24">
        <f t="shared" ca="1" si="96"/>
        <v>0.29663981585139404</v>
      </c>
      <c r="AF483" s="24"/>
      <c r="AG483">
        <v>478</v>
      </c>
      <c r="AH483">
        <f t="shared" ca="1" si="102"/>
        <v>309.58107245207992</v>
      </c>
      <c r="AI483">
        <f t="shared" ca="1" si="103"/>
        <v>165.36203031880748</v>
      </c>
      <c r="AJ483">
        <f t="shared" ca="1" si="104"/>
        <v>53.310133036067114</v>
      </c>
      <c r="AL483">
        <v>478</v>
      </c>
      <c r="AM483" s="4">
        <f t="shared" ca="1" si="97"/>
        <v>4.558880867402415E-4</v>
      </c>
      <c r="AN483" s="4">
        <f t="shared" ca="1" si="98"/>
        <v>6.7090944163317179E-3</v>
      </c>
      <c r="AO483" s="4">
        <f t="shared" ca="1" si="99"/>
        <v>5.2825620067651347E-3</v>
      </c>
      <c r="AP483" s="4">
        <f t="shared" ca="1" si="100"/>
        <v>4.4051727945843E-3</v>
      </c>
    </row>
    <row r="484" spans="20:42" x14ac:dyDescent="0.3">
      <c r="T484">
        <v>478</v>
      </c>
      <c r="U484" s="4">
        <v>-7.0102067625119578E-4</v>
      </c>
      <c r="V484" s="4"/>
      <c r="W484">
        <v>479</v>
      </c>
      <c r="X484">
        <f t="shared" ca="1" si="101"/>
        <v>-1.7109209026278613</v>
      </c>
      <c r="Y484">
        <f t="shared" ca="1" si="101"/>
        <v>4.2725710227602244E-3</v>
      </c>
      <c r="Z484">
        <f t="shared" ca="1" si="101"/>
        <v>-0.20082392247750513</v>
      </c>
      <c r="AB484">
        <v>479</v>
      </c>
      <c r="AC484" s="24">
        <f t="shared" ca="1" si="94"/>
        <v>-1.7109209026278613</v>
      </c>
      <c r="AD484" s="24">
        <f t="shared" ca="1" si="95"/>
        <v>-1.4866983568876488</v>
      </c>
      <c r="AE484" s="24">
        <f t="shared" ca="1" si="96"/>
        <v>-1.4972414207220957</v>
      </c>
      <c r="AF484" s="24"/>
      <c r="AG484">
        <v>479</v>
      </c>
      <c r="AH484">
        <f t="shared" ca="1" si="102"/>
        <v>300.56869976682208</v>
      </c>
      <c r="AI484">
        <f t="shared" ca="1" si="103"/>
        <v>159.26121100532225</v>
      </c>
      <c r="AJ484">
        <f t="shared" ca="1" si="104"/>
        <v>51.639685698812357</v>
      </c>
      <c r="AL484">
        <v>479</v>
      </c>
      <c r="AM484" s="4">
        <f t="shared" ca="1" si="97"/>
        <v>-2.8668894146172241E-2</v>
      </c>
      <c r="AN484" s="4">
        <f t="shared" ca="1" si="98"/>
        <v>-3.0432142144658059E-2</v>
      </c>
      <c r="AO484" s="4">
        <f t="shared" ca="1" si="99"/>
        <v>-2.621748279253644E-2</v>
      </c>
      <c r="AP484" s="4">
        <f t="shared" ca="1" si="100"/>
        <v>-2.8638769939475825E-2</v>
      </c>
    </row>
    <row r="485" spans="20:42" x14ac:dyDescent="0.3">
      <c r="T485">
        <v>479</v>
      </c>
      <c r="U485" s="4">
        <v>-5.858576451356121E-4</v>
      </c>
      <c r="V485" s="4"/>
      <c r="W485">
        <v>480</v>
      </c>
      <c r="X485">
        <f t="shared" ca="1" si="101"/>
        <v>0.42342402667117762</v>
      </c>
      <c r="Y485">
        <f t="shared" ca="1" si="101"/>
        <v>0.43543031221358863</v>
      </c>
      <c r="Z485">
        <f t="shared" ca="1" si="101"/>
        <v>9.3855790077391421E-2</v>
      </c>
      <c r="AB485">
        <v>480</v>
      </c>
      <c r="AC485" s="24">
        <f t="shared" ca="1" si="94"/>
        <v>0.42342402667117762</v>
      </c>
      <c r="AD485" s="24">
        <f t="shared" ca="1" si="95"/>
        <v>0.58300754364332641</v>
      </c>
      <c r="AE485" s="24">
        <f t="shared" ca="1" si="96"/>
        <v>0.51344239482285114</v>
      </c>
      <c r="AF485" s="24"/>
      <c r="AG485">
        <v>480</v>
      </c>
      <c r="AH485">
        <f t="shared" ca="1" si="102"/>
        <v>311.67779227088954</v>
      </c>
      <c r="AI485">
        <f t="shared" ca="1" si="103"/>
        <v>166.2641849191015</v>
      </c>
      <c r="AJ485">
        <f t="shared" ca="1" si="104"/>
        <v>53.515643554108948</v>
      </c>
      <c r="AL485">
        <v>480</v>
      </c>
      <c r="AM485" s="4">
        <f t="shared" ca="1" si="97"/>
        <v>7.2317406018223007E-3</v>
      </c>
      <c r="AN485" s="4">
        <f t="shared" ca="1" si="98"/>
        <v>1.2201330082128425E-2</v>
      </c>
      <c r="AO485" s="4">
        <f t="shared" ca="1" si="99"/>
        <v>9.1579254382663233E-3</v>
      </c>
      <c r="AP485" s="4">
        <f t="shared" ca="1" si="100"/>
        <v>9.7974318448779581E-3</v>
      </c>
    </row>
    <row r="486" spans="20:42" x14ac:dyDescent="0.3">
      <c r="T486">
        <v>480</v>
      </c>
      <c r="U486" s="4">
        <v>-5.7333212627745937E-4</v>
      </c>
      <c r="V486" s="4"/>
      <c r="W486">
        <v>481</v>
      </c>
      <c r="X486">
        <f t="shared" ca="1" si="101"/>
        <v>-1.1293800504855533</v>
      </c>
      <c r="Y486">
        <f t="shared" ca="1" si="101"/>
        <v>-0.25030710251933724</v>
      </c>
      <c r="Z486">
        <f t="shared" ca="1" si="101"/>
        <v>-0.65224082159743246</v>
      </c>
      <c r="AB486">
        <v>481</v>
      </c>
      <c r="AC486" s="24">
        <f t="shared" ca="1" si="94"/>
        <v>-1.1293800504855533</v>
      </c>
      <c r="AD486" s="24">
        <f t="shared" ca="1" si="95"/>
        <v>-1.1060965241455205</v>
      </c>
      <c r="AE486" s="24">
        <f t="shared" ca="1" si="96"/>
        <v>-1.3219490854495577</v>
      </c>
      <c r="AF486" s="24"/>
      <c r="AG486">
        <v>481</v>
      </c>
      <c r="AH486">
        <f t="shared" ca="1" si="102"/>
        <v>303.55572176493763</v>
      </c>
      <c r="AI486">
        <f t="shared" ca="1" si="103"/>
        <v>160.52649021484569</v>
      </c>
      <c r="AJ486">
        <f t="shared" ca="1" si="104"/>
        <v>51.80058208872245</v>
      </c>
      <c r="AL486">
        <v>481</v>
      </c>
      <c r="AM486" s="4">
        <f t="shared" ca="1" si="97"/>
        <v>-1.9015901725836559E-2</v>
      </c>
      <c r="AN486" s="4">
        <f t="shared" ca="1" si="98"/>
        <v>-2.2729236678709075E-2</v>
      </c>
      <c r="AO486" s="4">
        <f t="shared" ca="1" si="99"/>
        <v>-2.3183419175455744E-2</v>
      </c>
      <c r="AP486" s="4">
        <f t="shared" ca="1" si="100"/>
        <v>-2.1751490941871322E-2</v>
      </c>
    </row>
    <row r="487" spans="20:42" x14ac:dyDescent="0.3">
      <c r="T487">
        <v>481</v>
      </c>
      <c r="U487" s="4">
        <v>-5.637688471737401E-4</v>
      </c>
      <c r="V487" s="4"/>
      <c r="W487">
        <v>482</v>
      </c>
      <c r="X487">
        <f t="shared" ca="1" si="101"/>
        <v>-3.6469206683676401</v>
      </c>
      <c r="Y487">
        <f t="shared" ca="1" si="101"/>
        <v>-0.36296676510577175</v>
      </c>
      <c r="Z487">
        <f t="shared" ca="1" si="101"/>
        <v>1.6500656486542253</v>
      </c>
      <c r="AB487">
        <v>482</v>
      </c>
      <c r="AC487" s="24">
        <f t="shared" ca="1" si="94"/>
        <v>-3.6469206683676401</v>
      </c>
      <c r="AD487" s="24">
        <f t="shared" ca="1" si="95"/>
        <v>-3.3523137695350735</v>
      </c>
      <c r="AE487" s="24">
        <f t="shared" ca="1" si="96"/>
        <v>-2.2394764653634183</v>
      </c>
      <c r="AF487" s="24"/>
      <c r="AG487">
        <v>482</v>
      </c>
      <c r="AH487">
        <f t="shared" ca="1" si="102"/>
        <v>290.83483441455388</v>
      </c>
      <c r="AI487">
        <f t="shared" ca="1" si="103"/>
        <v>153.20191112174004</v>
      </c>
      <c r="AJ487">
        <f t="shared" ca="1" si="104"/>
        <v>50.963926581197278</v>
      </c>
      <c r="AL487">
        <v>482</v>
      </c>
      <c r="AM487" s="4">
        <f t="shared" ca="1" si="97"/>
        <v>-6.0125283997097712E-2</v>
      </c>
      <c r="AN487" s="4">
        <f t="shared" ca="1" si="98"/>
        <v>-6.7320612169111116E-2</v>
      </c>
      <c r="AO487" s="4">
        <f t="shared" ca="1" si="99"/>
        <v>-3.8960442120661076E-2</v>
      </c>
      <c r="AP487" s="4">
        <f t="shared" ca="1" si="100"/>
        <v>-5.6653962702972079E-2</v>
      </c>
    </row>
    <row r="488" spans="20:42" x14ac:dyDescent="0.3">
      <c r="T488">
        <v>482</v>
      </c>
      <c r="U488" s="4">
        <v>-5.6296202607101175E-4</v>
      </c>
      <c r="V488" s="4"/>
      <c r="W488">
        <v>483</v>
      </c>
      <c r="X488">
        <f t="shared" ca="1" si="101"/>
        <v>-0.3504391544594212</v>
      </c>
      <c r="Y488">
        <f t="shared" ca="1" si="101"/>
        <v>0.37213386458604436</v>
      </c>
      <c r="Z488">
        <f t="shared" ca="1" si="101"/>
        <v>1.0470441162519819</v>
      </c>
      <c r="AB488">
        <v>483</v>
      </c>
      <c r="AC488" s="24">
        <f t="shared" ca="1" si="94"/>
        <v>-0.3504391544594212</v>
      </c>
      <c r="AD488" s="24">
        <f t="shared" ca="1" si="95"/>
        <v>-0.12157888986207138</v>
      </c>
      <c r="AE488" s="24">
        <f t="shared" ca="1" si="96"/>
        <v>0.34807955733714974</v>
      </c>
      <c r="AF488" s="24"/>
      <c r="AG488">
        <v>483</v>
      </c>
      <c r="AH488">
        <f t="shared" ca="1" si="102"/>
        <v>307.60322936130694</v>
      </c>
      <c r="AI488">
        <f t="shared" ca="1" si="103"/>
        <v>163.84626568858866</v>
      </c>
      <c r="AJ488">
        <f t="shared" ca="1" si="104"/>
        <v>53.358822038324234</v>
      </c>
      <c r="AL488">
        <v>483</v>
      </c>
      <c r="AM488" s="4">
        <f t="shared" ca="1" si="97"/>
        <v>-5.9357971354944139E-3</v>
      </c>
      <c r="AN488" s="4">
        <f t="shared" ca="1" si="98"/>
        <v>-2.5187436508109506E-3</v>
      </c>
      <c r="AO488" s="4">
        <f t="shared" ca="1" si="99"/>
        <v>6.200702745552622E-3</v>
      </c>
      <c r="AP488" s="4">
        <f t="shared" ca="1" si="100"/>
        <v>-9.2802577730691769E-4</v>
      </c>
    </row>
    <row r="489" spans="20:42" x14ac:dyDescent="0.3">
      <c r="T489">
        <v>483</v>
      </c>
      <c r="U489" s="4">
        <v>-5.312097962590686E-4</v>
      </c>
      <c r="V489" s="4"/>
      <c r="W489">
        <v>484</v>
      </c>
      <c r="X489">
        <f t="shared" ca="1" si="101"/>
        <v>-2.0886557243834329</v>
      </c>
      <c r="Y489">
        <f t="shared" ca="1" si="101"/>
        <v>7.0975353005004543E-2</v>
      </c>
      <c r="Z489">
        <f t="shared" ca="1" si="101"/>
        <v>-0.58701631868014514</v>
      </c>
      <c r="AB489">
        <v>484</v>
      </c>
      <c r="AC489" s="24">
        <f t="shared" ca="1" si="94"/>
        <v>-2.0886557243834329</v>
      </c>
      <c r="AD489" s="24">
        <f t="shared" ca="1" si="95"/>
        <v>-1.782527316017205</v>
      </c>
      <c r="AE489" s="24">
        <f t="shared" ca="1" si="96"/>
        <v>-1.9831442771952537</v>
      </c>
      <c r="AF489" s="24"/>
      <c r="AG489">
        <v>484</v>
      </c>
      <c r="AH489">
        <f t="shared" ca="1" si="102"/>
        <v>298.64426996633216</v>
      </c>
      <c r="AI489">
        <f t="shared" ca="1" si="103"/>
        <v>158.28464462001142</v>
      </c>
      <c r="AJ489">
        <f t="shared" ca="1" si="104"/>
        <v>51.196295646970391</v>
      </c>
      <c r="AL489">
        <v>484</v>
      </c>
      <c r="AM489" s="4">
        <f t="shared" ca="1" si="97"/>
        <v>-3.4887966616785726E-2</v>
      </c>
      <c r="AN489" s="4">
        <f t="shared" ca="1" si="98"/>
        <v>-3.6377390031965051E-2</v>
      </c>
      <c r="AO489" s="4">
        <f t="shared" ca="1" si="99"/>
        <v>-3.4578600311835017E-2</v>
      </c>
      <c r="AP489" s="4">
        <f t="shared" ca="1" si="100"/>
        <v>-3.5390926091372246E-2</v>
      </c>
    </row>
    <row r="490" spans="20:42" x14ac:dyDescent="0.3">
      <c r="T490">
        <v>484</v>
      </c>
      <c r="U490" s="4">
        <v>-5.1925803203010067E-4</v>
      </c>
      <c r="V490" s="4"/>
      <c r="W490">
        <v>485</v>
      </c>
      <c r="X490">
        <f t="shared" ca="1" si="101"/>
        <v>-0.76285643572570583</v>
      </c>
      <c r="Y490">
        <f t="shared" ca="1" si="101"/>
        <v>-0.36528000982551706</v>
      </c>
      <c r="Z490">
        <f t="shared" ca="1" si="101"/>
        <v>-0.53348550900605207</v>
      </c>
      <c r="AB490">
        <v>485</v>
      </c>
      <c r="AC490" s="24">
        <f t="shared" ca="1" si="94"/>
        <v>-0.76285643572570583</v>
      </c>
      <c r="AD490" s="24">
        <f t="shared" ca="1" si="95"/>
        <v>-0.84380790296460173</v>
      </c>
      <c r="AE490" s="24">
        <f t="shared" ca="1" si="96"/>
        <v>-0.99425038630793572</v>
      </c>
      <c r="AF490" s="24"/>
      <c r="AG490">
        <v>485</v>
      </c>
      <c r="AH490">
        <f t="shared" ca="1" si="102"/>
        <v>305.45356269243553</v>
      </c>
      <c r="AI490">
        <f t="shared" ca="1" si="103"/>
        <v>161.40429286093143</v>
      </c>
      <c r="AJ490">
        <f t="shared" ca="1" si="104"/>
        <v>52.102714214262171</v>
      </c>
      <c r="AL490">
        <v>485</v>
      </c>
      <c r="AM490" s="4">
        <f t="shared" ca="1" si="97"/>
        <v>-1.2882755033345572E-2</v>
      </c>
      <c r="AN490" s="4">
        <f t="shared" ca="1" si="98"/>
        <v>-1.7385253509093146E-2</v>
      </c>
      <c r="AO490" s="4">
        <f t="shared" ca="1" si="99"/>
        <v>-1.7486037834808399E-2</v>
      </c>
      <c r="AP490" s="4">
        <f t="shared" ca="1" si="100"/>
        <v>-1.6064739264083448E-2</v>
      </c>
    </row>
    <row r="491" spans="20:42" x14ac:dyDescent="0.3">
      <c r="T491">
        <v>485</v>
      </c>
      <c r="U491" s="4">
        <v>-4.9179309342535255E-4</v>
      </c>
      <c r="V491" s="4"/>
      <c r="W491">
        <v>486</v>
      </c>
      <c r="X491">
        <f t="shared" ca="1" si="101"/>
        <v>-0.78970347864060053</v>
      </c>
      <c r="Y491">
        <f t="shared" ca="1" si="101"/>
        <v>-0.79074038672194258</v>
      </c>
      <c r="Z491">
        <f t="shared" ca="1" si="101"/>
        <v>0.20595352647595305</v>
      </c>
      <c r="AB491">
        <v>486</v>
      </c>
      <c r="AC491" s="24">
        <f t="shared" ca="1" si="94"/>
        <v>-0.78970347864060053</v>
      </c>
      <c r="AD491" s="24">
        <f t="shared" ca="1" si="95"/>
        <v>-1.0768107857003602</v>
      </c>
      <c r="AE491" s="24">
        <f t="shared" ca="1" si="96"/>
        <v>-0.75833379030355708</v>
      </c>
      <c r="AF491" s="24"/>
      <c r="AG491">
        <v>486</v>
      </c>
      <c r="AH491">
        <f t="shared" ca="1" si="102"/>
        <v>305.31414822047003</v>
      </c>
      <c r="AI491">
        <f t="shared" ca="1" si="103"/>
        <v>160.62426370488828</v>
      </c>
      <c r="AJ491">
        <f t="shared" ca="1" si="104"/>
        <v>52.321315339835806</v>
      </c>
      <c r="AL491">
        <v>486</v>
      </c>
      <c r="AM491" s="4">
        <f t="shared" ca="1" si="97"/>
        <v>-1.3333293007962821E-2</v>
      </c>
      <c r="AN491" s="4">
        <f t="shared" ca="1" si="98"/>
        <v>-2.2134000508537865E-2</v>
      </c>
      <c r="AO491" s="4">
        <f t="shared" ca="1" si="99"/>
        <v>-1.3363821530723241E-2</v>
      </c>
      <c r="AP491" s="4">
        <f t="shared" ca="1" si="100"/>
        <v>-1.6862734565020965E-2</v>
      </c>
    </row>
    <row r="492" spans="20:42" x14ac:dyDescent="0.3">
      <c r="T492">
        <v>486</v>
      </c>
      <c r="U492" s="4">
        <v>-4.7620028761733422E-4</v>
      </c>
      <c r="V492" s="4"/>
      <c r="W492">
        <v>487</v>
      </c>
      <c r="X492">
        <f t="shared" ca="1" si="101"/>
        <v>0.52168597296767305</v>
      </c>
      <c r="Y492">
        <f t="shared" ca="1" si="101"/>
        <v>0.7499797112933454</v>
      </c>
      <c r="Z492">
        <f t="shared" ca="1" si="101"/>
        <v>-0.57015293358408425</v>
      </c>
      <c r="AB492">
        <v>487</v>
      </c>
      <c r="AC492" s="24">
        <f t="shared" ca="1" si="94"/>
        <v>0.52168597296767305</v>
      </c>
      <c r="AD492" s="24">
        <f t="shared" ca="1" si="95"/>
        <v>0.82350377657855334</v>
      </c>
      <c r="AE492" s="24">
        <f t="shared" ca="1" si="96"/>
        <v>0.34348201358950842</v>
      </c>
      <c r="AF492" s="24"/>
      <c r="AG492">
        <v>487</v>
      </c>
      <c r="AH492">
        <f t="shared" ca="1" si="102"/>
        <v>312.19901030996954</v>
      </c>
      <c r="AI492">
        <f t="shared" ca="1" si="103"/>
        <v>167.09763431593211</v>
      </c>
      <c r="AJ492">
        <f t="shared" ca="1" si="104"/>
        <v>53.354468539122955</v>
      </c>
      <c r="AL492">
        <v>487</v>
      </c>
      <c r="AM492" s="4">
        <f t="shared" ca="1" si="97"/>
        <v>8.9161318730468508E-3</v>
      </c>
      <c r="AN492" s="4">
        <f t="shared" ca="1" si="98"/>
        <v>1.7275294679125475E-2</v>
      </c>
      <c r="AO492" s="4">
        <f t="shared" ca="1" si="99"/>
        <v>6.1186077181814014E-3</v>
      </c>
      <c r="AP492" s="4">
        <f t="shared" ca="1" si="100"/>
        <v>1.1420539749018665E-2</v>
      </c>
    </row>
    <row r="493" spans="20:42" x14ac:dyDescent="0.3">
      <c r="T493">
        <v>487</v>
      </c>
      <c r="U493" s="4">
        <v>-4.654318127633836E-4</v>
      </c>
      <c r="V493" s="4"/>
      <c r="W493">
        <v>488</v>
      </c>
      <c r="X493">
        <f t="shared" ca="1" si="101"/>
        <v>0.52714414692849232</v>
      </c>
      <c r="Y493">
        <f t="shared" ca="1" si="101"/>
        <v>0.25676480739156504</v>
      </c>
      <c r="Z493">
        <f t="shared" ca="1" si="101"/>
        <v>-1.2226206851410011</v>
      </c>
      <c r="AB493">
        <v>488</v>
      </c>
      <c r="AC493" s="24">
        <f t="shared" ca="1" si="94"/>
        <v>0.52714414692849232</v>
      </c>
      <c r="AD493" s="24">
        <f t="shared" ca="1" si="95"/>
        <v>0.58522679915728149</v>
      </c>
      <c r="AE493" s="24">
        <f t="shared" ca="1" si="96"/>
        <v>-0.11935067729877824</v>
      </c>
      <c r="AF493" s="24"/>
      <c r="AG493">
        <v>488</v>
      </c>
      <c r="AH493">
        <f t="shared" ca="1" si="102"/>
        <v>312.22798804150619</v>
      </c>
      <c r="AI493">
        <f t="shared" ca="1" si="103"/>
        <v>166.27185680325604</v>
      </c>
      <c r="AJ493">
        <f t="shared" ca="1" si="104"/>
        <v>52.918016518950921</v>
      </c>
      <c r="AL493">
        <v>488</v>
      </c>
      <c r="AM493" s="4">
        <f t="shared" ca="1" si="97"/>
        <v>9.0097775921136325E-3</v>
      </c>
      <c r="AN493" s="4">
        <f t="shared" ca="1" si="98"/>
        <v>1.2248035819441894E-2</v>
      </c>
      <c r="AO493" s="4">
        <f t="shared" ca="1" si="99"/>
        <v>-2.1116775961457224E-3</v>
      </c>
      <c r="AP493" s="4">
        <f t="shared" ca="1" si="100"/>
        <v>6.9686443265671305E-3</v>
      </c>
    </row>
    <row r="494" spans="20:42" x14ac:dyDescent="0.3">
      <c r="T494">
        <v>488</v>
      </c>
      <c r="U494" s="4">
        <v>-4.1484352019274264E-4</v>
      </c>
      <c r="V494" s="4"/>
      <c r="W494">
        <v>489</v>
      </c>
      <c r="X494">
        <f t="shared" ca="1" si="101"/>
        <v>-1.5363979506877714</v>
      </c>
      <c r="Y494">
        <f t="shared" ca="1" si="101"/>
        <v>0.16154201881482463</v>
      </c>
      <c r="Z494">
        <f t="shared" ca="1" si="101"/>
        <v>-1.2961039689588323</v>
      </c>
      <c r="AB494">
        <v>489</v>
      </c>
      <c r="AC494" s="24">
        <f t="shared" ca="1" si="94"/>
        <v>-1.5363979506877714</v>
      </c>
      <c r="AD494" s="24">
        <f t="shared" ca="1" si="95"/>
        <v>-1.2573396412669178</v>
      </c>
      <c r="AE494" s="24">
        <f t="shared" ca="1" si="96"/>
        <v>-1.8672489984159493</v>
      </c>
      <c r="AF494" s="24"/>
      <c r="AG494">
        <v>489</v>
      </c>
      <c r="AH494">
        <f t="shared" ca="1" si="102"/>
        <v>301.46201804846322</v>
      </c>
      <c r="AI494">
        <f t="shared" ca="1" si="103"/>
        <v>160.02249585638413</v>
      </c>
      <c r="AJ494">
        <f t="shared" ca="1" si="104"/>
        <v>51.301704009847057</v>
      </c>
      <c r="AL494">
        <v>489</v>
      </c>
      <c r="AM494" s="4">
        <f t="shared" ca="1" si="97"/>
        <v>-2.5782007271194618E-2</v>
      </c>
      <c r="AN494" s="4">
        <f t="shared" ca="1" si="98"/>
        <v>-2.5797508779744627E-2</v>
      </c>
      <c r="AO494" s="4">
        <f t="shared" ca="1" si="99"/>
        <v>-3.2590888350623071E-2</v>
      </c>
      <c r="AP494" s="4">
        <f t="shared" ca="1" si="100"/>
        <v>-2.7830872198443157E-2</v>
      </c>
    </row>
    <row r="495" spans="20:42" x14ac:dyDescent="0.3">
      <c r="T495">
        <v>489</v>
      </c>
      <c r="U495" s="4">
        <v>-3.9628469762195153E-4</v>
      </c>
      <c r="V495" s="4"/>
      <c r="W495">
        <v>490</v>
      </c>
      <c r="X495">
        <f t="shared" ca="1" si="101"/>
        <v>-0.94458342023254094</v>
      </c>
      <c r="Y495">
        <f t="shared" ca="1" si="101"/>
        <v>-0.86614953604460521</v>
      </c>
      <c r="Z495">
        <f t="shared" ca="1" si="101"/>
        <v>-1.3277416371911728</v>
      </c>
      <c r="AB495">
        <v>490</v>
      </c>
      <c r="AC495" s="24">
        <f t="shared" ca="1" si="94"/>
        <v>-0.94458342023254094</v>
      </c>
      <c r="AD495" s="24">
        <f t="shared" ca="1" si="95"/>
        <v>-1.2487407928337517</v>
      </c>
      <c r="AE495" s="24">
        <f t="shared" ca="1" si="96"/>
        <v>-1.6839414624063047</v>
      </c>
      <c r="AF495" s="24"/>
      <c r="AG495">
        <v>490</v>
      </c>
      <c r="AH495">
        <f t="shared" ca="1" si="102"/>
        <v>304.51111100297538</v>
      </c>
      <c r="AI495">
        <f t="shared" ca="1" si="103"/>
        <v>160.0511077207841</v>
      </c>
      <c r="AJ495">
        <f t="shared" ca="1" si="104"/>
        <v>51.468868026398134</v>
      </c>
      <c r="AL495">
        <v>490</v>
      </c>
      <c r="AM495" s="4">
        <f t="shared" ca="1" si="97"/>
        <v>-1.5928423602452502E-2</v>
      </c>
      <c r="AN495" s="4">
        <f t="shared" ca="1" si="98"/>
        <v>-2.5623322335346588E-2</v>
      </c>
      <c r="AO495" s="4">
        <f t="shared" ca="1" si="99"/>
        <v>-2.9438634524505014E-2</v>
      </c>
      <c r="AP495" s="4">
        <f t="shared" ca="1" si="100"/>
        <v>-2.3859446372225888E-2</v>
      </c>
    </row>
    <row r="496" spans="20:42" x14ac:dyDescent="0.3">
      <c r="T496">
        <v>490</v>
      </c>
      <c r="U496" s="4">
        <v>-3.3224745897770819E-4</v>
      </c>
      <c r="V496" s="4"/>
      <c r="W496">
        <v>491</v>
      </c>
      <c r="X496">
        <f t="shared" ca="1" si="101"/>
        <v>1.3656016459074118</v>
      </c>
      <c r="Y496">
        <f t="shared" ca="1" si="101"/>
        <v>-1.4746021590568803</v>
      </c>
      <c r="Z496">
        <f t="shared" ca="1" si="101"/>
        <v>2.8136836119150104</v>
      </c>
      <c r="AB496">
        <v>491</v>
      </c>
      <c r="AC496" s="24">
        <f t="shared" ca="1" si="94"/>
        <v>1.3656016459074118</v>
      </c>
      <c r="AD496" s="24">
        <f t="shared" ca="1" si="95"/>
        <v>0.46171983223287105</v>
      </c>
      <c r="AE496" s="24">
        <f t="shared" ca="1" si="96"/>
        <v>2.1355698489889638</v>
      </c>
      <c r="AF496" s="24"/>
      <c r="AG496">
        <v>491</v>
      </c>
      <c r="AH496">
        <f t="shared" ca="1" si="102"/>
        <v>316.7114954888923</v>
      </c>
      <c r="AI496">
        <f t="shared" ca="1" si="103"/>
        <v>165.84543567737589</v>
      </c>
      <c r="AJ496">
        <f t="shared" ca="1" si="104"/>
        <v>55.078632857908438</v>
      </c>
      <c r="AL496">
        <v>491</v>
      </c>
      <c r="AM496" s="4">
        <f t="shared" ca="1" si="97"/>
        <v>2.3498878587499883E-2</v>
      </c>
      <c r="AN496" s="4">
        <f t="shared" ca="1" si="98"/>
        <v>9.6520225469440835E-3</v>
      </c>
      <c r="AO496" s="4">
        <f t="shared" ca="1" si="99"/>
        <v>3.8631607123691625E-2</v>
      </c>
      <c r="AP496" s="4">
        <f t="shared" ca="1" si="100"/>
        <v>2.2499954732135084E-2</v>
      </c>
    </row>
    <row r="497" spans="20:42" x14ac:dyDescent="0.3">
      <c r="T497">
        <v>491</v>
      </c>
      <c r="U497" s="4">
        <v>-3.0037375857987496E-4</v>
      </c>
      <c r="V497" s="4"/>
      <c r="W497">
        <v>492</v>
      </c>
      <c r="X497">
        <f t="shared" ca="1" si="101"/>
        <v>1.0656919727750682</v>
      </c>
      <c r="Y497">
        <f t="shared" ca="1" si="101"/>
        <v>5.9719289130446516E-2</v>
      </c>
      <c r="Z497">
        <f t="shared" ca="1" si="101"/>
        <v>0.13647341466108801</v>
      </c>
      <c r="AB497">
        <v>492</v>
      </c>
      <c r="AC497" s="24">
        <f t="shared" ca="1" si="94"/>
        <v>1.0656919727750682</v>
      </c>
      <c r="AD497" s="24">
        <f t="shared" ca="1" si="95"/>
        <v>0.95676646043541647</v>
      </c>
      <c r="AE497" s="24">
        <f t="shared" ca="1" si="96"/>
        <v>0.95559409341624812</v>
      </c>
      <c r="AF497" s="24"/>
      <c r="AG497">
        <v>492</v>
      </c>
      <c r="AH497">
        <f t="shared" ca="1" si="102"/>
        <v>315.10043186523257</v>
      </c>
      <c r="AI497">
        <f t="shared" ca="1" si="103"/>
        <v>167.56125911092224</v>
      </c>
      <c r="AJ497">
        <f t="shared" ca="1" si="104"/>
        <v>53.937224689395777</v>
      </c>
      <c r="AL497">
        <v>492</v>
      </c>
      <c r="AM497" s="4">
        <f t="shared" ca="1" si="97"/>
        <v>1.8292494115715874E-2</v>
      </c>
      <c r="AN497" s="4">
        <f t="shared" ca="1" si="98"/>
        <v>2.0097800526529763E-2</v>
      </c>
      <c r="AO497" s="4">
        <f t="shared" ca="1" si="99"/>
        <v>1.7107786743022935E-2</v>
      </c>
      <c r="AP497" s="4">
        <f t="shared" ca="1" si="100"/>
        <v>1.8659204468233548E-2</v>
      </c>
    </row>
    <row r="498" spans="20:42" x14ac:dyDescent="0.3">
      <c r="T498">
        <v>492</v>
      </c>
      <c r="U498" s="4">
        <v>-2.8075684254471591E-4</v>
      </c>
      <c r="V498" s="4"/>
      <c r="W498">
        <v>493</v>
      </c>
      <c r="X498">
        <f t="shared" ca="1" si="101"/>
        <v>-0.72535881612016073</v>
      </c>
      <c r="Y498">
        <f t="shared" ca="1" si="101"/>
        <v>0.88544770596471578</v>
      </c>
      <c r="Z498">
        <f t="shared" ca="1" si="101"/>
        <v>0.80937034345230396</v>
      </c>
      <c r="AB498">
        <v>493</v>
      </c>
      <c r="AC498" s="24">
        <f t="shared" ca="1" si="94"/>
        <v>-0.72535881612016073</v>
      </c>
      <c r="AD498" s="24">
        <f t="shared" ca="1" si="95"/>
        <v>-0.19489517187544797</v>
      </c>
      <c r="AE498" s="24">
        <f t="shared" ca="1" si="96"/>
        <v>6.313548351144499E-2</v>
      </c>
      <c r="AF498" s="24"/>
      <c r="AG498">
        <v>493</v>
      </c>
      <c r="AH498">
        <f t="shared" ca="1" si="102"/>
        <v>305.64839128625738</v>
      </c>
      <c r="AI498">
        <f t="shared" ca="1" si="103"/>
        <v>163.59669589803045</v>
      </c>
      <c r="AJ498">
        <f t="shared" ca="1" si="104"/>
        <v>53.08967331895991</v>
      </c>
      <c r="AL498">
        <v>493</v>
      </c>
      <c r="AM498" s="4">
        <f t="shared" ca="1" si="97"/>
        <v>-1.2253138331288049E-2</v>
      </c>
      <c r="AN498" s="4">
        <f t="shared" ca="1" si="98"/>
        <v>-4.0381019784884176E-3</v>
      </c>
      <c r="AO498" s="4">
        <f t="shared" ca="1" si="99"/>
        <v>1.1252977755378257E-3</v>
      </c>
      <c r="AP498" s="4">
        <f t="shared" ca="1" si="100"/>
        <v>-4.9535929581204343E-3</v>
      </c>
    </row>
    <row r="499" spans="20:42" x14ac:dyDescent="0.3">
      <c r="T499">
        <v>493</v>
      </c>
      <c r="U499" s="4">
        <v>-2.8056032988489372E-4</v>
      </c>
      <c r="V499" s="4"/>
      <c r="W499">
        <v>494</v>
      </c>
      <c r="X499">
        <f t="shared" ca="1" si="101"/>
        <v>0.17829253086454458</v>
      </c>
      <c r="Y499">
        <f t="shared" ca="1" si="101"/>
        <v>0.73391516835671278</v>
      </c>
      <c r="Z499">
        <f t="shared" ca="1" si="101"/>
        <v>1.6703897520611917E-2</v>
      </c>
      <c r="AB499">
        <v>494</v>
      </c>
      <c r="AC499" s="24">
        <f t="shared" ca="1" si="94"/>
        <v>0.17829253086454458</v>
      </c>
      <c r="AD499" s="24">
        <f t="shared" ca="1" si="95"/>
        <v>0.51677514307853767</v>
      </c>
      <c r="AE499" s="24">
        <f t="shared" ca="1" si="96"/>
        <v>0.35659943616785378</v>
      </c>
      <c r="AF499" s="24"/>
      <c r="AG499">
        <v>494</v>
      </c>
      <c r="AH499">
        <f t="shared" ca="1" si="102"/>
        <v>310.38131329840547</v>
      </c>
      <c r="AI499">
        <f t="shared" ca="1" si="103"/>
        <v>166.03538481781715</v>
      </c>
      <c r="AJ499">
        <f t="shared" ca="1" si="104"/>
        <v>53.366890608264931</v>
      </c>
      <c r="AL499">
        <v>494</v>
      </c>
      <c r="AM499" s="4">
        <f t="shared" ca="1" si="97"/>
        <v>3.0419818044620239E-3</v>
      </c>
      <c r="AN499" s="4">
        <f t="shared" ca="1" si="98"/>
        <v>1.0808415745492184E-2</v>
      </c>
      <c r="AO499" s="4">
        <f t="shared" ca="1" si="99"/>
        <v>6.3528537945141128E-3</v>
      </c>
      <c r="AP499" s="4">
        <f t="shared" ca="1" si="100"/>
        <v>7.1418169778897141E-3</v>
      </c>
    </row>
    <row r="500" spans="20:42" x14ac:dyDescent="0.3">
      <c r="T500">
        <v>494</v>
      </c>
      <c r="U500" s="4">
        <v>-2.5536143769612214E-4</v>
      </c>
      <c r="V500" s="4"/>
      <c r="W500">
        <v>495</v>
      </c>
      <c r="X500">
        <f t="shared" ca="1" si="101"/>
        <v>0.91741889232712581</v>
      </c>
      <c r="Y500">
        <f t="shared" ca="1" si="101"/>
        <v>0.72379395415451409</v>
      </c>
      <c r="Z500">
        <f t="shared" ca="1" si="101"/>
        <v>0.66566156869847959</v>
      </c>
      <c r="AB500">
        <v>495</v>
      </c>
      <c r="AC500" s="24">
        <f t="shared" ca="1" si="94"/>
        <v>0.91741889232712581</v>
      </c>
      <c r="AD500" s="24">
        <f t="shared" ca="1" si="95"/>
        <v>1.1549586079493817</v>
      </c>
      <c r="AE500" s="24">
        <f t="shared" ca="1" si="96"/>
        <v>1.2864563737526169</v>
      </c>
      <c r="AF500" s="24"/>
      <c r="AG500">
        <v>495</v>
      </c>
      <c r="AH500">
        <f t="shared" ca="1" si="102"/>
        <v>314.30696414876775</v>
      </c>
      <c r="AI500">
        <f t="shared" ca="1" si="103"/>
        <v>168.25315566728395</v>
      </c>
      <c r="AJ500">
        <f t="shared" ca="1" si="104"/>
        <v>54.254864996297513</v>
      </c>
      <c r="AL500">
        <v>495</v>
      </c>
      <c r="AM500" s="4">
        <f t="shared" ca="1" si="97"/>
        <v>1.572828874406218E-2</v>
      </c>
      <c r="AN500" s="4">
        <f t="shared" ca="1" si="98"/>
        <v>2.43100042249349E-2</v>
      </c>
      <c r="AO500" s="4">
        <f t="shared" ca="1" si="99"/>
        <v>2.3097609752895432E-2</v>
      </c>
      <c r="AP500" s="4">
        <f t="shared" ca="1" si="100"/>
        <v>2.1371771239061244E-2</v>
      </c>
    </row>
    <row r="501" spans="20:42" x14ac:dyDescent="0.3">
      <c r="T501">
        <v>495</v>
      </c>
      <c r="U501" s="4">
        <v>-5.8358150331150414E-5</v>
      </c>
      <c r="V501" s="4"/>
      <c r="W501">
        <v>496</v>
      </c>
      <c r="X501">
        <f t="shared" ca="1" si="101"/>
        <v>-0.50972071859366097</v>
      </c>
      <c r="Y501">
        <f t="shared" ca="1" si="101"/>
        <v>-0.78955458879456886</v>
      </c>
      <c r="Z501">
        <f t="shared" ca="1" si="101"/>
        <v>0.80487271427370854</v>
      </c>
      <c r="AB501">
        <v>496</v>
      </c>
      <c r="AC501" s="24">
        <f t="shared" ca="1" si="94"/>
        <v>-0.50972071859366097</v>
      </c>
      <c r="AD501" s="24">
        <f t="shared" ca="1" si="95"/>
        <v>-0.8325920026437591</v>
      </c>
      <c r="AE501" s="24">
        <f t="shared" ca="1" si="96"/>
        <v>-0.22551623630881484</v>
      </c>
      <c r="AF501" s="24"/>
      <c r="AG501">
        <v>496</v>
      </c>
      <c r="AH501">
        <f t="shared" ca="1" si="102"/>
        <v>306.77120944154302</v>
      </c>
      <c r="AI501">
        <f t="shared" ca="1" si="103"/>
        <v>161.44193600264524</v>
      </c>
      <c r="AJ501">
        <f t="shared" ca="1" si="104"/>
        <v>52.818406683046724</v>
      </c>
      <c r="AL501">
        <v>496</v>
      </c>
      <c r="AM501" s="4">
        <f t="shared" ca="1" si="97"/>
        <v>-8.6245895126902949E-3</v>
      </c>
      <c r="AN501" s="4">
        <f t="shared" ca="1" si="98"/>
        <v>-1.7156085464696047E-2</v>
      </c>
      <c r="AO501" s="4">
        <f t="shared" ca="1" si="99"/>
        <v>-3.9900452785354146E-3</v>
      </c>
      <c r="AP501" s="4">
        <f t="shared" ca="1" si="100"/>
        <v>-1.0646824623246131E-2</v>
      </c>
    </row>
    <row r="502" spans="20:42" x14ac:dyDescent="0.3">
      <c r="T502">
        <v>496</v>
      </c>
      <c r="U502" s="4">
        <v>3.1552631360909312E-5</v>
      </c>
      <c r="V502" s="4"/>
      <c r="W502">
        <v>497</v>
      </c>
      <c r="X502">
        <f t="shared" ca="1" si="101"/>
        <v>1.0359493263438411</v>
      </c>
      <c r="Y502">
        <f t="shared" ca="1" si="101"/>
        <v>0.2780704588914838</v>
      </c>
      <c r="Z502">
        <f t="shared" ca="1" si="101"/>
        <v>6.9968887339131633E-2</v>
      </c>
      <c r="AB502">
        <v>497</v>
      </c>
      <c r="AC502" s="24">
        <f t="shared" ca="1" si="94"/>
        <v>1.0359493263438411</v>
      </c>
      <c r="AD502" s="24">
        <f t="shared" ca="1" si="95"/>
        <v>1.0384753858522464</v>
      </c>
      <c r="AE502" s="24">
        <f t="shared" ca="1" si="96"/>
        <v>0.95784036916704718</v>
      </c>
      <c r="AF502" s="24"/>
      <c r="AG502">
        <v>497</v>
      </c>
      <c r="AH502">
        <f t="shared" ca="1" si="102"/>
        <v>314.94110679378622</v>
      </c>
      <c r="AI502">
        <f t="shared" ca="1" si="103"/>
        <v>167.84616279747169</v>
      </c>
      <c r="AJ502">
        <f t="shared" ca="1" si="104"/>
        <v>53.93937491685827</v>
      </c>
      <c r="AL502">
        <v>497</v>
      </c>
      <c r="AM502" s="4">
        <f t="shared" ca="1" si="97"/>
        <v>1.7777612167068968E-2</v>
      </c>
      <c r="AN502" s="4">
        <f t="shared" ca="1" si="98"/>
        <v>2.1832268419365253E-2</v>
      </c>
      <c r="AO502" s="4">
        <f t="shared" ca="1" si="99"/>
        <v>1.7148334122091269E-2</v>
      </c>
      <c r="AP502" s="4">
        <f t="shared" ca="1" si="100"/>
        <v>1.9210691254494171E-2</v>
      </c>
    </row>
    <row r="503" spans="20:42" x14ac:dyDescent="0.3">
      <c r="T503">
        <v>497</v>
      </c>
      <c r="U503" s="4">
        <v>3.2835353321847196E-5</v>
      </c>
      <c r="V503" s="4"/>
      <c r="W503">
        <v>498</v>
      </c>
      <c r="X503">
        <f t="shared" ca="1" si="101"/>
        <v>-2.0648410981869989</v>
      </c>
      <c r="Y503">
        <f t="shared" ca="1" si="101"/>
        <v>0.33739779750422594</v>
      </c>
      <c r="Z503">
        <f t="shared" ca="1" si="101"/>
        <v>-0.46706493378886543</v>
      </c>
      <c r="AB503">
        <v>498</v>
      </c>
      <c r="AC503" s="24">
        <f t="shared" ca="1" si="94"/>
        <v>-2.0648410981869989</v>
      </c>
      <c r="AD503" s="24">
        <f t="shared" ca="1" si="95"/>
        <v>-1.6305274716764111</v>
      </c>
      <c r="AE503" s="24">
        <f t="shared" ca="1" si="96"/>
        <v>-1.8292839394020763</v>
      </c>
      <c r="AF503" s="24"/>
      <c r="AG503">
        <v>498</v>
      </c>
      <c r="AH503">
        <f t="shared" ca="1" si="102"/>
        <v>298.76523259854548</v>
      </c>
      <c r="AI503">
        <f t="shared" ca="1" si="103"/>
        <v>158.78566381257218</v>
      </c>
      <c r="AJ503">
        <f t="shared" ca="1" si="104"/>
        <v>51.336280926810581</v>
      </c>
      <c r="AL503">
        <v>498</v>
      </c>
      <c r="AM503" s="4">
        <f t="shared" ca="1" si="97"/>
        <v>-3.4497058423730631E-2</v>
      </c>
      <c r="AN503" s="4">
        <f t="shared" ca="1" si="98"/>
        <v>-3.3327230472024794E-2</v>
      </c>
      <c r="AO503" s="4">
        <f t="shared" ca="1" si="99"/>
        <v>-3.1938862747012742E-2</v>
      </c>
      <c r="AP503" s="4">
        <f t="shared" ca="1" si="100"/>
        <v>-3.3261668540032929E-2</v>
      </c>
    </row>
    <row r="504" spans="20:42" x14ac:dyDescent="0.3">
      <c r="T504">
        <v>498</v>
      </c>
      <c r="U504" s="4">
        <v>5.2583845165799035E-5</v>
      </c>
      <c r="V504" s="4"/>
      <c r="W504">
        <v>499</v>
      </c>
      <c r="X504">
        <f t="shared" ca="1" si="101"/>
        <v>0.55746456153723922</v>
      </c>
      <c r="Y504">
        <f t="shared" ca="1" si="101"/>
        <v>8.5115451658354518E-2</v>
      </c>
      <c r="Z504">
        <f t="shared" ca="1" si="101"/>
        <v>-1.3661742889391146</v>
      </c>
      <c r="AB504">
        <v>499</v>
      </c>
      <c r="AC504" s="24">
        <f t="shared" ca="1" si="94"/>
        <v>0.55746456153723922</v>
      </c>
      <c r="AD504" s="24">
        <f t="shared" ca="1" si="95"/>
        <v>0.52703247105532813</v>
      </c>
      <c r="AE504" s="24">
        <f t="shared" ca="1" si="96"/>
        <v>-0.21484124238267588</v>
      </c>
      <c r="AF504" s="24"/>
      <c r="AG504">
        <v>499</v>
      </c>
      <c r="AH504">
        <f t="shared" ca="1" si="102"/>
        <v>312.38900968827448</v>
      </c>
      <c r="AI504">
        <f t="shared" ca="1" si="103"/>
        <v>166.07079818379776</v>
      </c>
      <c r="AJ504">
        <f t="shared" ca="1" si="104"/>
        <v>52.828414011506283</v>
      </c>
      <c r="AL504">
        <v>499</v>
      </c>
      <c r="AM504" s="4">
        <f t="shared" ca="1" si="97"/>
        <v>9.5301422686191462E-3</v>
      </c>
      <c r="AN504" s="4">
        <f t="shared" ca="1" si="98"/>
        <v>1.1024009116762823E-2</v>
      </c>
      <c r="AO504" s="4">
        <f t="shared" ca="1" si="99"/>
        <v>-3.8013345734643211E-3</v>
      </c>
      <c r="AP504" s="4">
        <f t="shared" ca="1" si="100"/>
        <v>6.1282459552515767E-3</v>
      </c>
    </row>
    <row r="505" spans="20:42" x14ac:dyDescent="0.3">
      <c r="T505">
        <v>499</v>
      </c>
      <c r="U505" s="4">
        <v>8.6921685983054652E-5</v>
      </c>
      <c r="V505" s="4"/>
      <c r="W505">
        <v>500</v>
      </c>
      <c r="X505">
        <f t="shared" ca="1" si="101"/>
        <v>-0.73056308075361631</v>
      </c>
      <c r="Y505">
        <f t="shared" ca="1" si="101"/>
        <v>-0.5705414050015466</v>
      </c>
      <c r="Z505">
        <f t="shared" ca="1" si="101"/>
        <v>-0.11403955996076898</v>
      </c>
      <c r="AB505">
        <v>500</v>
      </c>
      <c r="AC505" s="24">
        <f t="shared" ca="1" si="94"/>
        <v>-0.73056308075361631</v>
      </c>
      <c r="AD505" s="24">
        <f t="shared" ca="1" si="95"/>
        <v>-0.91684740973421608</v>
      </c>
      <c r="AE505" s="24">
        <f t="shared" ca="1" si="96"/>
        <v>-0.81167807620364374</v>
      </c>
      <c r="AF505" s="24"/>
      <c r="AG505">
        <v>500</v>
      </c>
      <c r="AH505">
        <f t="shared" ca="1" si="102"/>
        <v>305.6213437566567</v>
      </c>
      <c r="AI505">
        <f t="shared" ca="1" si="103"/>
        <v>161.15937007183479</v>
      </c>
      <c r="AJ505">
        <f t="shared" ca="1" si="104"/>
        <v>52.271806233741223</v>
      </c>
      <c r="AL505">
        <v>500</v>
      </c>
      <c r="AM505" s="4">
        <f t="shared" ca="1" si="97"/>
        <v>-1.2340546324395851E-2</v>
      </c>
      <c r="AN505" s="4">
        <f t="shared" ca="1" si="98"/>
        <v>-1.8876321311889432E-2</v>
      </c>
      <c r="AO505" s="4">
        <f t="shared" ca="1" si="99"/>
        <v>-1.4297427173458166E-2</v>
      </c>
      <c r="AP505" s="4">
        <f t="shared" ca="1" si="100"/>
        <v>-1.5541920574111979E-2</v>
      </c>
    </row>
    <row r="506" spans="20:42" x14ac:dyDescent="0.3">
      <c r="T506">
        <v>500</v>
      </c>
      <c r="U506" s="4">
        <v>9.1226705228831736E-5</v>
      </c>
      <c r="V506" s="4"/>
      <c r="W506">
        <v>501</v>
      </c>
      <c r="X506">
        <f t="shared" ca="1" si="101"/>
        <v>0.12978368342103141</v>
      </c>
      <c r="Y506">
        <f t="shared" ca="1" si="101"/>
        <v>0.17274362619517111</v>
      </c>
      <c r="Z506">
        <f t="shared" ca="1" si="101"/>
        <v>-0.59464124602192781</v>
      </c>
      <c r="AB506">
        <v>501</v>
      </c>
      <c r="AC506" s="24">
        <f t="shared" ca="1" si="94"/>
        <v>0.12978368342103141</v>
      </c>
      <c r="AD506" s="24">
        <f t="shared" ca="1" si="95"/>
        <v>0.19805238522150892</v>
      </c>
      <c r="AE506" s="24">
        <f t="shared" ca="1" si="96"/>
        <v>-0.14817142615341272</v>
      </c>
      <c r="AF506" s="24"/>
      <c r="AG506">
        <v>501</v>
      </c>
      <c r="AH506">
        <f t="shared" ca="1" si="102"/>
        <v>310.12539416813684</v>
      </c>
      <c r="AI506">
        <f t="shared" ca="1" si="103"/>
        <v>164.93875121721393</v>
      </c>
      <c r="AJ506">
        <f t="shared" ca="1" si="104"/>
        <v>52.890956889865066</v>
      </c>
      <c r="AL506">
        <v>501</v>
      </c>
      <c r="AM506" s="4">
        <f t="shared" ca="1" si="97"/>
        <v>2.2149422224768678E-3</v>
      </c>
      <c r="AN506" s="4">
        <f t="shared" ca="1" si="98"/>
        <v>4.1322095037004125E-3</v>
      </c>
      <c r="AO506" s="4">
        <f t="shared" ca="1" si="99"/>
        <v>-2.6219478150546482E-3</v>
      </c>
      <c r="AP506" s="4">
        <f t="shared" ca="1" si="100"/>
        <v>1.5307821237068309E-3</v>
      </c>
    </row>
    <row r="507" spans="20:42" x14ac:dyDescent="0.3">
      <c r="T507">
        <v>501</v>
      </c>
      <c r="U507" s="4">
        <v>1.3607909348751818E-4</v>
      </c>
      <c r="V507" s="4"/>
      <c r="W507">
        <v>502</v>
      </c>
      <c r="X507">
        <f t="shared" ca="1" si="101"/>
        <v>-0.41480032084268331</v>
      </c>
      <c r="Y507">
        <f t="shared" ca="1" si="101"/>
        <v>7.5631524658390297E-3</v>
      </c>
      <c r="Z507">
        <f t="shared" ca="1" si="101"/>
        <v>0.58539775460280508</v>
      </c>
      <c r="AB507">
        <v>502</v>
      </c>
      <c r="AC507" s="24">
        <f t="shared" ca="1" si="94"/>
        <v>-0.41480032084268331</v>
      </c>
      <c r="AD507" s="24">
        <f t="shared" ca="1" si="95"/>
        <v>-0.35722293743197536</v>
      </c>
      <c r="AE507" s="24">
        <f t="shared" ca="1" si="96"/>
        <v>-3.9384948503608241E-2</v>
      </c>
      <c r="AF507" s="24"/>
      <c r="AG507">
        <v>502</v>
      </c>
      <c r="AH507">
        <f t="shared" ca="1" si="102"/>
        <v>307.26676234260805</v>
      </c>
      <c r="AI507">
        <f t="shared" ca="1" si="103"/>
        <v>163.04548135663387</v>
      </c>
      <c r="AJ507">
        <f t="shared" ca="1" si="104"/>
        <v>52.993168380138066</v>
      </c>
      <c r="AL507">
        <v>502</v>
      </c>
      <c r="AM507" s="4">
        <f t="shared" ca="1" si="97"/>
        <v>-7.023138836774967E-3</v>
      </c>
      <c r="AN507" s="4">
        <f t="shared" ca="1" si="98"/>
        <v>-7.3938462852596309E-3</v>
      </c>
      <c r="AO507" s="4">
        <f t="shared" ca="1" si="99"/>
        <v>-6.9452008309511815E-4</v>
      </c>
      <c r="AP507" s="4">
        <f t="shared" ca="1" si="100"/>
        <v>-5.2728361900648774E-3</v>
      </c>
    </row>
    <row r="508" spans="20:42" x14ac:dyDescent="0.3">
      <c r="T508">
        <v>502</v>
      </c>
      <c r="U508" s="4">
        <v>2.0885012538042198E-4</v>
      </c>
      <c r="V508" s="4"/>
      <c r="W508">
        <v>503</v>
      </c>
      <c r="X508">
        <f t="shared" ca="1" si="101"/>
        <v>0.30514685620212928</v>
      </c>
      <c r="Y508">
        <f t="shared" ca="1" si="101"/>
        <v>-0.98587838812443296</v>
      </c>
      <c r="Z508">
        <f t="shared" ca="1" si="101"/>
        <v>0.59780291306478484</v>
      </c>
      <c r="AB508">
        <v>503</v>
      </c>
      <c r="AC508" s="24">
        <f t="shared" ca="1" si="94"/>
        <v>0.30514685620212928</v>
      </c>
      <c r="AD508" s="24">
        <f t="shared" ca="1" si="95"/>
        <v>-0.22024969560466789</v>
      </c>
      <c r="AE508" s="24">
        <f t="shared" ca="1" si="96"/>
        <v>0.28031491286382137</v>
      </c>
      <c r="AF508" s="24"/>
      <c r="AG508">
        <v>503</v>
      </c>
      <c r="AH508">
        <f t="shared" ca="1" si="102"/>
        <v>311.05155998259698</v>
      </c>
      <c r="AI508">
        <f t="shared" ca="1" si="103"/>
        <v>163.51047718803864</v>
      </c>
      <c r="AJ508">
        <f t="shared" ca="1" si="104"/>
        <v>53.2946903960298</v>
      </c>
      <c r="AL508">
        <v>503</v>
      </c>
      <c r="AM508" s="4">
        <f t="shared" ca="1" si="97"/>
        <v>5.207980637526477E-3</v>
      </c>
      <c r="AN508" s="4">
        <f t="shared" ca="1" si="98"/>
        <v>-4.5629936920835723E-3</v>
      </c>
      <c r="AO508" s="4">
        <f t="shared" ca="1" si="99"/>
        <v>4.9913562667540656E-3</v>
      </c>
      <c r="AP508" s="4">
        <f t="shared" ca="1" si="100"/>
        <v>1.2346035944507336E-3</v>
      </c>
    </row>
    <row r="509" spans="20:42" x14ac:dyDescent="0.3">
      <c r="T509">
        <v>503</v>
      </c>
      <c r="U509" s="4">
        <v>2.2654615256842946E-4</v>
      </c>
      <c r="V509" s="4"/>
      <c r="W509">
        <v>504</v>
      </c>
      <c r="X509">
        <f t="shared" ca="1" si="101"/>
        <v>-0.56045001175574893</v>
      </c>
      <c r="Y509">
        <f t="shared" ca="1" si="101"/>
        <v>-1.6431210999242247</v>
      </c>
      <c r="Z509">
        <f t="shared" ca="1" si="101"/>
        <v>-0.57265660199634583</v>
      </c>
      <c r="AB509">
        <v>504</v>
      </c>
      <c r="AC509" s="24">
        <f t="shared" ca="1" si="94"/>
        <v>-0.56045001175574893</v>
      </c>
      <c r="AD509" s="24">
        <f t="shared" ca="1" si="95"/>
        <v>-1.2973215440342809</v>
      </c>
      <c r="AE509" s="24">
        <f t="shared" ca="1" si="96"/>
        <v>-1.2016644682604551</v>
      </c>
      <c r="AF509" s="24"/>
      <c r="AG509">
        <v>504</v>
      </c>
      <c r="AH509">
        <f t="shared" ca="1" si="102"/>
        <v>306.50669374983693</v>
      </c>
      <c r="AI509">
        <f t="shared" ca="1" si="103"/>
        <v>159.88952697921118</v>
      </c>
      <c r="AJ509">
        <f t="shared" ca="1" si="104"/>
        <v>51.91127821844902</v>
      </c>
      <c r="AL509">
        <v>504</v>
      </c>
      <c r="AM509" s="4">
        <f t="shared" ca="1" si="97"/>
        <v>-9.4794101228865557E-3</v>
      </c>
      <c r="AN509" s="4">
        <f t="shared" ca="1" si="98"/>
        <v>-2.6607011285647908E-2</v>
      </c>
      <c r="AO509" s="4">
        <f t="shared" ca="1" si="99"/>
        <v>-2.1095994467277501E-2</v>
      </c>
      <c r="AP509" s="4">
        <f t="shared" ca="1" si="100"/>
        <v>-1.9815425891308379E-2</v>
      </c>
    </row>
    <row r="510" spans="20:42" x14ac:dyDescent="0.3">
      <c r="T510">
        <v>504</v>
      </c>
      <c r="U510" s="4">
        <v>2.4799833350697131E-4</v>
      </c>
      <c r="V510" s="4"/>
      <c r="W510">
        <v>505</v>
      </c>
      <c r="X510">
        <f t="shared" ca="1" si="101"/>
        <v>1.2921764880264324</v>
      </c>
      <c r="Y510">
        <f t="shared" ca="1" si="101"/>
        <v>0.48795072620083446</v>
      </c>
      <c r="Z510">
        <f t="shared" ca="1" si="101"/>
        <v>1.28941311246686</v>
      </c>
      <c r="AB510">
        <v>505</v>
      </c>
      <c r="AC510" s="24">
        <f t="shared" ca="1" si="94"/>
        <v>1.2921764880264324</v>
      </c>
      <c r="AD510" s="24">
        <f t="shared" ca="1" si="95"/>
        <v>1.3648546450168348</v>
      </c>
      <c r="AE510" s="24">
        <f t="shared" ca="1" si="96"/>
        <v>1.8438034399429659</v>
      </c>
      <c r="AF510" s="24"/>
      <c r="AG510">
        <v>505</v>
      </c>
      <c r="AH510">
        <f t="shared" ca="1" si="102"/>
        <v>316.31630820894725</v>
      </c>
      <c r="AI510">
        <f t="shared" ca="1" si="103"/>
        <v>168.98902625722158</v>
      </c>
      <c r="AJ510">
        <f t="shared" ca="1" si="104"/>
        <v>54.79417454596647</v>
      </c>
      <c r="AL510">
        <v>505</v>
      </c>
      <c r="AM510" s="4">
        <f t="shared" ca="1" si="97"/>
        <v>2.2221773892479479E-2</v>
      </c>
      <c r="AN510" s="4">
        <f t="shared" ca="1" si="98"/>
        <v>2.8789917865179371E-2</v>
      </c>
      <c r="AO510" s="4">
        <f t="shared" ca="1" si="99"/>
        <v>3.3267505323013813E-2</v>
      </c>
      <c r="AP510" s="4">
        <f t="shared" ca="1" si="100"/>
        <v>2.8162750910719736E-2</v>
      </c>
    </row>
    <row r="511" spans="20:42" x14ac:dyDescent="0.3">
      <c r="T511">
        <v>505</v>
      </c>
      <c r="U511" s="4">
        <v>2.9930963525274254E-4</v>
      </c>
      <c r="V511" s="4"/>
      <c r="W511">
        <v>506</v>
      </c>
      <c r="X511">
        <f t="shared" ca="1" si="101"/>
        <v>-0.48281647605557959</v>
      </c>
      <c r="Y511">
        <f t="shared" ca="1" si="101"/>
        <v>0.23289027724805866</v>
      </c>
      <c r="Z511">
        <f t="shared" ca="1" si="101"/>
        <v>1.399560521903652</v>
      </c>
      <c r="AB511">
        <v>506</v>
      </c>
      <c r="AC511" s="24">
        <f t="shared" ca="1" si="94"/>
        <v>-0.48281647605557959</v>
      </c>
      <c r="AD511" s="24">
        <f t="shared" ca="1" si="95"/>
        <v>-0.30538140036462891</v>
      </c>
      <c r="AE511" s="24">
        <f t="shared" ca="1" si="96"/>
        <v>0.38049944989777418</v>
      </c>
      <c r="AF511" s="24"/>
      <c r="AG511">
        <v>506</v>
      </c>
      <c r="AH511">
        <f t="shared" ca="1" si="102"/>
        <v>306.91158776471764</v>
      </c>
      <c r="AI511">
        <f t="shared" ca="1" si="103"/>
        <v>163.22131691893858</v>
      </c>
      <c r="AJ511">
        <f t="shared" ca="1" si="104"/>
        <v>53.389531120041006</v>
      </c>
      <c r="AL511">
        <v>506</v>
      </c>
      <c r="AM511" s="4">
        <f t="shared" ca="1" si="97"/>
        <v>-8.1709367138695921E-3</v>
      </c>
      <c r="AN511" s="4">
        <f t="shared" ca="1" si="98"/>
        <v>-6.3233752747580141E-3</v>
      </c>
      <c r="AO511" s="4">
        <f t="shared" ca="1" si="99"/>
        <v>6.7797916089067378E-3</v>
      </c>
      <c r="AP511" s="4">
        <f t="shared" ca="1" si="100"/>
        <v>-2.9466936413920617E-3</v>
      </c>
    </row>
    <row r="512" spans="20:42" x14ac:dyDescent="0.3">
      <c r="T512">
        <v>506</v>
      </c>
      <c r="U512" s="4">
        <v>3.0651923027620321E-4</v>
      </c>
      <c r="V512" s="4"/>
      <c r="W512">
        <v>507</v>
      </c>
      <c r="X512">
        <f t="shared" ca="1" si="101"/>
        <v>-6.5422619534269921E-2</v>
      </c>
      <c r="Y512">
        <f t="shared" ca="1" si="101"/>
        <v>-0.15179342293670842</v>
      </c>
      <c r="Z512">
        <f t="shared" ca="1" si="101"/>
        <v>4.547544756173464E-2</v>
      </c>
      <c r="AB512">
        <v>507</v>
      </c>
      <c r="AC512" s="24">
        <f t="shared" ca="1" si="94"/>
        <v>-6.5422619534269921E-2</v>
      </c>
      <c r="AD512" s="24">
        <f t="shared" ca="1" si="95"/>
        <v>-0.13172388619703773</v>
      </c>
      <c r="AE512" s="24">
        <f t="shared" ca="1" si="96"/>
        <v>-7.2222265275648637E-2</v>
      </c>
      <c r="AF512" s="24"/>
      <c r="AG512">
        <v>507</v>
      </c>
      <c r="AH512">
        <f t="shared" ca="1" si="102"/>
        <v>309.09767157953087</v>
      </c>
      <c r="AI512">
        <f t="shared" ca="1" si="103"/>
        <v>163.81170927671948</v>
      </c>
      <c r="AJ512">
        <f t="shared" ca="1" si="104"/>
        <v>52.962294935182086</v>
      </c>
      <c r="AL512">
        <v>507</v>
      </c>
      <c r="AM512" s="4">
        <f t="shared" ca="1" si="97"/>
        <v>-1.1062915562766173E-3</v>
      </c>
      <c r="AN512" s="4">
        <f t="shared" ca="1" si="98"/>
        <v>-2.7291199629064788E-3</v>
      </c>
      <c r="AO512" s="4">
        <f t="shared" ca="1" si="99"/>
        <v>-1.2767083853137962E-3</v>
      </c>
      <c r="AP512" s="4">
        <f t="shared" ca="1" si="100"/>
        <v>-1.8065479676397157E-3</v>
      </c>
    </row>
    <row r="513" spans="20:42" x14ac:dyDescent="0.3">
      <c r="T513">
        <v>507</v>
      </c>
      <c r="U513" s="4">
        <v>4.365219674262288E-4</v>
      </c>
      <c r="V513" s="4"/>
      <c r="W513">
        <v>508</v>
      </c>
      <c r="X513">
        <f t="shared" ca="1" si="101"/>
        <v>0.94906339349511215</v>
      </c>
      <c r="Y513">
        <f t="shared" ca="1" si="101"/>
        <v>1.0768796743841505E-2</v>
      </c>
      <c r="Z513">
        <f t="shared" ca="1" si="101"/>
        <v>-0.74973871689915306</v>
      </c>
      <c r="AB513">
        <v>508</v>
      </c>
      <c r="AC513" s="24">
        <f t="shared" ca="1" si="94"/>
        <v>0.94906339349511215</v>
      </c>
      <c r="AD513" s="24">
        <f t="shared" ca="1" si="95"/>
        <v>0.83115913028315913</v>
      </c>
      <c r="AE513" s="24">
        <f t="shared" ca="1" si="96"/>
        <v>0.39711970621094417</v>
      </c>
      <c r="AF513" s="24"/>
      <c r="AG513">
        <v>508</v>
      </c>
      <c r="AH513">
        <f t="shared" ca="1" si="102"/>
        <v>314.47613847097131</v>
      </c>
      <c r="AI513">
        <f t="shared" ca="1" si="103"/>
        <v>167.12423275357054</v>
      </c>
      <c r="AJ513">
        <f t="shared" ca="1" si="104"/>
        <v>53.40528117079792</v>
      </c>
      <c r="AL513">
        <v>508</v>
      </c>
      <c r="AM513" s="4">
        <f t="shared" ca="1" si="97"/>
        <v>1.627499996713877E-2</v>
      </c>
      <c r="AN513" s="4">
        <f t="shared" ca="1" si="98"/>
        <v>1.7437223563381732E-2</v>
      </c>
      <c r="AO513" s="4">
        <f t="shared" ca="1" si="99"/>
        <v>7.0767942700318276E-3</v>
      </c>
      <c r="AP513" s="4">
        <f t="shared" ca="1" si="100"/>
        <v>1.3980427696503872E-2</v>
      </c>
    </row>
    <row r="514" spans="20:42" x14ac:dyDescent="0.3">
      <c r="T514">
        <v>508</v>
      </c>
      <c r="U514" s="4">
        <v>5.5621755221049187E-4</v>
      </c>
      <c r="V514" s="4"/>
      <c r="W514">
        <v>509</v>
      </c>
      <c r="X514">
        <f t="shared" ca="1" si="101"/>
        <v>0.65858115399951178</v>
      </c>
      <c r="Y514">
        <f t="shared" ca="1" si="101"/>
        <v>-0.33374526016290756</v>
      </c>
      <c r="Z514">
        <f t="shared" ca="1" si="101"/>
        <v>0.51206859291931262</v>
      </c>
      <c r="AB514">
        <v>509</v>
      </c>
      <c r="AC514" s="24">
        <f t="shared" ca="1" si="94"/>
        <v>0.65858115399951178</v>
      </c>
      <c r="AD514" s="24">
        <f t="shared" ca="1" si="95"/>
        <v>0.40863248788723194</v>
      </c>
      <c r="AE514" s="24">
        <f t="shared" ca="1" si="96"/>
        <v>0.7053051253353908</v>
      </c>
      <c r="AF514" s="24"/>
      <c r="AG514">
        <v>509</v>
      </c>
      <c r="AH514">
        <f t="shared" ca="1" si="102"/>
        <v>312.92660680763663</v>
      </c>
      <c r="AI514">
        <f t="shared" ca="1" si="103"/>
        <v>165.66248211592168</v>
      </c>
      <c r="AJ514">
        <f t="shared" ca="1" si="104"/>
        <v>53.698173887927297</v>
      </c>
      <c r="AL514">
        <v>509</v>
      </c>
      <c r="AM514" s="4">
        <f t="shared" ca="1" si="97"/>
        <v>1.1267464900213797E-2</v>
      </c>
      <c r="AN514" s="4">
        <f t="shared" ca="1" si="98"/>
        <v>8.5382178009771881E-3</v>
      </c>
      <c r="AO514" s="4">
        <f t="shared" ca="1" si="99"/>
        <v>1.2599945766760268E-2</v>
      </c>
      <c r="AP514" s="4">
        <f t="shared" ca="1" si="100"/>
        <v>1.0575510320483095E-2</v>
      </c>
    </row>
    <row r="515" spans="20:42" x14ac:dyDescent="0.3">
      <c r="T515">
        <v>509</v>
      </c>
      <c r="U515" s="4">
        <v>5.967335653993544E-4</v>
      </c>
      <c r="V515" s="4"/>
      <c r="W515">
        <v>510</v>
      </c>
      <c r="X515">
        <f t="shared" ca="1" si="101"/>
        <v>0.12066515771735875</v>
      </c>
      <c r="Y515">
        <f t="shared" ca="1" si="101"/>
        <v>0.15566555862538034</v>
      </c>
      <c r="Z515">
        <f t="shared" ca="1" si="101"/>
        <v>-0.31885141330094313</v>
      </c>
      <c r="AB515">
        <v>510</v>
      </c>
      <c r="AC515" s="24">
        <f t="shared" ca="1" si="94"/>
        <v>0.12066515771735875</v>
      </c>
      <c r="AD515" s="24">
        <f t="shared" ca="1" si="95"/>
        <v>0.18170261445314639</v>
      </c>
      <c r="AE515" s="24">
        <f t="shared" ca="1" si="96"/>
        <v>-2.036094042734185E-2</v>
      </c>
      <c r="AF515" s="24"/>
      <c r="AG515">
        <v>510</v>
      </c>
      <c r="AH515">
        <f t="shared" ca="1" si="102"/>
        <v>310.07731093952771</v>
      </c>
      <c r="AI515">
        <f t="shared" ca="1" si="103"/>
        <v>164.88269206087847</v>
      </c>
      <c r="AJ515">
        <f t="shared" ca="1" si="104"/>
        <v>53.011062869317037</v>
      </c>
      <c r="AL515">
        <v>510</v>
      </c>
      <c r="AM515" s="4">
        <f t="shared" ca="1" si="97"/>
        <v>2.0595543339370082E-3</v>
      </c>
      <c r="AN515" s="4">
        <f t="shared" ca="1" si="98"/>
        <v>3.7909264268090048E-3</v>
      </c>
      <c r="AO515" s="4">
        <f t="shared" ca="1" si="99"/>
        <v>-3.5707920829053386E-4</v>
      </c>
      <c r="AP515" s="4">
        <f t="shared" ca="1" si="100"/>
        <v>2.0271131084175446E-3</v>
      </c>
    </row>
    <row r="516" spans="20:42" x14ac:dyDescent="0.3">
      <c r="T516">
        <v>510</v>
      </c>
      <c r="U516" s="4">
        <v>6.0178256072885845E-4</v>
      </c>
      <c r="V516" s="4"/>
      <c r="W516">
        <v>511</v>
      </c>
      <c r="X516">
        <f t="shared" ca="1" si="101"/>
        <v>-2.1755466068347258</v>
      </c>
      <c r="Y516">
        <f t="shared" ca="1" si="101"/>
        <v>-0.15332354437149828</v>
      </c>
      <c r="Z516">
        <f t="shared" ca="1" si="101"/>
        <v>0.73580006296237355</v>
      </c>
      <c r="AB516">
        <v>511</v>
      </c>
      <c r="AC516" s="24">
        <f t="shared" ca="1" si="94"/>
        <v>-2.1755466068347258</v>
      </c>
      <c r="AD516" s="24">
        <f t="shared" ca="1" si="95"/>
        <v>-1.968658710090869</v>
      </c>
      <c r="AE516" s="24">
        <f t="shared" ca="1" si="96"/>
        <v>-1.4446340868572523</v>
      </c>
      <c r="AF516" s="24"/>
      <c r="AG516">
        <v>511</v>
      </c>
      <c r="AH516">
        <f t="shared" ca="1" si="102"/>
        <v>298.20333663979648</v>
      </c>
      <c r="AI516">
        <f t="shared" ca="1" si="103"/>
        <v>157.67327431786268</v>
      </c>
      <c r="AJ516">
        <f t="shared" ca="1" si="104"/>
        <v>51.687920080337072</v>
      </c>
      <c r="AL516">
        <v>511</v>
      </c>
      <c r="AM516" s="4">
        <f t="shared" ca="1" si="97"/>
        <v>-3.6312906259549527E-2</v>
      </c>
      <c r="AN516" s="4">
        <f t="shared" ca="1" si="98"/>
        <v>-4.0099357173047023E-2</v>
      </c>
      <c r="AO516" s="4">
        <f t="shared" ca="1" si="99"/>
        <v>-2.5307914951031019E-2</v>
      </c>
      <c r="AP516" s="4">
        <f t="shared" ca="1" si="100"/>
        <v>-3.4525989232392973E-2</v>
      </c>
    </row>
    <row r="517" spans="20:42" x14ac:dyDescent="0.3">
      <c r="T517">
        <v>511</v>
      </c>
      <c r="U517" s="4">
        <v>6.903143766516577E-4</v>
      </c>
      <c r="V517" s="4"/>
      <c r="W517">
        <v>512</v>
      </c>
      <c r="X517">
        <f t="shared" ca="1" si="101"/>
        <v>-4.4146994680053918E-2</v>
      </c>
      <c r="Y517">
        <f t="shared" ca="1" si="101"/>
        <v>0.11709632586425255</v>
      </c>
      <c r="Z517">
        <f t="shared" ca="1" si="101"/>
        <v>0.84570719189067867</v>
      </c>
      <c r="AB517">
        <v>512</v>
      </c>
      <c r="AC517" s="24">
        <f t="shared" ca="1" si="94"/>
        <v>-4.4146994680053918E-2</v>
      </c>
      <c r="AD517" s="24">
        <f t="shared" ca="1" si="95"/>
        <v>1.9282316891136859E-2</v>
      </c>
      <c r="AE517" s="24">
        <f t="shared" ca="1" si="96"/>
        <v>0.42549958719931302</v>
      </c>
      <c r="AF517" s="24"/>
      <c r="AG517">
        <v>512</v>
      </c>
      <c r="AH517">
        <f t="shared" ca="1" si="102"/>
        <v>309.20951796534177</v>
      </c>
      <c r="AI517">
        <f t="shared" ca="1" si="103"/>
        <v>164.32682840279972</v>
      </c>
      <c r="AJ517">
        <f t="shared" ca="1" si="104"/>
        <v>53.432185875565359</v>
      </c>
      <c r="AL517">
        <v>512</v>
      </c>
      <c r="AM517" s="4">
        <f t="shared" ca="1" si="97"/>
        <v>-7.4484382835371399E-4</v>
      </c>
      <c r="AN517" s="4">
        <f t="shared" ca="1" si="98"/>
        <v>4.0687871788480656E-4</v>
      </c>
      <c r="AO517" s="4">
        <f t="shared" ca="1" si="99"/>
        <v>7.5841430421752509E-3</v>
      </c>
      <c r="AP517" s="4">
        <f t="shared" ca="1" si="100"/>
        <v>2.2145412513003837E-3</v>
      </c>
    </row>
    <row r="518" spans="20:42" x14ac:dyDescent="0.3">
      <c r="T518">
        <v>512</v>
      </c>
      <c r="U518" s="4">
        <v>7.2291538114690438E-4</v>
      </c>
      <c r="V518" s="4"/>
      <c r="W518">
        <v>513</v>
      </c>
      <c r="X518">
        <f t="shared" ca="1" si="101"/>
        <v>1.6940185723467886E-2</v>
      </c>
      <c r="Y518">
        <f t="shared" ca="1" si="101"/>
        <v>0.45335550673557501</v>
      </c>
      <c r="Z518">
        <f t="shared" ca="1" si="101"/>
        <v>1.6555924803442565</v>
      </c>
      <c r="AB518">
        <v>513</v>
      </c>
      <c r="AC518" s="24">
        <f t="shared" ref="AC518:AC581" ca="1" si="105">SUMPRODUCT($Q$24:$S$24,X518:Z518)</f>
        <v>1.6940185723467886E-2</v>
      </c>
      <c r="AD518" s="24">
        <f t="shared" ref="AD518:AD581" ca="1" si="106">SUMPRODUCT($Q$25:$S$25,X518:Z518)</f>
        <v>0.23812720309161806</v>
      </c>
      <c r="AE518" s="24">
        <f t="shared" ref="AE518:AE581" ca="1" si="107">SUMPRODUCT($Q$26:$S$26,X518:Z518)</f>
        <v>0.97921312746898759</v>
      </c>
      <c r="AF518" s="24"/>
      <c r="AG518">
        <v>513</v>
      </c>
      <c r="AH518">
        <f t="shared" ca="1" si="102"/>
        <v>309.5308794699522</v>
      </c>
      <c r="AI518">
        <f t="shared" ca="1" si="103"/>
        <v>165.07623808057895</v>
      </c>
      <c r="AJ518">
        <f t="shared" ca="1" si="104"/>
        <v>53.959838087854521</v>
      </c>
      <c r="AL518">
        <v>513</v>
      </c>
      <c r="AM518" s="4">
        <f t="shared" ref="AM518:AM581" ca="1" si="108">AH518/$AH$2-1</f>
        <v>2.9368222540449018E-4</v>
      </c>
      <c r="AN518" s="4">
        <f t="shared" ref="AN518:AN581" ca="1" si="109">AI518/$AI$2-1</f>
        <v>4.9692171011852526E-3</v>
      </c>
      <c r="AO518" s="4">
        <f t="shared" ref="AO518:AO581" ca="1" si="110">AJ518/$AJ$2-1</f>
        <v>1.7534213274783994E-2</v>
      </c>
      <c r="AP518" s="4">
        <f t="shared" ref="AP518:AP581" ca="1" si="111">SUMPRODUCT($P$6:$R$6,AM518:AO518)</f>
        <v>7.3360554905306458E-3</v>
      </c>
    </row>
    <row r="519" spans="20:42" x14ac:dyDescent="0.3">
      <c r="T519">
        <v>513</v>
      </c>
      <c r="U519" s="4">
        <v>7.6497907693031633E-4</v>
      </c>
      <c r="V519" s="4"/>
      <c r="W519">
        <v>514</v>
      </c>
      <c r="X519">
        <f t="shared" ref="X519:Z582" ca="1" si="112">_xlfn.NORM.S.INV(RAND())</f>
        <v>-3.0579331381207046E-2</v>
      </c>
      <c r="Y519">
        <f t="shared" ca="1" si="112"/>
        <v>1.7556165591278652</v>
      </c>
      <c r="Z519">
        <f t="shared" ca="1" si="112"/>
        <v>-0.45888585507955398</v>
      </c>
      <c r="AB519">
        <v>514</v>
      </c>
      <c r="AC519" s="24">
        <f t="shared" ca="1" si="105"/>
        <v>-3.0579331381207046E-2</v>
      </c>
      <c r="AD519" s="24">
        <f t="shared" ca="1" si="106"/>
        <v>0.83845251664660059</v>
      </c>
      <c r="AE519" s="24">
        <f t="shared" ca="1" si="107"/>
        <v>0.22678065079053794</v>
      </c>
      <c r="AF519" s="24"/>
      <c r="AG519">
        <v>514</v>
      </c>
      <c r="AH519">
        <f t="shared" ref="AH519:AH582" ca="1" si="113">$L$21*EXP(($L$19-(($L$20^2)/2))*(1/252)+$L$20*AC519)</f>
        <v>309.28086457582049</v>
      </c>
      <c r="AI519">
        <f t="shared" ref="AI519:AI582" ca="1" si="114">$M$21*EXP(($M$19-(($M$20^2)/2))*(1/252)+$M$20*AD519)</f>
        <v>167.14957747822984</v>
      </c>
      <c r="AJ519">
        <f t="shared" ref="AJ519:AJ582" ca="1" si="115">$N$21*EXP(($N$19-(($N$20^2)/2))*(1/252)+$N$20*AE519)</f>
        <v>53.244080719901994</v>
      </c>
      <c r="AL519">
        <v>514</v>
      </c>
      <c r="AM519" s="4">
        <f t="shared" ca="1" si="108"/>
        <v>-5.1427696590611305E-4</v>
      </c>
      <c r="AN519" s="4">
        <f t="shared" ca="1" si="109"/>
        <v>1.7591519956337232E-2</v>
      </c>
      <c r="AO519" s="4">
        <f t="shared" ca="1" si="110"/>
        <v>4.0369968986078142E-3</v>
      </c>
      <c r="AP519" s="4">
        <f t="shared" ca="1" si="111"/>
        <v>8.0934239623454036E-3</v>
      </c>
    </row>
    <row r="520" spans="20:42" x14ac:dyDescent="0.3">
      <c r="T520">
        <v>514</v>
      </c>
      <c r="U520" s="4">
        <v>8.2483913296971202E-4</v>
      </c>
      <c r="V520" s="4"/>
      <c r="W520">
        <v>515</v>
      </c>
      <c r="X520">
        <f t="shared" ca="1" si="112"/>
        <v>-0.486803312454614</v>
      </c>
      <c r="Y520">
        <f t="shared" ca="1" si="112"/>
        <v>-1.3919809677964285</v>
      </c>
      <c r="Z520">
        <f t="shared" ca="1" si="112"/>
        <v>1.438918003090931</v>
      </c>
      <c r="AB520">
        <v>515</v>
      </c>
      <c r="AC520" s="24">
        <f t="shared" ca="1" si="105"/>
        <v>-0.486803312454614</v>
      </c>
      <c r="AD520" s="24">
        <f t="shared" ca="1" si="106"/>
        <v>-1.1094891890505316</v>
      </c>
      <c r="AE520" s="24">
        <f t="shared" ca="1" si="107"/>
        <v>-5.132038556378693E-2</v>
      </c>
      <c r="AF520" s="24"/>
      <c r="AG520">
        <v>515</v>
      </c>
      <c r="AH520">
        <f t="shared" ca="1" si="113"/>
        <v>306.89078158649392</v>
      </c>
      <c r="AI520">
        <f t="shared" ca="1" si="114"/>
        <v>160.51516729687691</v>
      </c>
      <c r="AJ520">
        <f t="shared" ca="1" si="115"/>
        <v>52.981944673650105</v>
      </c>
      <c r="AL520">
        <v>515</v>
      </c>
      <c r="AM520" s="4">
        <f t="shared" ca="1" si="108"/>
        <v>-8.2381748797808463E-3</v>
      </c>
      <c r="AN520" s="4">
        <f t="shared" ca="1" si="109"/>
        <v>-2.2798169579886784E-2</v>
      </c>
      <c r="AO520" s="4">
        <f t="shared" ca="1" si="110"/>
        <v>-9.0616833401568897E-4</v>
      </c>
      <c r="AP520" s="4">
        <f t="shared" ca="1" si="111"/>
        <v>-1.1862570796093675E-2</v>
      </c>
    </row>
    <row r="521" spans="20:42" x14ac:dyDescent="0.3">
      <c r="T521">
        <v>515</v>
      </c>
      <c r="U521" s="4">
        <v>8.8559852731930945E-4</v>
      </c>
      <c r="V521" s="4"/>
      <c r="W521">
        <v>516</v>
      </c>
      <c r="X521">
        <f t="shared" ca="1" si="112"/>
        <v>-0.70728833408560354</v>
      </c>
      <c r="Y521">
        <f t="shared" ca="1" si="112"/>
        <v>0.66974428882105252</v>
      </c>
      <c r="Z521">
        <f t="shared" ca="1" si="112"/>
        <v>-0.53618805247093659</v>
      </c>
      <c r="AB521">
        <v>516</v>
      </c>
      <c r="AC521" s="24">
        <f t="shared" ca="1" si="105"/>
        <v>-0.70728833408560354</v>
      </c>
      <c r="AD521" s="24">
        <f t="shared" ca="1" si="106"/>
        <v>-0.28545629081238122</v>
      </c>
      <c r="AE521" s="24">
        <f t="shared" ca="1" si="107"/>
        <v>-0.66455083960627181</v>
      </c>
      <c r="AF521" s="24"/>
      <c r="AG521">
        <v>516</v>
      </c>
      <c r="AH521">
        <f t="shared" ca="1" si="113"/>
        <v>305.74232552361764</v>
      </c>
      <c r="AI521">
        <f t="shared" ca="1" si="114"/>
        <v>163.28894912573236</v>
      </c>
      <c r="AJ521">
        <f t="shared" ca="1" si="115"/>
        <v>52.408469493703947</v>
      </c>
      <c r="AL521">
        <v>516</v>
      </c>
      <c r="AM521" s="4">
        <f t="shared" ca="1" si="108"/>
        <v>-1.1949576294643882E-2</v>
      </c>
      <c r="AN521" s="4">
        <f t="shared" ca="1" si="109"/>
        <v>-5.9116365127007686E-3</v>
      </c>
      <c r="AO521" s="4">
        <f t="shared" ca="1" si="110"/>
        <v>-1.172033377144821E-2</v>
      </c>
      <c r="AP521" s="4">
        <f t="shared" ca="1" si="111"/>
        <v>-9.4656276249079352E-3</v>
      </c>
    </row>
    <row r="522" spans="20:42" x14ac:dyDescent="0.3">
      <c r="T522">
        <v>516</v>
      </c>
      <c r="U522" s="4">
        <v>8.9755288118510473E-4</v>
      </c>
      <c r="V522" s="4"/>
      <c r="W522">
        <v>517</v>
      </c>
      <c r="X522">
        <f t="shared" ca="1" si="112"/>
        <v>-0.65615270416064497</v>
      </c>
      <c r="Y522">
        <f t="shared" ca="1" si="112"/>
        <v>0.42184900710102663</v>
      </c>
      <c r="Z522">
        <f t="shared" ca="1" si="112"/>
        <v>-5.4676482189953461E-2</v>
      </c>
      <c r="AB522">
        <v>517</v>
      </c>
      <c r="AC522" s="24">
        <f t="shared" ca="1" si="105"/>
        <v>-0.65615270416064497</v>
      </c>
      <c r="AD522" s="24">
        <f t="shared" ca="1" si="106"/>
        <v>-0.36310709523803342</v>
      </c>
      <c r="AE522" s="24">
        <f t="shared" ca="1" si="107"/>
        <v>-0.44686863395145365</v>
      </c>
      <c r="AF522" s="24"/>
      <c r="AG522">
        <v>517</v>
      </c>
      <c r="AH522">
        <f t="shared" ca="1" si="113"/>
        <v>306.00829594504171</v>
      </c>
      <c r="AI522">
        <f t="shared" ca="1" si="114"/>
        <v>163.02553550819519</v>
      </c>
      <c r="AJ522">
        <f t="shared" ca="1" si="115"/>
        <v>52.611325392944117</v>
      </c>
      <c r="AL522">
        <v>517</v>
      </c>
      <c r="AM522" s="4">
        <f t="shared" ca="1" si="108"/>
        <v>-1.1090054515540904E-2</v>
      </c>
      <c r="AN522" s="4">
        <f t="shared" ca="1" si="109"/>
        <v>-7.5152748077587095E-3</v>
      </c>
      <c r="AO522" s="4">
        <f t="shared" ca="1" si="110"/>
        <v>-7.8950291531240113E-3</v>
      </c>
      <c r="AP522" s="4">
        <f t="shared" ca="1" si="111"/>
        <v>-8.7016350237029572E-3</v>
      </c>
    </row>
    <row r="523" spans="20:42" x14ac:dyDescent="0.3">
      <c r="T523">
        <v>517</v>
      </c>
      <c r="U523" s="4">
        <v>1.0161991726025947E-3</v>
      </c>
      <c r="V523" s="4"/>
      <c r="W523">
        <v>518</v>
      </c>
      <c r="X523">
        <f t="shared" ca="1" si="112"/>
        <v>0.62082741176716882</v>
      </c>
      <c r="Y523">
        <f t="shared" ca="1" si="112"/>
        <v>-0.52031647309274087</v>
      </c>
      <c r="Z523">
        <f t="shared" ca="1" si="112"/>
        <v>1.3276665175860174</v>
      </c>
      <c r="AB523">
        <v>518</v>
      </c>
      <c r="AC523" s="24">
        <f t="shared" ca="1" si="105"/>
        <v>0.62082741176716882</v>
      </c>
      <c r="AD523" s="24">
        <f t="shared" ca="1" si="106"/>
        <v>0.28384901883830105</v>
      </c>
      <c r="AE523" s="24">
        <f t="shared" ca="1" si="107"/>
        <v>1.0369157415524799</v>
      </c>
      <c r="AF523" s="24"/>
      <c r="AG523">
        <v>518</v>
      </c>
      <c r="AH523">
        <f t="shared" ca="1" si="113"/>
        <v>312.72577687886871</v>
      </c>
      <c r="AI523">
        <f t="shared" ca="1" si="114"/>
        <v>165.23323837830645</v>
      </c>
      <c r="AJ523">
        <f t="shared" ca="1" si="115"/>
        <v>54.015123760343037</v>
      </c>
      <c r="AL523">
        <v>518</v>
      </c>
      <c r="AM523" s="4">
        <f t="shared" ca="1" si="108"/>
        <v>1.0618454018674894E-2</v>
      </c>
      <c r="AN523" s="4">
        <f t="shared" ca="1" si="109"/>
        <v>5.9250207233567664E-3</v>
      </c>
      <c r="AO523" s="4">
        <f t="shared" ca="1" si="110"/>
        <v>1.8576749080198685E-2</v>
      </c>
      <c r="AP523" s="4">
        <f t="shared" ca="1" si="111"/>
        <v>1.1128569219004781E-2</v>
      </c>
    </row>
    <row r="524" spans="20:42" x14ac:dyDescent="0.3">
      <c r="T524">
        <v>518</v>
      </c>
      <c r="U524" s="4">
        <v>1.0225591484507638E-3</v>
      </c>
      <c r="V524" s="4"/>
      <c r="W524">
        <v>519</v>
      </c>
      <c r="X524">
        <f t="shared" ca="1" si="112"/>
        <v>1.5882688419686386</v>
      </c>
      <c r="Y524">
        <f t="shared" ca="1" si="112"/>
        <v>-0.61080070813605536</v>
      </c>
      <c r="Z524">
        <f t="shared" ca="1" si="112"/>
        <v>6.6146056881087309E-2</v>
      </c>
      <c r="AB524">
        <v>519</v>
      </c>
      <c r="AC524" s="24">
        <f t="shared" ca="1" si="105"/>
        <v>1.5882688419686386</v>
      </c>
      <c r="AD524" s="24">
        <f t="shared" ca="1" si="106"/>
        <v>1.0811089032972592</v>
      </c>
      <c r="AE524" s="24">
        <f t="shared" ca="1" si="107"/>
        <v>1.1613483723507303</v>
      </c>
      <c r="AF524" s="24"/>
      <c r="AG524">
        <v>519</v>
      </c>
      <c r="AH524">
        <f t="shared" ca="1" si="113"/>
        <v>317.91295145592909</v>
      </c>
      <c r="AI524">
        <f t="shared" ca="1" si="114"/>
        <v>167.99501013843894</v>
      </c>
      <c r="AJ524">
        <f t="shared" ca="1" si="115"/>
        <v>54.134537240706649</v>
      </c>
      <c r="AL524">
        <v>519</v>
      </c>
      <c r="AM524" s="4">
        <f t="shared" ca="1" si="108"/>
        <v>2.7381556837104304E-2</v>
      </c>
      <c r="AN524" s="4">
        <f t="shared" ca="1" si="109"/>
        <v>2.2738437577681347E-2</v>
      </c>
      <c r="AO524" s="4">
        <f t="shared" ca="1" si="110"/>
        <v>2.0828559057803897E-2</v>
      </c>
      <c r="AP524" s="4">
        <f t="shared" ca="1" si="111"/>
        <v>2.3558409799545002E-2</v>
      </c>
    </row>
    <row r="525" spans="20:42" x14ac:dyDescent="0.3">
      <c r="T525">
        <v>519</v>
      </c>
      <c r="U525" s="4">
        <v>1.075134033840364E-3</v>
      </c>
      <c r="V525" s="4"/>
      <c r="W525">
        <v>520</v>
      </c>
      <c r="X525">
        <f t="shared" ca="1" si="112"/>
        <v>-0.3709923149783988</v>
      </c>
      <c r="Y525">
        <f t="shared" ca="1" si="112"/>
        <v>-0.13578909351691207</v>
      </c>
      <c r="Z525">
        <f t="shared" ca="1" si="112"/>
        <v>-0.7646416193572152</v>
      </c>
      <c r="AB525">
        <v>520</v>
      </c>
      <c r="AC525" s="24">
        <f t="shared" ca="1" si="105"/>
        <v>-0.3709923149783988</v>
      </c>
      <c r="AD525" s="24">
        <f t="shared" ca="1" si="106"/>
        <v>-0.38973756817565203</v>
      </c>
      <c r="AE525" s="24">
        <f t="shared" ca="1" si="107"/>
        <v>-0.72836548338628715</v>
      </c>
      <c r="AF525" s="24"/>
      <c r="AG525">
        <v>520</v>
      </c>
      <c r="AH525">
        <f t="shared" ca="1" si="113"/>
        <v>307.4957416169097</v>
      </c>
      <c r="AI525">
        <f t="shared" ca="1" si="114"/>
        <v>162.93529525813929</v>
      </c>
      <c r="AJ525">
        <f t="shared" ca="1" si="115"/>
        <v>52.349149648446023</v>
      </c>
      <c r="AL525">
        <v>520</v>
      </c>
      <c r="AM525" s="4">
        <f t="shared" ca="1" si="108"/>
        <v>-6.2831592850199902E-3</v>
      </c>
      <c r="AN525" s="4">
        <f t="shared" ca="1" si="109"/>
        <v>-8.064649293779147E-3</v>
      </c>
      <c r="AO525" s="4">
        <f t="shared" ca="1" si="110"/>
        <v>-1.2838942985542334E-2</v>
      </c>
      <c r="AP525" s="4">
        <f t="shared" ca="1" si="111"/>
        <v>-8.9624903986803561E-3</v>
      </c>
    </row>
    <row r="526" spans="20:42" x14ac:dyDescent="0.3">
      <c r="T526">
        <v>520</v>
      </c>
      <c r="U526" s="4">
        <v>1.0910857084487802E-3</v>
      </c>
      <c r="V526" s="4"/>
      <c r="W526">
        <v>521</v>
      </c>
      <c r="X526">
        <f t="shared" ca="1" si="112"/>
        <v>-0.43910482733624256</v>
      </c>
      <c r="Y526">
        <f t="shared" ca="1" si="112"/>
        <v>-1.9255752987849532E-2</v>
      </c>
      <c r="Z526">
        <f t="shared" ca="1" si="112"/>
        <v>-0.93722838867676006</v>
      </c>
      <c r="AB526">
        <v>521</v>
      </c>
      <c r="AC526" s="24">
        <f t="shared" ca="1" si="105"/>
        <v>-0.43910482733624256</v>
      </c>
      <c r="AD526" s="24">
        <f t="shared" ca="1" si="106"/>
        <v>-0.39158689322572349</v>
      </c>
      <c r="AE526" s="24">
        <f t="shared" ca="1" si="107"/>
        <v>-0.83938257153822304</v>
      </c>
      <c r="AF526" s="24"/>
      <c r="AG526">
        <v>521</v>
      </c>
      <c r="AH526">
        <f t="shared" ca="1" si="113"/>
        <v>307.13979910597186</v>
      </c>
      <c r="AI526">
        <f t="shared" ca="1" si="114"/>
        <v>162.92903047450244</v>
      </c>
      <c r="AJ526">
        <f t="shared" ca="1" si="115"/>
        <v>52.246112035364241</v>
      </c>
      <c r="AL526">
        <v>521</v>
      </c>
      <c r="AM526" s="4">
        <f t="shared" ca="1" si="108"/>
        <v>-7.433438848520324E-3</v>
      </c>
      <c r="AN526" s="4">
        <f t="shared" ca="1" si="109"/>
        <v>-8.1027887303208868E-3</v>
      </c>
      <c r="AO526" s="4">
        <f t="shared" ca="1" si="110"/>
        <v>-1.4781949122702809E-2</v>
      </c>
      <c r="AP526" s="4">
        <f t="shared" ca="1" si="111"/>
        <v>-9.9057318834952952E-3</v>
      </c>
    </row>
    <row r="527" spans="20:42" x14ac:dyDescent="0.3">
      <c r="T527">
        <v>521</v>
      </c>
      <c r="U527" s="4">
        <v>1.2355873133404025E-3</v>
      </c>
      <c r="V527" s="4"/>
      <c r="W527">
        <v>522</v>
      </c>
      <c r="X527">
        <f t="shared" ca="1" si="112"/>
        <v>-2.0765805701028674E-2</v>
      </c>
      <c r="Y527">
        <f t="shared" ca="1" si="112"/>
        <v>-0.59028790892467831</v>
      </c>
      <c r="Z527">
        <f t="shared" ca="1" si="112"/>
        <v>1.2410600440145119</v>
      </c>
      <c r="AB527">
        <v>522</v>
      </c>
      <c r="AC527" s="24">
        <f t="shared" ca="1" si="105"/>
        <v>-2.0765805701028674E-2</v>
      </c>
      <c r="AD527" s="24">
        <f t="shared" ca="1" si="106"/>
        <v>-0.3089281966686806</v>
      </c>
      <c r="AE527" s="24">
        <f t="shared" ca="1" si="107"/>
        <v>0.44996061867383541</v>
      </c>
      <c r="AF527" s="24"/>
      <c r="AG527">
        <v>522</v>
      </c>
      <c r="AH527">
        <f t="shared" ca="1" si="113"/>
        <v>309.33248002199792</v>
      </c>
      <c r="AI527">
        <f t="shared" ca="1" si="114"/>
        <v>163.20928089304704</v>
      </c>
      <c r="AJ527">
        <f t="shared" ca="1" si="115"/>
        <v>53.455386306909432</v>
      </c>
      <c r="AL527">
        <v>522</v>
      </c>
      <c r="AM527" s="4">
        <f t="shared" ca="1" si="108"/>
        <v>-3.4747420682446073E-4</v>
      </c>
      <c r="AN527" s="4">
        <f t="shared" ca="1" si="109"/>
        <v>-6.3966495125156175E-3</v>
      </c>
      <c r="AO527" s="4">
        <f t="shared" ca="1" si="110"/>
        <v>8.0216394004275493E-3</v>
      </c>
      <c r="AP527" s="4">
        <f t="shared" ca="1" si="111"/>
        <v>-2.5641024692532079E-4</v>
      </c>
    </row>
    <row r="528" spans="20:42" x14ac:dyDescent="0.3">
      <c r="T528">
        <v>522</v>
      </c>
      <c r="U528" s="4">
        <v>1.2499745908162718E-3</v>
      </c>
      <c r="V528" s="4"/>
      <c r="W528">
        <v>523</v>
      </c>
      <c r="X528">
        <f t="shared" ca="1" si="112"/>
        <v>-0.76350655177521864</v>
      </c>
      <c r="Y528">
        <f t="shared" ca="1" si="112"/>
        <v>0.2370648638560654</v>
      </c>
      <c r="Z528">
        <f t="shared" ca="1" si="112"/>
        <v>-0.67169873267343694</v>
      </c>
      <c r="AB528">
        <v>523</v>
      </c>
      <c r="AC528" s="24">
        <f t="shared" ca="1" si="105"/>
        <v>-0.76350655177521864</v>
      </c>
      <c r="AD528" s="24">
        <f t="shared" ca="1" si="106"/>
        <v>-0.54757439893042326</v>
      </c>
      <c r="AE528" s="24">
        <f t="shared" ca="1" si="107"/>
        <v>-0.89865111902571249</v>
      </c>
      <c r="AF528" s="24"/>
      <c r="AG528">
        <v>523</v>
      </c>
      <c r="AH528">
        <f t="shared" ca="1" si="113"/>
        <v>305.450185941592</v>
      </c>
      <c r="AI528">
        <f t="shared" ca="1" si="114"/>
        <v>162.40147246205026</v>
      </c>
      <c r="AJ528">
        <f t="shared" ca="1" si="115"/>
        <v>52.191186542758928</v>
      </c>
      <c r="AL528">
        <v>523</v>
      </c>
      <c r="AM528" s="4">
        <f t="shared" ca="1" si="108"/>
        <v>-1.28936674907425E-2</v>
      </c>
      <c r="AN528" s="4">
        <f t="shared" ca="1" si="109"/>
        <v>-1.13145142270622E-2</v>
      </c>
      <c r="AO528" s="4">
        <f t="shared" ca="1" si="110"/>
        <v>-1.5817692925637949E-2</v>
      </c>
      <c r="AP528" s="4">
        <f t="shared" ca="1" si="111"/>
        <v>-1.3139213815739015E-2</v>
      </c>
    </row>
    <row r="529" spans="20:42" x14ac:dyDescent="0.3">
      <c r="T529">
        <v>523</v>
      </c>
      <c r="U529" s="4">
        <v>1.2860563548624971E-3</v>
      </c>
      <c r="V529" s="4"/>
      <c r="W529">
        <v>524</v>
      </c>
      <c r="X529">
        <f t="shared" ca="1" si="112"/>
        <v>1.8740294460314335</v>
      </c>
      <c r="Y529">
        <f t="shared" ca="1" si="112"/>
        <v>-0.44452424792934847</v>
      </c>
      <c r="Z529">
        <f t="shared" ca="1" si="112"/>
        <v>-0.17150574444057007</v>
      </c>
      <c r="AB529">
        <v>524</v>
      </c>
      <c r="AC529" s="24">
        <f t="shared" ca="1" si="105"/>
        <v>1.8740294460314335</v>
      </c>
      <c r="AD529" s="24">
        <f t="shared" ca="1" si="106"/>
        <v>1.4117021519838779</v>
      </c>
      <c r="AE529" s="24">
        <f t="shared" ca="1" si="107"/>
        <v>1.3198819346320121</v>
      </c>
      <c r="AF529" s="24"/>
      <c r="AG529">
        <v>524</v>
      </c>
      <c r="AH529">
        <f t="shared" ca="1" si="113"/>
        <v>319.46152383034899</v>
      </c>
      <c r="AI529">
        <f t="shared" ca="1" si="114"/>
        <v>169.15370688529603</v>
      </c>
      <c r="AJ529">
        <f t="shared" ca="1" si="115"/>
        <v>54.287058651759217</v>
      </c>
      <c r="AL529">
        <v>524</v>
      </c>
      <c r="AM529" s="4">
        <f t="shared" ca="1" si="108"/>
        <v>3.2385991823538074E-2</v>
      </c>
      <c r="AN529" s="4">
        <f t="shared" ca="1" si="109"/>
        <v>2.9792478644320219E-2</v>
      </c>
      <c r="AO529" s="4">
        <f t="shared" ca="1" si="110"/>
        <v>2.3704693596055426E-2</v>
      </c>
      <c r="AP529" s="4">
        <f t="shared" ca="1" si="111"/>
        <v>2.8744197083606135E-2</v>
      </c>
    </row>
    <row r="530" spans="20:42" x14ac:dyDescent="0.3">
      <c r="T530">
        <v>524</v>
      </c>
      <c r="U530" s="4">
        <v>1.346564376209125E-3</v>
      </c>
      <c r="V530" s="4"/>
      <c r="W530">
        <v>525</v>
      </c>
      <c r="X530">
        <f t="shared" ca="1" si="112"/>
        <v>0.73953620832561973</v>
      </c>
      <c r="Y530">
        <f t="shared" ca="1" si="112"/>
        <v>-0.90643667045671616</v>
      </c>
      <c r="Z530">
        <f t="shared" ca="1" si="112"/>
        <v>0.38619945631981956</v>
      </c>
      <c r="AB530">
        <v>525</v>
      </c>
      <c r="AC530" s="24">
        <f t="shared" ca="1" si="105"/>
        <v>0.73953620832561973</v>
      </c>
      <c r="AD530" s="24">
        <f t="shared" ca="1" si="106"/>
        <v>0.19688991357646135</v>
      </c>
      <c r="AE530" s="24">
        <f t="shared" ca="1" si="107"/>
        <v>0.5494127534880584</v>
      </c>
      <c r="AF530" s="24"/>
      <c r="AG530">
        <v>525</v>
      </c>
      <c r="AH530">
        <f t="shared" ca="1" si="113"/>
        <v>313.35767974088645</v>
      </c>
      <c r="AI530">
        <f t="shared" ca="1" si="114"/>
        <v>164.93476477178137</v>
      </c>
      <c r="AJ530">
        <f t="shared" ca="1" si="115"/>
        <v>53.54981695724446</v>
      </c>
      <c r="AL530">
        <v>525</v>
      </c>
      <c r="AM530" s="4">
        <f t="shared" ca="1" si="108"/>
        <v>1.2660539259859549E-2</v>
      </c>
      <c r="AN530" s="4">
        <f t="shared" ca="1" si="109"/>
        <v>4.1079403842199103E-3</v>
      </c>
      <c r="AO530" s="4">
        <f t="shared" ca="1" si="110"/>
        <v>9.8023418803208084E-3</v>
      </c>
      <c r="AP530" s="4">
        <f t="shared" ca="1" si="111"/>
        <v>8.382040495742071E-3</v>
      </c>
    </row>
    <row r="531" spans="20:42" x14ac:dyDescent="0.3">
      <c r="T531">
        <v>525</v>
      </c>
      <c r="U531" s="4">
        <v>1.3698561754281191E-3</v>
      </c>
      <c r="V531" s="4"/>
      <c r="W531">
        <v>526</v>
      </c>
      <c r="X531">
        <f t="shared" ca="1" si="112"/>
        <v>0.2589530565306794</v>
      </c>
      <c r="Y531">
        <f t="shared" ca="1" si="112"/>
        <v>-0.36843439157632035</v>
      </c>
      <c r="Z531">
        <f t="shared" ca="1" si="112"/>
        <v>-1.5397603870513579</v>
      </c>
      <c r="AB531">
        <v>526</v>
      </c>
      <c r="AC531" s="24">
        <f t="shared" ca="1" si="105"/>
        <v>0.2589530565306794</v>
      </c>
      <c r="AD531" s="24">
        <f t="shared" ca="1" si="106"/>
        <v>4.3792689950721914E-2</v>
      </c>
      <c r="AE531" s="24">
        <f t="shared" ca="1" si="107"/>
        <v>-0.67179288391730951</v>
      </c>
      <c r="AF531" s="24"/>
      <c r="AG531">
        <v>526</v>
      </c>
      <c r="AH531">
        <f t="shared" ca="1" si="113"/>
        <v>310.80732332598012</v>
      </c>
      <c r="AI531">
        <f t="shared" ca="1" si="114"/>
        <v>164.41059195007171</v>
      </c>
      <c r="AJ531">
        <f t="shared" ca="1" si="115"/>
        <v>52.401734164478263</v>
      </c>
      <c r="AL531">
        <v>526</v>
      </c>
      <c r="AM531" s="4">
        <f t="shared" ca="1" si="108"/>
        <v>4.4186946541697747E-3</v>
      </c>
      <c r="AN531" s="4">
        <f t="shared" ca="1" si="109"/>
        <v>9.1682362275036233E-4</v>
      </c>
      <c r="AO531" s="4">
        <f t="shared" ca="1" si="110"/>
        <v>-1.1847343565540736E-2</v>
      </c>
      <c r="AP531" s="4">
        <f t="shared" ca="1" si="111"/>
        <v>-1.8618652243111433E-3</v>
      </c>
    </row>
    <row r="532" spans="20:42" x14ac:dyDescent="0.3">
      <c r="T532">
        <v>526</v>
      </c>
      <c r="U532" s="4">
        <v>1.4329803858581297E-3</v>
      </c>
      <c r="V532" s="4"/>
      <c r="W532">
        <v>527</v>
      </c>
      <c r="X532">
        <f t="shared" ca="1" si="112"/>
        <v>-0.62128110159215011</v>
      </c>
      <c r="Y532">
        <f t="shared" ca="1" si="112"/>
        <v>0.28804685566357568</v>
      </c>
      <c r="Z532">
        <f t="shared" ca="1" si="112"/>
        <v>0.89712848182013494</v>
      </c>
      <c r="AB532">
        <v>527</v>
      </c>
      <c r="AC532" s="24">
        <f t="shared" ca="1" si="105"/>
        <v>-0.62128110159215011</v>
      </c>
      <c r="AD532" s="24">
        <f t="shared" ca="1" si="106"/>
        <v>-0.39869226599938723</v>
      </c>
      <c r="AE532" s="24">
        <f t="shared" ca="1" si="107"/>
        <v>2.7714643421147322E-2</v>
      </c>
      <c r="AF532" s="24"/>
      <c r="AG532">
        <v>527</v>
      </c>
      <c r="AH532">
        <f t="shared" ca="1" si="113"/>
        <v>306.18980538270881</v>
      </c>
      <c r="AI532">
        <f t="shared" ca="1" si="114"/>
        <v>162.90496251548967</v>
      </c>
      <c r="AJ532">
        <f t="shared" ca="1" si="115"/>
        <v>53.056310979367304</v>
      </c>
      <c r="AL532">
        <v>527</v>
      </c>
      <c r="AM532" s="4">
        <f t="shared" ca="1" si="108"/>
        <v>-1.0503480587687242E-2</v>
      </c>
      <c r="AN532" s="4">
        <f t="shared" ca="1" si="109"/>
        <v>-8.2493122894201631E-3</v>
      </c>
      <c r="AO532" s="4">
        <f t="shared" ca="1" si="110"/>
        <v>4.9617576232674487E-4</v>
      </c>
      <c r="AP532" s="4">
        <f t="shared" ca="1" si="111"/>
        <v>-6.301916363376214E-3</v>
      </c>
    </row>
    <row r="533" spans="20:42" x14ac:dyDescent="0.3">
      <c r="T533">
        <v>527</v>
      </c>
      <c r="U533" s="4">
        <v>1.4547496750952904E-3</v>
      </c>
      <c r="V533" s="4"/>
      <c r="W533">
        <v>528</v>
      </c>
      <c r="X533">
        <f t="shared" ca="1" si="112"/>
        <v>1.3154147135878789</v>
      </c>
      <c r="Y533">
        <f t="shared" ca="1" si="112"/>
        <v>1.1631285898305335</v>
      </c>
      <c r="Z533">
        <f t="shared" ca="1" si="112"/>
        <v>0.16320142647451313</v>
      </c>
      <c r="AB533">
        <v>528</v>
      </c>
      <c r="AC533" s="24">
        <f t="shared" ca="1" si="105"/>
        <v>1.3154147135878789</v>
      </c>
      <c r="AD533" s="24">
        <f t="shared" ca="1" si="106"/>
        <v>1.7177629330715356</v>
      </c>
      <c r="AE533" s="24">
        <f t="shared" ca="1" si="107"/>
        <v>1.4775817827744362</v>
      </c>
      <c r="AF533" s="24"/>
      <c r="AG533">
        <v>528</v>
      </c>
      <c r="AH533">
        <f t="shared" ca="1" si="113"/>
        <v>316.44132711399135</v>
      </c>
      <c r="AI533">
        <f t="shared" ca="1" si="114"/>
        <v>170.23354274347963</v>
      </c>
      <c r="AJ533">
        <f t="shared" ca="1" si="115"/>
        <v>54.439204301701984</v>
      </c>
      <c r="AL533">
        <v>528</v>
      </c>
      <c r="AM533" s="4">
        <f t="shared" ca="1" si="108"/>
        <v>2.2625790516244138E-2</v>
      </c>
      <c r="AN533" s="4">
        <f t="shared" ca="1" si="109"/>
        <v>3.6366421748516897E-2</v>
      </c>
      <c r="AO533" s="4">
        <f t="shared" ca="1" si="110"/>
        <v>2.657374231272569E-2</v>
      </c>
      <c r="AP533" s="4">
        <f t="shared" ca="1" si="111"/>
        <v>2.9306428548097705E-2</v>
      </c>
    </row>
    <row r="534" spans="20:42" x14ac:dyDescent="0.3">
      <c r="T534">
        <v>528</v>
      </c>
      <c r="U534" s="4">
        <v>1.4745205220977665E-3</v>
      </c>
      <c r="V534" s="4"/>
      <c r="W534">
        <v>529</v>
      </c>
      <c r="X534">
        <f t="shared" ca="1" si="112"/>
        <v>0.50863230010577343</v>
      </c>
      <c r="Y534">
        <f t="shared" ca="1" si="112"/>
        <v>-1.3700599401594105</v>
      </c>
      <c r="Z534">
        <f t="shared" ca="1" si="112"/>
        <v>5.4991270832572263E-2</v>
      </c>
      <c r="AB534">
        <v>529</v>
      </c>
      <c r="AC534" s="24">
        <f t="shared" ca="1" si="105"/>
        <v>0.50863230010577343</v>
      </c>
      <c r="AD534" s="24">
        <f t="shared" ca="1" si="106"/>
        <v>-0.2324828843598154</v>
      </c>
      <c r="AE534" s="24">
        <f t="shared" ca="1" si="107"/>
        <v>6.4867861127300391E-2</v>
      </c>
      <c r="AF534" s="24"/>
      <c r="AG534">
        <v>529</v>
      </c>
      <c r="AH534">
        <f t="shared" ca="1" si="113"/>
        <v>312.12971858356957</v>
      </c>
      <c r="AI534">
        <f t="shared" ca="1" si="114"/>
        <v>163.46889416729081</v>
      </c>
      <c r="AJ534">
        <f t="shared" ca="1" si="115"/>
        <v>53.091305556549898</v>
      </c>
      <c r="AL534">
        <v>529</v>
      </c>
      <c r="AM534" s="4">
        <f t="shared" ca="1" si="108"/>
        <v>8.6922056648861545E-3</v>
      </c>
      <c r="AN534" s="4">
        <f t="shared" ca="1" si="109"/>
        <v>-4.8161473639356522E-3</v>
      </c>
      <c r="AO534" s="4">
        <f t="shared" ca="1" si="110"/>
        <v>1.1560772895404803E-3</v>
      </c>
      <c r="AP534" s="4">
        <f t="shared" ca="1" si="111"/>
        <v>1.0280259407537292E-3</v>
      </c>
    </row>
    <row r="535" spans="20:42" x14ac:dyDescent="0.3">
      <c r="T535">
        <v>529</v>
      </c>
      <c r="U535" s="4">
        <v>1.4842274298329735E-3</v>
      </c>
      <c r="V535" s="4"/>
      <c r="W535">
        <v>530</v>
      </c>
      <c r="X535">
        <f t="shared" ca="1" si="112"/>
        <v>4.3126692344860489</v>
      </c>
      <c r="Y535">
        <f t="shared" ca="1" si="112"/>
        <v>0.7789865764321211</v>
      </c>
      <c r="Z535">
        <f t="shared" ca="1" si="112"/>
        <v>0.83962687466433061</v>
      </c>
      <c r="AB535">
        <v>530</v>
      </c>
      <c r="AC535" s="24">
        <f t="shared" ca="1" si="105"/>
        <v>4.3126692344860489</v>
      </c>
      <c r="AD535" s="24">
        <f t="shared" ca="1" si="106"/>
        <v>4.1366221738533104</v>
      </c>
      <c r="AE535" s="24">
        <f t="shared" ca="1" si="107"/>
        <v>4.1612767257845142</v>
      </c>
      <c r="AF535" s="24"/>
      <c r="AG535">
        <v>530</v>
      </c>
      <c r="AH535">
        <f t="shared" ca="1" si="113"/>
        <v>332.98745975211943</v>
      </c>
      <c r="AI535">
        <f t="shared" ca="1" si="114"/>
        <v>179.01381967560948</v>
      </c>
      <c r="AJ535">
        <f t="shared" ca="1" si="115"/>
        <v>57.094740422770307</v>
      </c>
      <c r="AL535">
        <v>530</v>
      </c>
      <c r="AM535" s="4">
        <f t="shared" ca="1" si="108"/>
        <v>7.6097004669498869E-2</v>
      </c>
      <c r="AN535" s="4">
        <f t="shared" ca="1" si="109"/>
        <v>8.9819954110375688E-2</v>
      </c>
      <c r="AO535" s="4">
        <f t="shared" ca="1" si="110"/>
        <v>7.6649853611922225E-2</v>
      </c>
      <c r="AP535" s="4">
        <f t="shared" ca="1" si="111"/>
        <v>8.1752039128576606E-2</v>
      </c>
    </row>
    <row r="536" spans="20:42" x14ac:dyDescent="0.3">
      <c r="T536">
        <v>530</v>
      </c>
      <c r="U536" s="4">
        <v>1.4954032014331429E-3</v>
      </c>
      <c r="V536" s="4"/>
      <c r="W536">
        <v>531</v>
      </c>
      <c r="X536">
        <f t="shared" ca="1" si="112"/>
        <v>-3.4920343968121244</v>
      </c>
      <c r="Y536">
        <f t="shared" ca="1" si="112"/>
        <v>-0.16599431228388425</v>
      </c>
      <c r="Z536">
        <f t="shared" ca="1" si="112"/>
        <v>0.41756871892700687</v>
      </c>
      <c r="AB536">
        <v>531</v>
      </c>
      <c r="AC536" s="24">
        <f t="shared" ca="1" si="105"/>
        <v>-3.4920343968121244</v>
      </c>
      <c r="AD536" s="24">
        <f t="shared" ca="1" si="106"/>
        <v>-3.1204791910272371</v>
      </c>
      <c r="AE536" s="24">
        <f t="shared" ca="1" si="107"/>
        <v>-2.6841918436708454</v>
      </c>
      <c r="AF536" s="24"/>
      <c r="AG536">
        <v>531</v>
      </c>
      <c r="AH536">
        <f t="shared" ca="1" si="113"/>
        <v>291.60183681802329</v>
      </c>
      <c r="AI536">
        <f t="shared" ca="1" si="114"/>
        <v>153.94215616541189</v>
      </c>
      <c r="AJ536">
        <f t="shared" ca="1" si="115"/>
        <v>50.563284616140216</v>
      </c>
      <c r="AL536">
        <v>531</v>
      </c>
      <c r="AM536" s="4">
        <f t="shared" ca="1" si="108"/>
        <v>-5.7646605101615678E-2</v>
      </c>
      <c r="AN536" s="4">
        <f t="shared" ca="1" si="109"/>
        <v>-6.2814067249915673E-2</v>
      </c>
      <c r="AO536" s="4">
        <f t="shared" ca="1" si="110"/>
        <v>-4.6515448235680545E-2</v>
      </c>
      <c r="AP536" s="4">
        <f t="shared" ca="1" si="111"/>
        <v>-5.6374242901155135E-2</v>
      </c>
    </row>
    <row r="537" spans="20:42" x14ac:dyDescent="0.3">
      <c r="T537">
        <v>531</v>
      </c>
      <c r="U537" s="4">
        <v>1.5090807501404687E-3</v>
      </c>
      <c r="V537" s="4"/>
      <c r="W537">
        <v>532</v>
      </c>
      <c r="X537">
        <f t="shared" ca="1" si="112"/>
        <v>0.92418910508866159</v>
      </c>
      <c r="Y537">
        <f t="shared" ca="1" si="112"/>
        <v>-0.22801788201927212</v>
      </c>
      <c r="Z537">
        <f t="shared" ca="1" si="112"/>
        <v>0.48885753380995128</v>
      </c>
      <c r="AB537">
        <v>532</v>
      </c>
      <c r="AC537" s="24">
        <f t="shared" ca="1" si="105"/>
        <v>0.92418910508866159</v>
      </c>
      <c r="AD537" s="24">
        <f t="shared" ca="1" si="106"/>
        <v>0.69185443085224019</v>
      </c>
      <c r="AE537" s="24">
        <f t="shared" ca="1" si="107"/>
        <v>0.93950718179450432</v>
      </c>
      <c r="AF537" s="24"/>
      <c r="AG537">
        <v>532</v>
      </c>
      <c r="AH537">
        <f t="shared" ca="1" si="113"/>
        <v>314.34315065505319</v>
      </c>
      <c r="AI537">
        <f t="shared" ca="1" si="114"/>
        <v>166.64088198673119</v>
      </c>
      <c r="AJ537">
        <f t="shared" ca="1" si="115"/>
        <v>53.921828141328163</v>
      </c>
      <c r="AL537">
        <v>532</v>
      </c>
      <c r="AM537" s="4">
        <f t="shared" ca="1" si="108"/>
        <v>1.5845230658487974E-2</v>
      </c>
      <c r="AN537" s="4">
        <f t="shared" ca="1" si="109"/>
        <v>1.44946277822815E-2</v>
      </c>
      <c r="AO537" s="4">
        <f t="shared" ca="1" si="110"/>
        <v>1.6817450170855786E-2</v>
      </c>
      <c r="AP537" s="4">
        <f t="shared" ca="1" si="111"/>
        <v>1.5596655361715728E-2</v>
      </c>
    </row>
    <row r="538" spans="20:42" x14ac:dyDescent="0.3">
      <c r="T538">
        <v>532</v>
      </c>
      <c r="U538" s="4">
        <v>1.5145919966627951E-3</v>
      </c>
      <c r="V538" s="4"/>
      <c r="W538">
        <v>533</v>
      </c>
      <c r="X538">
        <f t="shared" ca="1" si="112"/>
        <v>-1.5900921094259832E-3</v>
      </c>
      <c r="Y538">
        <f t="shared" ca="1" si="112"/>
        <v>0.84734814587742102</v>
      </c>
      <c r="Z538">
        <f t="shared" ca="1" si="112"/>
        <v>-0.78079598786103632</v>
      </c>
      <c r="AB538">
        <v>533</v>
      </c>
      <c r="AC538" s="24">
        <f t="shared" ca="1" si="105"/>
        <v>-1.5900921094259832E-3</v>
      </c>
      <c r="AD538" s="24">
        <f t="shared" ca="1" si="106"/>
        <v>0.41613839248592638</v>
      </c>
      <c r="AE538" s="24">
        <f t="shared" ca="1" si="107"/>
        <v>-0.16365635389548044</v>
      </c>
      <c r="AF538" s="24"/>
      <c r="AG538">
        <v>533</v>
      </c>
      <c r="AH538">
        <f t="shared" ca="1" si="113"/>
        <v>309.43336190989481</v>
      </c>
      <c r="AI538">
        <f t="shared" ca="1" si="114"/>
        <v>165.68833726784806</v>
      </c>
      <c r="AJ538">
        <f t="shared" ca="1" si="115"/>
        <v>52.876423898446468</v>
      </c>
      <c r="AL538">
        <v>533</v>
      </c>
      <c r="AM538" s="4">
        <f t="shared" ca="1" si="108"/>
        <v>-2.1459835376269609E-5</v>
      </c>
      <c r="AN538" s="4">
        <f t="shared" ca="1" si="109"/>
        <v>8.6956216289999499E-3</v>
      </c>
      <c r="AO538" s="4">
        <f t="shared" ca="1" si="110"/>
        <v>-2.8960000826981913E-3</v>
      </c>
      <c r="AP538" s="4">
        <f t="shared" ca="1" si="111"/>
        <v>2.6030106761776423E-3</v>
      </c>
    </row>
    <row r="539" spans="20:42" x14ac:dyDescent="0.3">
      <c r="T539">
        <v>533</v>
      </c>
      <c r="U539" s="4">
        <v>1.6179610015350399E-3</v>
      </c>
      <c r="V539" s="4"/>
      <c r="W539">
        <v>534</v>
      </c>
      <c r="X539">
        <f t="shared" ca="1" si="112"/>
        <v>-1.8669029372812369</v>
      </c>
      <c r="Y539">
        <f t="shared" ca="1" si="112"/>
        <v>0.70214012007827276</v>
      </c>
      <c r="Z539">
        <f t="shared" ca="1" si="112"/>
        <v>1.7718083665670532</v>
      </c>
      <c r="AB539">
        <v>534</v>
      </c>
      <c r="AC539" s="24">
        <f t="shared" ca="1" si="105"/>
        <v>-1.8669029372812369</v>
      </c>
      <c r="AD539" s="24">
        <f t="shared" ca="1" si="106"/>
        <v>-1.2785632673904432</v>
      </c>
      <c r="AE539" s="24">
        <f t="shared" ca="1" si="107"/>
        <v>-0.43077271698768915</v>
      </c>
      <c r="AF539" s="24"/>
      <c r="AG539">
        <v>534</v>
      </c>
      <c r="AH539">
        <f t="shared" ca="1" si="113"/>
        <v>299.77252605590098</v>
      </c>
      <c r="AI539">
        <f t="shared" ca="1" si="114"/>
        <v>159.95189811442583</v>
      </c>
      <c r="AJ539">
        <f t="shared" ca="1" si="115"/>
        <v>52.626356157734286</v>
      </c>
      <c r="AL539">
        <v>534</v>
      </c>
      <c r="AM539" s="4">
        <f t="shared" ca="1" si="108"/>
        <v>-3.1241844329210844E-2</v>
      </c>
      <c r="AN539" s="4">
        <f t="shared" ca="1" si="109"/>
        <v>-2.6227301451845042E-2</v>
      </c>
      <c r="AO539" s="4">
        <f t="shared" ca="1" si="110"/>
        <v>-7.611590248048361E-3</v>
      </c>
      <c r="AP539" s="4">
        <f t="shared" ca="1" si="111"/>
        <v>-2.2146950953915778E-2</v>
      </c>
    </row>
    <row r="540" spans="20:42" x14ac:dyDescent="0.3">
      <c r="T540">
        <v>534</v>
      </c>
      <c r="U540" s="4">
        <v>1.6688416676304387E-3</v>
      </c>
      <c r="V540" s="4"/>
      <c r="W540">
        <v>535</v>
      </c>
      <c r="X540">
        <f t="shared" ca="1" si="112"/>
        <v>0.32878490844729918</v>
      </c>
      <c r="Y540">
        <f t="shared" ca="1" si="112"/>
        <v>2.143615556423208</v>
      </c>
      <c r="Z540">
        <f t="shared" ca="1" si="112"/>
        <v>-0.60860488291954939</v>
      </c>
      <c r="AB540">
        <v>535</v>
      </c>
      <c r="AC540" s="24">
        <f t="shared" ca="1" si="105"/>
        <v>0.32878490844729918</v>
      </c>
      <c r="AD540" s="24">
        <f t="shared" ca="1" si="106"/>
        <v>1.3423454310819674</v>
      </c>
      <c r="AE540" s="24">
        <f t="shared" ca="1" si="107"/>
        <v>0.55122447828694909</v>
      </c>
      <c r="AF540" s="24"/>
      <c r="AG540">
        <v>535</v>
      </c>
      <c r="AH540">
        <f t="shared" ca="1" si="113"/>
        <v>311.176613725018</v>
      </c>
      <c r="AI540">
        <f t="shared" ca="1" si="114"/>
        <v>168.90995780948467</v>
      </c>
      <c r="AJ540">
        <f t="shared" ca="1" si="115"/>
        <v>53.551538751617784</v>
      </c>
      <c r="AL540">
        <v>535</v>
      </c>
      <c r="AM540" s="4">
        <f t="shared" ca="1" si="108"/>
        <v>5.6121098432992955E-3</v>
      </c>
      <c r="AN540" s="4">
        <f t="shared" ca="1" si="109"/>
        <v>2.8308556301919197E-2</v>
      </c>
      <c r="AO540" s="4">
        <f t="shared" ca="1" si="110"/>
        <v>9.8348101890697315E-3</v>
      </c>
      <c r="AP540" s="4">
        <f t="shared" ca="1" si="111"/>
        <v>1.5957498530478387E-2</v>
      </c>
    </row>
    <row r="541" spans="20:42" x14ac:dyDescent="0.3">
      <c r="T541">
        <v>535</v>
      </c>
      <c r="U541" s="4">
        <v>1.7235265214397E-3</v>
      </c>
      <c r="V541" s="4"/>
      <c r="W541">
        <v>536</v>
      </c>
      <c r="X541">
        <f t="shared" ca="1" si="112"/>
        <v>1.220157740143397</v>
      </c>
      <c r="Y541">
        <f t="shared" ca="1" si="112"/>
        <v>0.28698640367483236</v>
      </c>
      <c r="Z541">
        <f t="shared" ca="1" si="112"/>
        <v>0.18345015160561792</v>
      </c>
      <c r="AB541">
        <v>536</v>
      </c>
      <c r="AC541" s="24">
        <f t="shared" ca="1" si="105"/>
        <v>1.220157740143397</v>
      </c>
      <c r="AD541" s="24">
        <f t="shared" ca="1" si="106"/>
        <v>1.2031625078717427</v>
      </c>
      <c r="AE541" s="24">
        <f t="shared" ca="1" si="107"/>
        <v>1.168250941016211</v>
      </c>
      <c r="AF541" s="24"/>
      <c r="AG541">
        <v>536</v>
      </c>
      <c r="AH541">
        <f t="shared" ca="1" si="113"/>
        <v>315.92916951273986</v>
      </c>
      <c r="AI541">
        <f t="shared" ca="1" si="114"/>
        <v>168.42186886079745</v>
      </c>
      <c r="AJ541">
        <f t="shared" ca="1" si="115"/>
        <v>54.141169108313008</v>
      </c>
      <c r="AL541">
        <v>536</v>
      </c>
      <c r="AM541" s="4">
        <f t="shared" ca="1" si="108"/>
        <v>2.0970679356695721E-2</v>
      </c>
      <c r="AN541" s="4">
        <f t="shared" ca="1" si="109"/>
        <v>2.533711489798729E-2</v>
      </c>
      <c r="AO541" s="4">
        <f t="shared" ca="1" si="110"/>
        <v>2.0953617850167028E-2</v>
      </c>
      <c r="AP541" s="4">
        <f t="shared" ca="1" si="111"/>
        <v>2.2712135121253741E-2</v>
      </c>
    </row>
    <row r="542" spans="20:42" x14ac:dyDescent="0.3">
      <c r="T542">
        <v>536</v>
      </c>
      <c r="U542" s="4">
        <v>1.7518745412711922E-3</v>
      </c>
      <c r="V542" s="4"/>
      <c r="W542">
        <v>537</v>
      </c>
      <c r="X542">
        <f t="shared" ca="1" si="112"/>
        <v>0.17961870036669067</v>
      </c>
      <c r="Y542">
        <f t="shared" ca="1" si="112"/>
        <v>9.3307050708354197E-2</v>
      </c>
      <c r="Z542">
        <f t="shared" ca="1" si="112"/>
        <v>1.3358600341028359</v>
      </c>
      <c r="AB542">
        <v>537</v>
      </c>
      <c r="AC542" s="24">
        <f t="shared" ca="1" si="105"/>
        <v>0.17961870036669067</v>
      </c>
      <c r="AD542" s="24">
        <f t="shared" ca="1" si="106"/>
        <v>0.20227610648992475</v>
      </c>
      <c r="AE542" s="24">
        <f t="shared" ca="1" si="107"/>
        <v>0.85033637244527227</v>
      </c>
      <c r="AF542" s="24"/>
      <c r="AG542">
        <v>537</v>
      </c>
      <c r="AH542">
        <f t="shared" ca="1" si="113"/>
        <v>310.38831276321611</v>
      </c>
      <c r="AI542">
        <f t="shared" ca="1" si="114"/>
        <v>164.95323636810841</v>
      </c>
      <c r="AJ542">
        <f t="shared" ca="1" si="115"/>
        <v>53.836563728336536</v>
      </c>
      <c r="AL542">
        <v>537</v>
      </c>
      <c r="AM542" s="4">
        <f t="shared" ca="1" si="108"/>
        <v>3.0646015845661179E-3</v>
      </c>
      <c r="AN542" s="4">
        <f t="shared" ca="1" si="109"/>
        <v>4.2203937931128976E-3</v>
      </c>
      <c r="AO542" s="4">
        <f t="shared" ca="1" si="110"/>
        <v>1.5209597729702873E-2</v>
      </c>
      <c r="AP542" s="4">
        <f t="shared" ca="1" si="111"/>
        <v>7.1704173115258564E-3</v>
      </c>
    </row>
    <row r="543" spans="20:42" x14ac:dyDescent="0.3">
      <c r="T543">
        <v>537</v>
      </c>
      <c r="U543" s="4">
        <v>1.7752801583903462E-3</v>
      </c>
      <c r="V543" s="4"/>
      <c r="W543">
        <v>538</v>
      </c>
      <c r="X543">
        <f t="shared" ca="1" si="112"/>
        <v>-0.32943606261148883</v>
      </c>
      <c r="Y543">
        <f t="shared" ca="1" si="112"/>
        <v>-0.16650241599303903</v>
      </c>
      <c r="Z543">
        <f t="shared" ca="1" si="112"/>
        <v>1.322696259315588</v>
      </c>
      <c r="AB543">
        <v>538</v>
      </c>
      <c r="AC543" s="24">
        <f t="shared" ca="1" si="105"/>
        <v>-0.32943606261148883</v>
      </c>
      <c r="AD543" s="24">
        <f t="shared" ca="1" si="106"/>
        <v>-0.36870995544984841</v>
      </c>
      <c r="AE543" s="24">
        <f t="shared" ca="1" si="107"/>
        <v>0.35643185844583708</v>
      </c>
      <c r="AF543" s="24"/>
      <c r="AG543">
        <v>538</v>
      </c>
      <c r="AH543">
        <f t="shared" ca="1" si="113"/>
        <v>307.71310894699201</v>
      </c>
      <c r="AI543">
        <f t="shared" ca="1" si="114"/>
        <v>163.00654545730512</v>
      </c>
      <c r="AJ543">
        <f t="shared" ca="1" si="115"/>
        <v>53.366731895587158</v>
      </c>
      <c r="AL543">
        <v>538</v>
      </c>
      <c r="AM543" s="4">
        <f t="shared" ca="1" si="108"/>
        <v>-5.5807054058597538E-3</v>
      </c>
      <c r="AN543" s="4">
        <f t="shared" ca="1" si="109"/>
        <v>-7.6308845211712217E-3</v>
      </c>
      <c r="AO543" s="4">
        <f t="shared" ca="1" si="110"/>
        <v>6.3498609097050185E-3</v>
      </c>
      <c r="AP543" s="4">
        <f t="shared" ca="1" si="111"/>
        <v>-2.8216071573149101E-3</v>
      </c>
    </row>
    <row r="544" spans="20:42" x14ac:dyDescent="0.3">
      <c r="T544">
        <v>538</v>
      </c>
      <c r="U544" s="4">
        <v>1.9078654448438923E-3</v>
      </c>
      <c r="V544" s="4"/>
      <c r="W544">
        <v>539</v>
      </c>
      <c r="X544">
        <f t="shared" ca="1" si="112"/>
        <v>-0.3150751063067701</v>
      </c>
      <c r="Y544">
        <f t="shared" ca="1" si="112"/>
        <v>0.28486409021211129</v>
      </c>
      <c r="Z544">
        <f t="shared" ca="1" si="112"/>
        <v>0.81147253600306701</v>
      </c>
      <c r="AB544">
        <v>539</v>
      </c>
      <c r="AC544" s="24">
        <f t="shared" ca="1" si="105"/>
        <v>-0.3150751063067701</v>
      </c>
      <c r="AD544" s="24">
        <f t="shared" ca="1" si="106"/>
        <v>-0.13380719736258342</v>
      </c>
      <c r="AE544" s="24">
        <f t="shared" ca="1" si="107"/>
        <v>0.23329789002622589</v>
      </c>
      <c r="AF544" s="24"/>
      <c r="AG544">
        <v>539</v>
      </c>
      <c r="AH544">
        <f t="shared" ca="1" si="113"/>
        <v>307.78826218942919</v>
      </c>
      <c r="AI544">
        <f t="shared" ca="1" si="114"/>
        <v>163.80461389639657</v>
      </c>
      <c r="AJ544">
        <f t="shared" ca="1" si="115"/>
        <v>53.250239351062866</v>
      </c>
      <c r="AL544">
        <v>539</v>
      </c>
      <c r="AM544" s="4">
        <f t="shared" ca="1" si="108"/>
        <v>-5.3378368631883388E-3</v>
      </c>
      <c r="AN544" s="4">
        <f t="shared" ca="1" si="109"/>
        <v>-2.7723159970000077E-3</v>
      </c>
      <c r="AO544" s="4">
        <f t="shared" ca="1" si="110"/>
        <v>4.1531317525138611E-3</v>
      </c>
      <c r="AP544" s="4">
        <f t="shared" ca="1" si="111"/>
        <v>-1.4643379320023464E-3</v>
      </c>
    </row>
    <row r="545" spans="20:42" x14ac:dyDescent="0.3">
      <c r="T545">
        <v>539</v>
      </c>
      <c r="U545" s="4">
        <v>1.977174785077607E-3</v>
      </c>
      <c r="V545" s="4"/>
      <c r="W545">
        <v>540</v>
      </c>
      <c r="X545">
        <f t="shared" ca="1" si="112"/>
        <v>5.3431738315235525E-2</v>
      </c>
      <c r="Y545">
        <f t="shared" ca="1" si="112"/>
        <v>-1.0779763048090374</v>
      </c>
      <c r="Z545">
        <f t="shared" ca="1" si="112"/>
        <v>-0.13742395687196862</v>
      </c>
      <c r="AB545">
        <v>540</v>
      </c>
      <c r="AC545" s="24">
        <f t="shared" ca="1" si="105"/>
        <v>5.3431738315235525E-2</v>
      </c>
      <c r="AD545" s="24">
        <f t="shared" ca="1" si="106"/>
        <v>-0.48466664139972249</v>
      </c>
      <c r="AE545" s="24">
        <f t="shared" ca="1" si="107"/>
        <v>-0.32370407586393346</v>
      </c>
      <c r="AF545" s="24"/>
      <c r="AG545">
        <v>540</v>
      </c>
      <c r="AH545">
        <f t="shared" ca="1" si="113"/>
        <v>309.72301001284285</v>
      </c>
      <c r="AI545">
        <f t="shared" ca="1" si="114"/>
        <v>162.61402398272338</v>
      </c>
      <c r="AJ545">
        <f t="shared" ca="1" si="115"/>
        <v>52.726448845243866</v>
      </c>
      <c r="AL545">
        <v>540</v>
      </c>
      <c r="AM545" s="4">
        <f t="shared" ca="1" si="108"/>
        <v>9.1457978672426776E-4</v>
      </c>
      <c r="AN545" s="4">
        <f t="shared" ca="1" si="109"/>
        <v>-1.0020519780567283E-2</v>
      </c>
      <c r="AO545" s="4">
        <f t="shared" ca="1" si="110"/>
        <v>-5.7241173117175137E-3</v>
      </c>
      <c r="AP545" s="4">
        <f t="shared" ca="1" si="111"/>
        <v>-5.4510691697248871E-3</v>
      </c>
    </row>
    <row r="546" spans="20:42" x14ac:dyDescent="0.3">
      <c r="T546">
        <v>540</v>
      </c>
      <c r="U546" s="4">
        <v>1.9913621077120467E-3</v>
      </c>
      <c r="V546" s="4"/>
      <c r="W546">
        <v>541</v>
      </c>
      <c r="X546">
        <f t="shared" ca="1" si="112"/>
        <v>-0.12170049936733222</v>
      </c>
      <c r="Y546">
        <f t="shared" ca="1" si="112"/>
        <v>-1.4741824481093573</v>
      </c>
      <c r="Z546">
        <f t="shared" ca="1" si="112"/>
        <v>0.68964813511597933</v>
      </c>
      <c r="AB546">
        <v>541</v>
      </c>
      <c r="AC546" s="24">
        <f t="shared" ca="1" si="105"/>
        <v>-0.12170049936733222</v>
      </c>
      <c r="AD546" s="24">
        <f t="shared" ca="1" si="106"/>
        <v>-0.83228913404912142</v>
      </c>
      <c r="AE546" s="24">
        <f t="shared" ca="1" si="107"/>
        <v>-0.15627117247853772</v>
      </c>
      <c r="AF546" s="24"/>
      <c r="AG546">
        <v>541</v>
      </c>
      <c r="AH546">
        <f t="shared" ca="1" si="113"/>
        <v>308.80201264517541</v>
      </c>
      <c r="AI546">
        <f t="shared" ca="1" si="114"/>
        <v>161.44295262105098</v>
      </c>
      <c r="AJ546">
        <f t="shared" ca="1" si="115"/>
        <v>52.883354577486415</v>
      </c>
      <c r="AL546">
        <v>541</v>
      </c>
      <c r="AM546" s="4">
        <f t="shared" ca="1" si="108"/>
        <v>-2.0617560470431728E-3</v>
      </c>
      <c r="AN546" s="4">
        <f t="shared" ca="1" si="109"/>
        <v>-1.7149896383728436E-2</v>
      </c>
      <c r="AO546" s="4">
        <f t="shared" ca="1" si="110"/>
        <v>-2.7653065281161293E-3</v>
      </c>
      <c r="AP546" s="4">
        <f t="shared" ca="1" si="111"/>
        <v>-8.3080773260391649E-3</v>
      </c>
    </row>
    <row r="547" spans="20:42" x14ac:dyDescent="0.3">
      <c r="T547">
        <v>541</v>
      </c>
      <c r="U547" s="4">
        <v>2.1355787674863565E-3</v>
      </c>
      <c r="V547" s="4"/>
      <c r="W547">
        <v>542</v>
      </c>
      <c r="X547">
        <f t="shared" ca="1" si="112"/>
        <v>-0.74119771937938939</v>
      </c>
      <c r="Y547">
        <f t="shared" ca="1" si="112"/>
        <v>1.4582547267372497</v>
      </c>
      <c r="Z547">
        <f t="shared" ca="1" si="112"/>
        <v>1.608321490885632</v>
      </c>
      <c r="AB547">
        <v>542</v>
      </c>
      <c r="AC547" s="24">
        <f t="shared" ca="1" si="105"/>
        <v>-0.74119771937938939</v>
      </c>
      <c r="AD547" s="24">
        <f t="shared" ca="1" si="106"/>
        <v>7.3566930216384385E-2</v>
      </c>
      <c r="AE547" s="24">
        <f t="shared" ca="1" si="107"/>
        <v>0.61380887209206614</v>
      </c>
      <c r="AF547" s="24"/>
      <c r="AG547">
        <v>542</v>
      </c>
      <c r="AH547">
        <f t="shared" ca="1" si="113"/>
        <v>305.56608100763441</v>
      </c>
      <c r="AI547">
        <f t="shared" ca="1" si="114"/>
        <v>164.51240206211983</v>
      </c>
      <c r="AJ547">
        <f t="shared" ca="1" si="115"/>
        <v>53.6110505797066</v>
      </c>
      <c r="AL547">
        <v>542</v>
      </c>
      <c r="AM547" s="4">
        <f t="shared" ca="1" si="108"/>
        <v>-1.2519135868689579E-2</v>
      </c>
      <c r="AN547" s="4">
        <f t="shared" ca="1" si="109"/>
        <v>1.5366343828431273E-3</v>
      </c>
      <c r="AO547" s="4">
        <f t="shared" ca="1" si="110"/>
        <v>1.0957039671602775E-2</v>
      </c>
      <c r="AP547" s="4">
        <f t="shared" ca="1" si="111"/>
        <v>1.4602489401120992E-4</v>
      </c>
    </row>
    <row r="548" spans="20:42" x14ac:dyDescent="0.3">
      <c r="T548">
        <v>542</v>
      </c>
      <c r="U548" s="4">
        <v>2.1703397595349782E-3</v>
      </c>
      <c r="V548" s="4"/>
      <c r="W548">
        <v>543</v>
      </c>
      <c r="X548">
        <f t="shared" ca="1" si="112"/>
        <v>0.52615679808265725</v>
      </c>
      <c r="Y548">
        <f t="shared" ca="1" si="112"/>
        <v>1.2468323051049484</v>
      </c>
      <c r="Z548">
        <f t="shared" ca="1" si="112"/>
        <v>0.72088125065991793</v>
      </c>
      <c r="AB548">
        <v>543</v>
      </c>
      <c r="AC548" s="24">
        <f t="shared" ca="1" si="105"/>
        <v>0.52615679808265725</v>
      </c>
      <c r="AD548" s="24">
        <f t="shared" ca="1" si="106"/>
        <v>1.0722131724895383</v>
      </c>
      <c r="AE548" s="24">
        <f t="shared" ca="1" si="107"/>
        <v>1.1395055527084408</v>
      </c>
      <c r="AF548" s="24"/>
      <c r="AG548">
        <v>543</v>
      </c>
      <c r="AH548">
        <f t="shared" ca="1" si="113"/>
        <v>312.22274595549436</v>
      </c>
      <c r="AI548">
        <f t="shared" ca="1" si="114"/>
        <v>167.96394138316487</v>
      </c>
      <c r="AJ548">
        <f t="shared" ca="1" si="115"/>
        <v>54.113556392675605</v>
      </c>
      <c r="AL548">
        <v>543</v>
      </c>
      <c r="AM548" s="4">
        <f t="shared" ca="1" si="108"/>
        <v>8.9928370350735864E-3</v>
      </c>
      <c r="AN548" s="4">
        <f t="shared" ca="1" si="109"/>
        <v>2.2549293803706627E-2</v>
      </c>
      <c r="AO548" s="4">
        <f t="shared" ca="1" si="110"/>
        <v>2.0432917939304795E-2</v>
      </c>
      <c r="AP548" s="4">
        <f t="shared" ca="1" si="111"/>
        <v>1.7847444013796163E-2</v>
      </c>
    </row>
    <row r="549" spans="20:42" x14ac:dyDescent="0.3">
      <c r="T549">
        <v>543</v>
      </c>
      <c r="U549" s="4">
        <v>2.3051906033286331E-3</v>
      </c>
      <c r="V549" s="4"/>
      <c r="W549">
        <v>544</v>
      </c>
      <c r="X549">
        <f t="shared" ca="1" si="112"/>
        <v>-0.90250766807180149</v>
      </c>
      <c r="Y549">
        <f t="shared" ca="1" si="112"/>
        <v>-0.8100087001925077</v>
      </c>
      <c r="Z549">
        <f t="shared" ca="1" si="112"/>
        <v>-0.99767680520717361</v>
      </c>
      <c r="AB549">
        <v>544</v>
      </c>
      <c r="AC549" s="24">
        <f t="shared" ca="1" si="105"/>
        <v>-0.90250766807180149</v>
      </c>
      <c r="AD549" s="24">
        <f t="shared" ca="1" si="106"/>
        <v>-1.18446463333108</v>
      </c>
      <c r="AE549" s="24">
        <f t="shared" ca="1" si="107"/>
        <v>-1.4665875984470069</v>
      </c>
      <c r="AF549" s="24"/>
      <c r="AG549">
        <v>544</v>
      </c>
      <c r="AH549">
        <f t="shared" ca="1" si="113"/>
        <v>304.72906043458084</v>
      </c>
      <c r="AI549">
        <f t="shared" ca="1" si="114"/>
        <v>160.26514273859246</v>
      </c>
      <c r="AJ549">
        <f t="shared" ca="1" si="115"/>
        <v>51.6677859656699</v>
      </c>
      <c r="AL549">
        <v>544</v>
      </c>
      <c r="AM549" s="4">
        <f t="shared" ca="1" si="108"/>
        <v>-1.5224088578260742E-2</v>
      </c>
      <c r="AN549" s="4">
        <f t="shared" ca="1" si="109"/>
        <v>-2.4320296492377547E-2</v>
      </c>
      <c r="AO549" s="4">
        <f t="shared" ca="1" si="110"/>
        <v>-2.5687589005917721E-2</v>
      </c>
      <c r="AP549" s="4">
        <f t="shared" ca="1" si="111"/>
        <v>-2.2001621872204558E-2</v>
      </c>
    </row>
    <row r="550" spans="20:42" x14ac:dyDescent="0.3">
      <c r="T550">
        <v>544</v>
      </c>
      <c r="U550" s="4">
        <v>2.3312478997504328E-3</v>
      </c>
      <c r="V550" s="4"/>
      <c r="W550">
        <v>545</v>
      </c>
      <c r="X550">
        <f t="shared" ca="1" si="112"/>
        <v>-1.094969618529587</v>
      </c>
      <c r="Y550">
        <f t="shared" ca="1" si="112"/>
        <v>0.62490341122292137</v>
      </c>
      <c r="Z550">
        <f t="shared" ca="1" si="112"/>
        <v>0.20136465777141341</v>
      </c>
      <c r="AB550">
        <v>545</v>
      </c>
      <c r="AC550" s="24">
        <f t="shared" ca="1" si="105"/>
        <v>-1.094969618529587</v>
      </c>
      <c r="AD550" s="24">
        <f t="shared" ca="1" si="106"/>
        <v>-0.64490241775728707</v>
      </c>
      <c r="AE550" s="24">
        <f t="shared" ca="1" si="107"/>
        <v>-0.61904545924781651</v>
      </c>
      <c r="AF550" s="24"/>
      <c r="AG550">
        <v>545</v>
      </c>
      <c r="AH550">
        <f t="shared" ca="1" si="113"/>
        <v>303.73339456599842</v>
      </c>
      <c r="AI550">
        <f t="shared" ca="1" si="114"/>
        <v>162.07316972532249</v>
      </c>
      <c r="AJ550">
        <f t="shared" ca="1" si="115"/>
        <v>52.450810744625926</v>
      </c>
      <c r="AL550">
        <v>545</v>
      </c>
      <c r="AM550" s="4">
        <f t="shared" ca="1" si="108"/>
        <v>-1.8441726442553819E-2</v>
      </c>
      <c r="AN550" s="4">
        <f t="shared" ca="1" si="109"/>
        <v>-1.3313191614781839E-2</v>
      </c>
      <c r="AO550" s="4">
        <f t="shared" ca="1" si="110"/>
        <v>-1.0921894173171021E-2</v>
      </c>
      <c r="AP550" s="4">
        <f t="shared" ca="1" si="111"/>
        <v>-1.4134362830630187E-2</v>
      </c>
    </row>
    <row r="551" spans="20:42" x14ac:dyDescent="0.3">
      <c r="T551">
        <v>545</v>
      </c>
      <c r="U551" s="4">
        <v>2.3689739021232501E-3</v>
      </c>
      <c r="V551" s="4"/>
      <c r="W551">
        <v>546</v>
      </c>
      <c r="X551">
        <f t="shared" ca="1" si="112"/>
        <v>1.6363784229598</v>
      </c>
      <c r="Y551">
        <f t="shared" ca="1" si="112"/>
        <v>0.80357458784419966</v>
      </c>
      <c r="Z551">
        <f t="shared" ca="1" si="112"/>
        <v>-0.27334215180257398</v>
      </c>
      <c r="AB551">
        <v>546</v>
      </c>
      <c r="AC551" s="24">
        <f t="shared" ca="1" si="105"/>
        <v>1.6363784229598</v>
      </c>
      <c r="AD551" s="24">
        <f t="shared" ca="1" si="106"/>
        <v>1.8198915728417075</v>
      </c>
      <c r="AE551" s="24">
        <f t="shared" ca="1" si="107"/>
        <v>1.4187546879050383</v>
      </c>
      <c r="AF551" s="24"/>
      <c r="AG551">
        <v>546</v>
      </c>
      <c r="AH551">
        <f t="shared" ca="1" si="113"/>
        <v>318.17313677434106</v>
      </c>
      <c r="AI551">
        <f t="shared" ca="1" si="114"/>
        <v>170.59540214493583</v>
      </c>
      <c r="AJ551">
        <f t="shared" ca="1" si="115"/>
        <v>54.382399300857884</v>
      </c>
      <c r="AL551">
        <v>546</v>
      </c>
      <c r="AM551" s="4">
        <f t="shared" ca="1" si="108"/>
        <v>2.8222383221408798E-2</v>
      </c>
      <c r="AN551" s="4">
        <f t="shared" ca="1" si="109"/>
        <v>3.8569389078100924E-2</v>
      </c>
      <c r="AO551" s="4">
        <f t="shared" ca="1" si="110"/>
        <v>2.5502556151086875E-2</v>
      </c>
      <c r="AP551" s="4">
        <f t="shared" ca="1" si="111"/>
        <v>3.1545237442989073E-2</v>
      </c>
    </row>
    <row r="552" spans="20:42" x14ac:dyDescent="0.3">
      <c r="T552">
        <v>546</v>
      </c>
      <c r="U552" s="4">
        <v>2.3884200916541197E-3</v>
      </c>
      <c r="V552" s="4"/>
      <c r="W552">
        <v>547</v>
      </c>
      <c r="X552">
        <f t="shared" ca="1" si="112"/>
        <v>-0.28628416364858977</v>
      </c>
      <c r="Y552">
        <f t="shared" ca="1" si="112"/>
        <v>1.0401003606390977</v>
      </c>
      <c r="Z552">
        <f t="shared" ca="1" si="112"/>
        <v>-1.5949479657306602</v>
      </c>
      <c r="AB552">
        <v>547</v>
      </c>
      <c r="AC552" s="24">
        <f t="shared" ca="1" si="105"/>
        <v>-0.28628416364858977</v>
      </c>
      <c r="AD552" s="24">
        <f t="shared" ca="1" si="106"/>
        <v>0.26338088980634355</v>
      </c>
      <c r="AE552" s="24">
        <f t="shared" ca="1" si="107"/>
        <v>-0.75601745174072676</v>
      </c>
      <c r="AF552" s="24"/>
      <c r="AG552">
        <v>547</v>
      </c>
      <c r="AH552">
        <f t="shared" ca="1" si="113"/>
        <v>307.93898520956026</v>
      </c>
      <c r="AI552">
        <f t="shared" ca="1" si="114"/>
        <v>165.16293613947801</v>
      </c>
      <c r="AJ552">
        <f t="shared" ca="1" si="115"/>
        <v>52.323466207547746</v>
      </c>
      <c r="AL552">
        <v>547</v>
      </c>
      <c r="AM552" s="4">
        <f t="shared" ca="1" si="108"/>
        <v>-4.8507536840844967E-3</v>
      </c>
      <c r="AN552" s="4">
        <f t="shared" ca="1" si="109"/>
        <v>5.4970270476017991E-3</v>
      </c>
      <c r="AO552" s="4">
        <f t="shared" ca="1" si="110"/>
        <v>-1.3323262078310361E-2</v>
      </c>
      <c r="AP552" s="4">
        <f t="shared" ca="1" si="111"/>
        <v>-3.253393909677737E-3</v>
      </c>
    </row>
    <row r="553" spans="20:42" x14ac:dyDescent="0.3">
      <c r="T553">
        <v>547</v>
      </c>
      <c r="U553" s="4">
        <v>2.3919013555701476E-3</v>
      </c>
      <c r="V553" s="4"/>
      <c r="W553">
        <v>548</v>
      </c>
      <c r="X553">
        <f t="shared" ca="1" si="112"/>
        <v>-0.68113519051905924</v>
      </c>
      <c r="Y553">
        <f t="shared" ca="1" si="112"/>
        <v>0.59381845880818651</v>
      </c>
      <c r="Z553">
        <f t="shared" ca="1" si="112"/>
        <v>1.4093074945318054</v>
      </c>
      <c r="AB553">
        <v>548</v>
      </c>
      <c r="AC553" s="24">
        <f t="shared" ca="1" si="105"/>
        <v>-0.68113519051905924</v>
      </c>
      <c r="AD553" s="24">
        <f t="shared" ca="1" si="106"/>
        <v>-0.30011010199329358</v>
      </c>
      <c r="AE553" s="24">
        <f t="shared" ca="1" si="107"/>
        <v>0.32320613004330434</v>
      </c>
      <c r="AF553" s="24"/>
      <c r="AG553">
        <v>548</v>
      </c>
      <c r="AH553">
        <f t="shared" ca="1" si="113"/>
        <v>305.87832629487519</v>
      </c>
      <c r="AI553">
        <f t="shared" ca="1" si="114"/>
        <v>163.2392066691861</v>
      </c>
      <c r="AJ553">
        <f t="shared" ca="1" si="115"/>
        <v>53.335273167067413</v>
      </c>
      <c r="AL553">
        <v>548</v>
      </c>
      <c r="AM553" s="4">
        <f t="shared" ca="1" si="108"/>
        <v>-1.1510070186239951E-2</v>
      </c>
      <c r="AN553" s="4">
        <f t="shared" ca="1" si="109"/>
        <v>-6.2144640922072725E-3</v>
      </c>
      <c r="AO553" s="4">
        <f t="shared" ca="1" si="110"/>
        <v>5.7566357683906944E-3</v>
      </c>
      <c r="AP553" s="4">
        <f t="shared" ca="1" si="111"/>
        <v>-4.2118159622376861E-3</v>
      </c>
    </row>
    <row r="554" spans="20:42" x14ac:dyDescent="0.3">
      <c r="T554">
        <v>548</v>
      </c>
      <c r="U554" s="4">
        <v>2.4220595552480796E-3</v>
      </c>
      <c r="V554" s="4"/>
      <c r="W554">
        <v>549</v>
      </c>
      <c r="X554">
        <f t="shared" ca="1" si="112"/>
        <v>-0.2810930776618738</v>
      </c>
      <c r="Y554">
        <f t="shared" ca="1" si="112"/>
        <v>0.22567249728049557</v>
      </c>
      <c r="Z554">
        <f t="shared" ca="1" si="112"/>
        <v>0.62169967289510875</v>
      </c>
      <c r="AB554">
        <v>549</v>
      </c>
      <c r="AC554" s="24">
        <f t="shared" ca="1" si="105"/>
        <v>-0.2810930776618738</v>
      </c>
      <c r="AD554" s="24">
        <f t="shared" ca="1" si="106"/>
        <v>-0.13340287201164258</v>
      </c>
      <c r="AE554" s="24">
        <f t="shared" ca="1" si="107"/>
        <v>0.14838262686024703</v>
      </c>
      <c r="AF554" s="24"/>
      <c r="AG554">
        <v>549</v>
      </c>
      <c r="AH554">
        <f t="shared" ca="1" si="113"/>
        <v>307.96616883641843</v>
      </c>
      <c r="AI554">
        <f t="shared" ca="1" si="114"/>
        <v>163.80599093124047</v>
      </c>
      <c r="AJ554">
        <f t="shared" ca="1" si="115"/>
        <v>53.17005230603835</v>
      </c>
      <c r="AL554">
        <v>549</v>
      </c>
      <c r="AM554" s="4">
        <f t="shared" ca="1" si="108"/>
        <v>-4.7629058730590534E-3</v>
      </c>
      <c r="AN554" s="4">
        <f t="shared" ca="1" si="109"/>
        <v>-2.7639327333329744E-3</v>
      </c>
      <c r="AO554" s="4">
        <f t="shared" ca="1" si="110"/>
        <v>2.6410245137744592E-3</v>
      </c>
      <c r="AP554" s="4">
        <f t="shared" ca="1" si="111"/>
        <v>-1.7421375011185682E-3</v>
      </c>
    </row>
    <row r="555" spans="20:42" x14ac:dyDescent="0.3">
      <c r="T555">
        <v>549</v>
      </c>
      <c r="U555" s="4">
        <v>2.4352464871850608E-3</v>
      </c>
      <c r="V555" s="4"/>
      <c r="W555">
        <v>550</v>
      </c>
      <c r="X555">
        <f t="shared" ca="1" si="112"/>
        <v>0.89909536992451244</v>
      </c>
      <c r="Y555">
        <f t="shared" ca="1" si="112"/>
        <v>-0.80953541545088747</v>
      </c>
      <c r="Z555">
        <f t="shared" ca="1" si="112"/>
        <v>-0.84871365494626971</v>
      </c>
      <c r="AB555">
        <v>550</v>
      </c>
      <c r="AC555" s="24">
        <f t="shared" ca="1" si="105"/>
        <v>0.89909536992451244</v>
      </c>
      <c r="AD555" s="24">
        <f t="shared" ca="1" si="106"/>
        <v>0.38348168251740755</v>
      </c>
      <c r="AE555" s="24">
        <f t="shared" ca="1" si="107"/>
        <v>7.96609487354209E-2</v>
      </c>
      <c r="AF555" s="24"/>
      <c r="AG555">
        <v>550</v>
      </c>
      <c r="AH555">
        <f t="shared" ca="1" si="113"/>
        <v>314.20904657483271</v>
      </c>
      <c r="AI555">
        <f t="shared" ca="1" si="114"/>
        <v>165.57587600922301</v>
      </c>
      <c r="AJ555">
        <f t="shared" ca="1" si="115"/>
        <v>53.10524557429197</v>
      </c>
      <c r="AL555">
        <v>550</v>
      </c>
      <c r="AM555" s="4">
        <f t="shared" ca="1" si="108"/>
        <v>1.5411853980739743E-2</v>
      </c>
      <c r="AN555" s="4">
        <f t="shared" ca="1" si="109"/>
        <v>8.0109676512454264E-3</v>
      </c>
      <c r="AO555" s="4">
        <f t="shared" ca="1" si="110"/>
        <v>1.4189477037014342E-3</v>
      </c>
      <c r="AP555" s="4">
        <f t="shared" ca="1" si="111"/>
        <v>8.2536275658305226E-3</v>
      </c>
    </row>
    <row r="556" spans="20:42" x14ac:dyDescent="0.3">
      <c r="T556">
        <v>550</v>
      </c>
      <c r="U556" s="4">
        <v>2.4794829282186459E-3</v>
      </c>
      <c r="V556" s="4"/>
      <c r="W556">
        <v>551</v>
      </c>
      <c r="X556">
        <f t="shared" ca="1" si="112"/>
        <v>1.5834486749250869</v>
      </c>
      <c r="Y556">
        <f t="shared" ca="1" si="112"/>
        <v>-0.52753243191155452</v>
      </c>
      <c r="Z556">
        <f t="shared" ca="1" si="112"/>
        <v>1.0928566828284001</v>
      </c>
      <c r="AB556">
        <v>551</v>
      </c>
      <c r="AC556" s="24">
        <f t="shared" ca="1" si="105"/>
        <v>1.5834486749250869</v>
      </c>
      <c r="AD556" s="24">
        <f t="shared" ca="1" si="106"/>
        <v>1.1179440896428636</v>
      </c>
      <c r="AE556" s="24">
        <f t="shared" ca="1" si="107"/>
        <v>1.7014715018734794</v>
      </c>
      <c r="AF556" s="24"/>
      <c r="AG556">
        <v>551</v>
      </c>
      <c r="AH556">
        <f t="shared" ca="1" si="113"/>
        <v>317.88689484989305</v>
      </c>
      <c r="AI556">
        <f t="shared" ca="1" si="114"/>
        <v>168.12371992494388</v>
      </c>
      <c r="AJ556">
        <f t="shared" ca="1" si="115"/>
        <v>54.655941319539622</v>
      </c>
      <c r="AL556">
        <v>551</v>
      </c>
      <c r="AM556" s="4">
        <f t="shared" ca="1" si="108"/>
        <v>2.7297351156421623E-2</v>
      </c>
      <c r="AN556" s="4">
        <f t="shared" ca="1" si="109"/>
        <v>2.3522011124553543E-2</v>
      </c>
      <c r="AO556" s="4">
        <f t="shared" ca="1" si="110"/>
        <v>3.0660806669254637E-2</v>
      </c>
      <c r="AP556" s="4">
        <f t="shared" ca="1" si="111"/>
        <v>2.6796251797524297E-2</v>
      </c>
    </row>
    <row r="557" spans="20:42" x14ac:dyDescent="0.3">
      <c r="T557">
        <v>551</v>
      </c>
      <c r="U557" s="4">
        <v>2.5139218355745949E-3</v>
      </c>
      <c r="V557" s="4"/>
      <c r="W557">
        <v>552</v>
      </c>
      <c r="X557">
        <f t="shared" ca="1" si="112"/>
        <v>2.450880714963354</v>
      </c>
      <c r="Y557">
        <f t="shared" ca="1" si="112"/>
        <v>-1.1864735831299118</v>
      </c>
      <c r="Z557">
        <f t="shared" ca="1" si="112"/>
        <v>-0.82191216962475344</v>
      </c>
      <c r="AB557">
        <v>552</v>
      </c>
      <c r="AC557" s="24">
        <f t="shared" ca="1" si="105"/>
        <v>2.450880714963354</v>
      </c>
      <c r="AD557" s="24">
        <f t="shared" ca="1" si="106"/>
        <v>1.548076847550941</v>
      </c>
      <c r="AE557" s="24">
        <f t="shared" ca="1" si="107"/>
        <v>1.2558194933953621</v>
      </c>
      <c r="AF557" s="24"/>
      <c r="AG557">
        <v>552</v>
      </c>
      <c r="AH557">
        <f t="shared" ca="1" si="113"/>
        <v>322.61057346857001</v>
      </c>
      <c r="AI557">
        <f t="shared" ca="1" si="114"/>
        <v>169.63401195163715</v>
      </c>
      <c r="AJ557">
        <f t="shared" ca="1" si="115"/>
        <v>54.225374013194681</v>
      </c>
      <c r="AL557">
        <v>552</v>
      </c>
      <c r="AM557" s="4">
        <f t="shared" ca="1" si="108"/>
        <v>4.2562599932947975E-2</v>
      </c>
      <c r="AN557" s="4">
        <f t="shared" ca="1" si="109"/>
        <v>3.2716532476071203E-2</v>
      </c>
      <c r="AO557" s="4">
        <f t="shared" ca="1" si="110"/>
        <v>2.2541490880904291E-2</v>
      </c>
      <c r="AP557" s="4">
        <f t="shared" ca="1" si="111"/>
        <v>3.261784023458416E-2</v>
      </c>
    </row>
    <row r="558" spans="20:42" x14ac:dyDescent="0.3">
      <c r="T558">
        <v>552</v>
      </c>
      <c r="U558" s="4">
        <v>2.5325648964941824E-3</v>
      </c>
      <c r="V558" s="4"/>
      <c r="W558">
        <v>553</v>
      </c>
      <c r="X558">
        <f t="shared" ca="1" si="112"/>
        <v>0.63526574125685797</v>
      </c>
      <c r="Y558">
        <f t="shared" ca="1" si="112"/>
        <v>-0.81178885316746552</v>
      </c>
      <c r="Z558">
        <f t="shared" ca="1" si="112"/>
        <v>8.0433857278658039E-2</v>
      </c>
      <c r="AB558">
        <v>553</v>
      </c>
      <c r="AC558" s="24">
        <f t="shared" ca="1" si="105"/>
        <v>0.63526574125685797</v>
      </c>
      <c r="AD558" s="24">
        <f t="shared" ca="1" si="106"/>
        <v>0.15279291063777334</v>
      </c>
      <c r="AE558" s="24">
        <f t="shared" ca="1" si="107"/>
        <v>0.33525082694918718</v>
      </c>
      <c r="AF558" s="24"/>
      <c r="AG558">
        <v>553</v>
      </c>
      <c r="AH558">
        <f t="shared" ca="1" si="113"/>
        <v>312.80256592590433</v>
      </c>
      <c r="AI558">
        <f t="shared" ca="1" si="114"/>
        <v>164.78361475289432</v>
      </c>
      <c r="AJ558">
        <f t="shared" ca="1" si="115"/>
        <v>53.346675163474906</v>
      </c>
      <c r="AL558">
        <v>553</v>
      </c>
      <c r="AM558" s="4">
        <f t="shared" ca="1" si="108"/>
        <v>1.0866608899846586E-2</v>
      </c>
      <c r="AN558" s="4">
        <f t="shared" ca="1" si="109"/>
        <v>3.1877527308545872E-3</v>
      </c>
      <c r="AO558" s="4">
        <f t="shared" ca="1" si="110"/>
        <v>5.9716460770831148E-3</v>
      </c>
      <c r="AP558" s="4">
        <f t="shared" ca="1" si="111"/>
        <v>6.3265775854207448E-3</v>
      </c>
    </row>
    <row r="559" spans="20:42" x14ac:dyDescent="0.3">
      <c r="T559">
        <v>553</v>
      </c>
      <c r="U559" s="4">
        <v>2.5393131017316891E-3</v>
      </c>
      <c r="V559" s="4"/>
      <c r="W559">
        <v>554</v>
      </c>
      <c r="X559">
        <f t="shared" ca="1" si="112"/>
        <v>-2.2673185323783502</v>
      </c>
      <c r="Y559">
        <f t="shared" ca="1" si="112"/>
        <v>0.62130954031702867</v>
      </c>
      <c r="Z559">
        <f t="shared" ca="1" si="112"/>
        <v>-0.82293853440984088</v>
      </c>
      <c r="AB559">
        <v>554</v>
      </c>
      <c r="AC559" s="24">
        <f t="shared" ca="1" si="105"/>
        <v>-2.2673185323783502</v>
      </c>
      <c r="AD559" s="24">
        <f t="shared" ca="1" si="106"/>
        <v>-1.6668240499320661</v>
      </c>
      <c r="AE559" s="24">
        <f t="shared" ca="1" si="107"/>
        <v>-2.0967899520607487</v>
      </c>
      <c r="AF559" s="24"/>
      <c r="AG559">
        <v>554</v>
      </c>
      <c r="AH559">
        <f t="shared" ca="1" si="113"/>
        <v>297.73834102794524</v>
      </c>
      <c r="AI559">
        <f t="shared" ca="1" si="114"/>
        <v>158.66587972926803</v>
      </c>
      <c r="AJ559">
        <f t="shared" ca="1" si="115"/>
        <v>51.093143647698177</v>
      </c>
      <c r="AL559">
        <v>554</v>
      </c>
      <c r="AM559" s="4">
        <f t="shared" ca="1" si="108"/>
        <v>-3.7815606647936706E-2</v>
      </c>
      <c r="AN559" s="4">
        <f t="shared" ca="1" si="109"/>
        <v>-3.4056465144555959E-2</v>
      </c>
      <c r="AO559" s="4">
        <f t="shared" ca="1" si="110"/>
        <v>-3.6523763458104708E-2</v>
      </c>
      <c r="AP559" s="4">
        <f t="shared" ca="1" si="111"/>
        <v>-3.592439708963481E-2</v>
      </c>
    </row>
    <row r="560" spans="20:42" x14ac:dyDescent="0.3">
      <c r="T560">
        <v>554</v>
      </c>
      <c r="U560" s="4">
        <v>2.5593015294322666E-3</v>
      </c>
      <c r="V560" s="4"/>
      <c r="W560">
        <v>555</v>
      </c>
      <c r="X560">
        <f t="shared" ca="1" si="112"/>
        <v>-0.9169333379526039</v>
      </c>
      <c r="Y560">
        <f t="shared" ca="1" si="112"/>
        <v>-0.44108267942524787</v>
      </c>
      <c r="Z560">
        <f t="shared" ca="1" si="112"/>
        <v>-2.4879350208276598</v>
      </c>
      <c r="AB560">
        <v>555</v>
      </c>
      <c r="AC560" s="24">
        <f t="shared" ca="1" si="105"/>
        <v>-0.9169333379526039</v>
      </c>
      <c r="AD560" s="24">
        <f t="shared" ca="1" si="106"/>
        <v>-1.0152330269535044</v>
      </c>
      <c r="AE560" s="24">
        <f t="shared" ca="1" si="107"/>
        <v>-2.132850578206444</v>
      </c>
      <c r="AF560" s="24"/>
      <c r="AG560">
        <v>555</v>
      </c>
      <c r="AH560">
        <f t="shared" ca="1" si="113"/>
        <v>304.654318913591</v>
      </c>
      <c r="AI560">
        <f t="shared" ca="1" si="114"/>
        <v>160.83004176620861</v>
      </c>
      <c r="AJ560">
        <f t="shared" ca="1" si="115"/>
        <v>51.060456200007465</v>
      </c>
      <c r="AL560">
        <v>555</v>
      </c>
      <c r="AM560" s="4">
        <f t="shared" ca="1" si="108"/>
        <v>-1.5465626583690328E-2</v>
      </c>
      <c r="AN560" s="4">
        <f t="shared" ca="1" si="109"/>
        <v>-2.088124227036714E-2</v>
      </c>
      <c r="AO560" s="4">
        <f t="shared" ca="1" si="110"/>
        <v>-3.7140158865292094E-2</v>
      </c>
      <c r="AP560" s="4">
        <f t="shared" ca="1" si="111"/>
        <v>-2.4134232542841583E-2</v>
      </c>
    </row>
    <row r="561" spans="20:42" x14ac:dyDescent="0.3">
      <c r="T561">
        <v>555</v>
      </c>
      <c r="U561" s="4">
        <v>2.5793821331660531E-3</v>
      </c>
      <c r="V561" s="4"/>
      <c r="W561">
        <v>556</v>
      </c>
      <c r="X561">
        <f t="shared" ca="1" si="112"/>
        <v>-0.98871031352401806</v>
      </c>
      <c r="Y561">
        <f t="shared" ca="1" si="112"/>
        <v>0.15566370477736904</v>
      </c>
      <c r="Z561">
        <f t="shared" ca="1" si="112"/>
        <v>-1.3293538142256551</v>
      </c>
      <c r="AB561">
        <v>556</v>
      </c>
      <c r="AC561" s="24">
        <f t="shared" ca="1" si="105"/>
        <v>-0.98871031352401806</v>
      </c>
      <c r="AD561" s="24">
        <f t="shared" ca="1" si="106"/>
        <v>-0.78365106160052334</v>
      </c>
      <c r="AE561" s="24">
        <f t="shared" ca="1" si="107"/>
        <v>-1.4387091383178667</v>
      </c>
      <c r="AF561" s="24"/>
      <c r="AG561">
        <v>556</v>
      </c>
      <c r="AH561">
        <f t="shared" ca="1" si="113"/>
        <v>304.28270426932409</v>
      </c>
      <c r="AI561">
        <f t="shared" ca="1" si="114"/>
        <v>161.60629582095765</v>
      </c>
      <c r="AJ561">
        <f t="shared" ca="1" si="115"/>
        <v>51.693355343232689</v>
      </c>
      <c r="AL561">
        <v>556</v>
      </c>
      <c r="AM561" s="4">
        <f t="shared" ca="1" si="108"/>
        <v>-1.6666552906515419E-2</v>
      </c>
      <c r="AN561" s="4">
        <f t="shared" ca="1" si="109"/>
        <v>-1.6155477746390146E-2</v>
      </c>
      <c r="AO561" s="4">
        <f t="shared" ca="1" si="110"/>
        <v>-2.5205420834102266E-2</v>
      </c>
      <c r="AP561" s="4">
        <f t="shared" ca="1" si="111"/>
        <v>-1.9023783220741362E-2</v>
      </c>
    </row>
    <row r="562" spans="20:42" x14ac:dyDescent="0.3">
      <c r="T562">
        <v>556</v>
      </c>
      <c r="U562" s="4">
        <v>2.6869133372473763E-3</v>
      </c>
      <c r="V562" s="4"/>
      <c r="W562">
        <v>557</v>
      </c>
      <c r="X562">
        <f t="shared" ca="1" si="112"/>
        <v>-0.19048666808070719</v>
      </c>
      <c r="Y562">
        <f t="shared" ca="1" si="112"/>
        <v>0.23671857173676142</v>
      </c>
      <c r="Z562">
        <f t="shared" ca="1" si="112"/>
        <v>-1.0252391456251304E-2</v>
      </c>
      <c r="AB562">
        <v>557</v>
      </c>
      <c r="AC562" s="24">
        <f t="shared" ca="1" si="105"/>
        <v>-0.19048666808070719</v>
      </c>
      <c r="AD562" s="24">
        <f t="shared" ca="1" si="106"/>
        <v>-4.9116440133586584E-2</v>
      </c>
      <c r="AE562" s="24">
        <f t="shared" ca="1" si="107"/>
        <v>-9.5338222552882185E-2</v>
      </c>
      <c r="AF562" s="24"/>
      <c r="AG562">
        <v>557</v>
      </c>
      <c r="AH562">
        <f t="shared" ca="1" si="113"/>
        <v>308.44102477417363</v>
      </c>
      <c r="AI562">
        <f t="shared" ca="1" si="114"/>
        <v>164.09330311662112</v>
      </c>
      <c r="AJ562">
        <f t="shared" ca="1" si="115"/>
        <v>52.940572241292017</v>
      </c>
      <c r="AL562">
        <v>557</v>
      </c>
      <c r="AM562" s="4">
        <f t="shared" ca="1" si="108"/>
        <v>-3.2283404193080845E-3</v>
      </c>
      <c r="AN562" s="4">
        <f t="shared" ca="1" si="109"/>
        <v>-1.0148021173039812E-3</v>
      </c>
      <c r="AO562" s="4">
        <f t="shared" ca="1" si="110"/>
        <v>-1.6863386774146338E-3</v>
      </c>
      <c r="AP562" s="4">
        <f t="shared" ca="1" si="111"/>
        <v>-1.8803245759384079E-3</v>
      </c>
    </row>
    <row r="563" spans="20:42" x14ac:dyDescent="0.3">
      <c r="T563">
        <v>557</v>
      </c>
      <c r="U563" s="4">
        <v>2.6968548068348249E-3</v>
      </c>
      <c r="V563" s="4"/>
      <c r="W563">
        <v>558</v>
      </c>
      <c r="X563">
        <f t="shared" ca="1" si="112"/>
        <v>2.1029124722780117</v>
      </c>
      <c r="Y563">
        <f t="shared" ca="1" si="112"/>
        <v>-0.7728955786564996</v>
      </c>
      <c r="Z563">
        <f t="shared" ca="1" si="112"/>
        <v>0.23253489835305702</v>
      </c>
      <c r="AB563">
        <v>558</v>
      </c>
      <c r="AC563" s="24">
        <f t="shared" ca="1" si="105"/>
        <v>2.1029124722780117</v>
      </c>
      <c r="AD563" s="24">
        <f t="shared" ca="1" si="106"/>
        <v>1.4490692599107495</v>
      </c>
      <c r="AE563" s="24">
        <f t="shared" ca="1" si="107"/>
        <v>1.6211135024713481</v>
      </c>
      <c r="AF563" s="24"/>
      <c r="AG563">
        <v>558</v>
      </c>
      <c r="AH563">
        <f t="shared" ca="1" si="113"/>
        <v>320.70730827526836</v>
      </c>
      <c r="AI563">
        <f t="shared" ca="1" si="114"/>
        <v>169.28517660108952</v>
      </c>
      <c r="AJ563">
        <f t="shared" ca="1" si="115"/>
        <v>54.578051456904966</v>
      </c>
      <c r="AL563">
        <v>558</v>
      </c>
      <c r="AM563" s="4">
        <f t="shared" ca="1" si="108"/>
        <v>3.6411923943142632E-2</v>
      </c>
      <c r="AN563" s="4">
        <f t="shared" ca="1" si="109"/>
        <v>3.0592854391246371E-2</v>
      </c>
      <c r="AO563" s="4">
        <f t="shared" ca="1" si="110"/>
        <v>2.9192017975541384E-2</v>
      </c>
      <c r="AP563" s="4">
        <f t="shared" ca="1" si="111"/>
        <v>3.1918324332103759E-2</v>
      </c>
    </row>
    <row r="564" spans="20:42" x14ac:dyDescent="0.3">
      <c r="T564">
        <v>558</v>
      </c>
      <c r="U564" s="4">
        <v>2.7146893899552267E-3</v>
      </c>
      <c r="V564" s="4"/>
      <c r="W564">
        <v>559</v>
      </c>
      <c r="X564">
        <f t="shared" ca="1" si="112"/>
        <v>-0.51701746851053643</v>
      </c>
      <c r="Y564">
        <f t="shared" ca="1" si="112"/>
        <v>-0.21463009686127923</v>
      </c>
      <c r="Z564">
        <f t="shared" ca="1" si="112"/>
        <v>-0.9619304474958249</v>
      </c>
      <c r="AB564">
        <v>559</v>
      </c>
      <c r="AC564" s="24">
        <f t="shared" ca="1" si="105"/>
        <v>-0.51701746851053643</v>
      </c>
      <c r="AD564" s="24">
        <f t="shared" ca="1" si="106"/>
        <v>-0.55565335509987979</v>
      </c>
      <c r="AE564" s="24">
        <f t="shared" ca="1" si="107"/>
        <v>-0.96944606562408353</v>
      </c>
      <c r="AF564" s="24"/>
      <c r="AG564">
        <v>559</v>
      </c>
      <c r="AH564">
        <f t="shared" ca="1" si="113"/>
        <v>306.73314824366878</v>
      </c>
      <c r="AI564">
        <f t="shared" ca="1" si="114"/>
        <v>162.37419557900344</v>
      </c>
      <c r="AJ564">
        <f t="shared" ca="1" si="115"/>
        <v>52.12565495094632</v>
      </c>
      <c r="AL564">
        <v>559</v>
      </c>
      <c r="AM564" s="4">
        <f t="shared" ca="1" si="108"/>
        <v>-8.7475897633816357E-3</v>
      </c>
      <c r="AN564" s="4">
        <f t="shared" ca="1" si="109"/>
        <v>-1.1480573425643792E-2</v>
      </c>
      <c r="AO564" s="4">
        <f t="shared" ca="1" si="110"/>
        <v>-1.7053438603953697E-2</v>
      </c>
      <c r="AP564" s="4">
        <f t="shared" ca="1" si="111"/>
        <v>-1.2332537880458117E-2</v>
      </c>
    </row>
    <row r="565" spans="20:42" x14ac:dyDescent="0.3">
      <c r="T565">
        <v>559</v>
      </c>
      <c r="U565" s="4">
        <v>2.7465942584788518E-3</v>
      </c>
      <c r="V565" s="4"/>
      <c r="W565">
        <v>560</v>
      </c>
      <c r="X565">
        <f t="shared" ca="1" si="112"/>
        <v>8.346687278309084E-2</v>
      </c>
      <c r="Y565">
        <f t="shared" ca="1" si="112"/>
        <v>0.7843621594467951</v>
      </c>
      <c r="Z565">
        <f t="shared" ca="1" si="112"/>
        <v>-0.94709968395273625</v>
      </c>
      <c r="AB565">
        <v>560</v>
      </c>
      <c r="AC565" s="24">
        <f t="shared" ca="1" si="105"/>
        <v>8.346687278309084E-2</v>
      </c>
      <c r="AD565" s="24">
        <f t="shared" ca="1" si="106"/>
        <v>0.45911729257480144</v>
      </c>
      <c r="AE565" s="24">
        <f t="shared" ca="1" si="107"/>
        <v>-0.19601934571624757</v>
      </c>
      <c r="AF565" s="24"/>
      <c r="AG565">
        <v>560</v>
      </c>
      <c r="AH565">
        <f t="shared" ca="1" si="113"/>
        <v>309.88123654001453</v>
      </c>
      <c r="AI565">
        <f t="shared" ca="1" si="114"/>
        <v>165.83646190330455</v>
      </c>
      <c r="AJ565">
        <f t="shared" ca="1" si="115"/>
        <v>52.846063315204653</v>
      </c>
      <c r="AL565">
        <v>560</v>
      </c>
      <c r="AM565" s="4">
        <f t="shared" ca="1" si="108"/>
        <v>1.4259116310990638E-3</v>
      </c>
      <c r="AN565" s="4">
        <f t="shared" ca="1" si="109"/>
        <v>9.5973910214879332E-3</v>
      </c>
      <c r="AO565" s="4">
        <f t="shared" ca="1" si="110"/>
        <v>-3.4685172228205996E-3</v>
      </c>
      <c r="AP565" s="4">
        <f t="shared" ca="1" si="111"/>
        <v>3.2261747310787132E-3</v>
      </c>
    </row>
    <row r="566" spans="20:42" x14ac:dyDescent="0.3">
      <c r="T566">
        <v>560</v>
      </c>
      <c r="U566" s="4">
        <v>2.7942308900464454E-3</v>
      </c>
      <c r="V566" s="4"/>
      <c r="W566">
        <v>561</v>
      </c>
      <c r="X566">
        <f t="shared" ca="1" si="112"/>
        <v>-0.70064500292966159</v>
      </c>
      <c r="Y566">
        <f t="shared" ca="1" si="112"/>
        <v>-0.88428309156335039</v>
      </c>
      <c r="Z566">
        <f t="shared" ca="1" si="112"/>
        <v>1.7355923450221398</v>
      </c>
      <c r="AB566">
        <v>561</v>
      </c>
      <c r="AC566" s="24">
        <f t="shared" ca="1" si="105"/>
        <v>-0.70064500292966159</v>
      </c>
      <c r="AD566" s="24">
        <f t="shared" ca="1" si="106"/>
        <v>-1.0454063714902795</v>
      </c>
      <c r="AE566" s="24">
        <f t="shared" ca="1" si="107"/>
        <v>6.4851388208468475E-2</v>
      </c>
      <c r="AF566" s="24"/>
      <c r="AG566">
        <v>561</v>
      </c>
      <c r="AH566">
        <f t="shared" ca="1" si="113"/>
        <v>305.77686623929679</v>
      </c>
      <c r="AI566">
        <f t="shared" ca="1" si="114"/>
        <v>160.72917678590494</v>
      </c>
      <c r="AJ566">
        <f t="shared" ca="1" si="115"/>
        <v>53.091290035611223</v>
      </c>
      <c r="AL566">
        <v>561</v>
      </c>
      <c r="AM566" s="4">
        <f t="shared" ca="1" si="108"/>
        <v>-1.1837952989943057E-2</v>
      </c>
      <c r="AN566" s="4">
        <f t="shared" ca="1" si="109"/>
        <v>-2.1495299153824976E-2</v>
      </c>
      <c r="AO566" s="4">
        <f t="shared" ca="1" si="110"/>
        <v>1.1557846073033673E-3</v>
      </c>
      <c r="AP566" s="4">
        <f t="shared" ca="1" si="111"/>
        <v>-1.1802770176321897E-2</v>
      </c>
    </row>
    <row r="567" spans="20:42" x14ac:dyDescent="0.3">
      <c r="T567">
        <v>561</v>
      </c>
      <c r="U567" s="4">
        <v>2.8123457178274029E-3</v>
      </c>
      <c r="V567" s="4"/>
      <c r="W567">
        <v>562</v>
      </c>
      <c r="X567">
        <f t="shared" ca="1" si="112"/>
        <v>-0.47413203214925465</v>
      </c>
      <c r="Y567">
        <f t="shared" ca="1" si="112"/>
        <v>0.99036070683011768</v>
      </c>
      <c r="Z567">
        <f t="shared" ca="1" si="112"/>
        <v>0.23242690241676481</v>
      </c>
      <c r="AB567">
        <v>562</v>
      </c>
      <c r="AC567" s="24">
        <f t="shared" ca="1" si="105"/>
        <v>-0.47413203214925465</v>
      </c>
      <c r="AD567" s="24">
        <f t="shared" ca="1" si="106"/>
        <v>7.5411337560773228E-2</v>
      </c>
      <c r="AE567" s="24">
        <f t="shared" ca="1" si="107"/>
        <v>4.3466739289177714E-3</v>
      </c>
      <c r="AF567" s="24"/>
      <c r="AG567">
        <v>562</v>
      </c>
      <c r="AH567">
        <f t="shared" ca="1" si="113"/>
        <v>306.95691431875264</v>
      </c>
      <c r="AI567">
        <f t="shared" ca="1" si="114"/>
        <v>164.51871090650613</v>
      </c>
      <c r="AJ567">
        <f t="shared" ca="1" si="115"/>
        <v>53.034312530486481</v>
      </c>
      <c r="AL567">
        <v>562</v>
      </c>
      <c r="AM567" s="4">
        <f t="shared" ca="1" si="108"/>
        <v>-8.0244574168253369E-3</v>
      </c>
      <c r="AN567" s="4">
        <f t="shared" ca="1" si="109"/>
        <v>1.575042057245124E-3</v>
      </c>
      <c r="AO567" s="4">
        <f t="shared" ca="1" si="110"/>
        <v>8.1345489137962801E-5</v>
      </c>
      <c r="AP567" s="4">
        <f t="shared" ca="1" si="111"/>
        <v>-1.7529167554081624E-3</v>
      </c>
    </row>
    <row r="568" spans="20:42" x14ac:dyDescent="0.3">
      <c r="T568">
        <v>562</v>
      </c>
      <c r="U568" s="4">
        <v>2.8182615153085964E-3</v>
      </c>
      <c r="V568" s="4"/>
      <c r="W568">
        <v>563</v>
      </c>
      <c r="X568">
        <f t="shared" ca="1" si="112"/>
        <v>-0.90900425036774724</v>
      </c>
      <c r="Y568">
        <f t="shared" ca="1" si="112"/>
        <v>-1.3022706549245311</v>
      </c>
      <c r="Z568">
        <f t="shared" ca="1" si="112"/>
        <v>-0.58819166164124537</v>
      </c>
      <c r="AB568">
        <v>563</v>
      </c>
      <c r="AC568" s="24">
        <f t="shared" ca="1" si="105"/>
        <v>-0.90900425036774724</v>
      </c>
      <c r="AD568" s="24">
        <f t="shared" ca="1" si="106"/>
        <v>-1.4326748060514136</v>
      </c>
      <c r="AE568" s="24">
        <f t="shared" ca="1" si="107"/>
        <v>-1.399957472657317</v>
      </c>
      <c r="AF568" s="24"/>
      <c r="AG568">
        <v>563</v>
      </c>
      <c r="AH568">
        <f t="shared" ca="1" si="113"/>
        <v>304.69539841537073</v>
      </c>
      <c r="AI568">
        <f t="shared" ca="1" si="114"/>
        <v>159.44019865718536</v>
      </c>
      <c r="AJ568">
        <f t="shared" ca="1" si="115"/>
        <v>51.728918354368446</v>
      </c>
      <c r="AL568">
        <v>563</v>
      </c>
      <c r="AM568" s="4">
        <f t="shared" ca="1" si="108"/>
        <v>-1.533287224858304E-2</v>
      </c>
      <c r="AN568" s="4">
        <f t="shared" ca="1" si="109"/>
        <v>-2.9342481497824924E-2</v>
      </c>
      <c r="AO568" s="4">
        <f t="shared" ca="1" si="110"/>
        <v>-2.4534800205130325E-2</v>
      </c>
      <c r="AP568" s="4">
        <f t="shared" ca="1" si="111"/>
        <v>-2.3697294335243979E-2</v>
      </c>
    </row>
    <row r="569" spans="20:42" x14ac:dyDescent="0.3">
      <c r="T569">
        <v>563</v>
      </c>
      <c r="U569" s="4">
        <v>2.8505288537104879E-3</v>
      </c>
      <c r="V569" s="4"/>
      <c r="W569">
        <v>564</v>
      </c>
      <c r="X569">
        <f t="shared" ca="1" si="112"/>
        <v>0.19669034652198347</v>
      </c>
      <c r="Y569">
        <f t="shared" ca="1" si="112"/>
        <v>-0.46172795186518223</v>
      </c>
      <c r="Z569">
        <f t="shared" ca="1" si="112"/>
        <v>-0.38691568447941255</v>
      </c>
      <c r="AB569">
        <v>564</v>
      </c>
      <c r="AC569" s="24">
        <f t="shared" ca="1" si="105"/>
        <v>0.19669034652198347</v>
      </c>
      <c r="AD569" s="24">
        <f t="shared" ca="1" si="106"/>
        <v>-5.6356312823436533E-2</v>
      </c>
      <c r="AE569" s="24">
        <f t="shared" ca="1" si="107"/>
        <v>-0.16328019928659562</v>
      </c>
      <c r="AF569" s="24"/>
      <c r="AG569">
        <v>564</v>
      </c>
      <c r="AH569">
        <f t="shared" ca="1" si="113"/>
        <v>310.47843026298455</v>
      </c>
      <c r="AI569">
        <f t="shared" ca="1" si="114"/>
        <v>164.06860435936238</v>
      </c>
      <c r="AJ569">
        <f t="shared" ca="1" si="115"/>
        <v>52.876776881613452</v>
      </c>
      <c r="AL569">
        <v>564</v>
      </c>
      <c r="AM569" s="4">
        <f t="shared" ca="1" si="108"/>
        <v>3.3558292831747938E-3</v>
      </c>
      <c r="AN569" s="4">
        <f t="shared" ca="1" si="109"/>
        <v>-1.1651659191103114E-3</v>
      </c>
      <c r="AO569" s="4">
        <f t="shared" ca="1" si="110"/>
        <v>-2.8893437905029851E-3</v>
      </c>
      <c r="AP569" s="4">
        <f t="shared" ca="1" si="111"/>
        <v>-3.2612071984258197E-4</v>
      </c>
    </row>
    <row r="570" spans="20:42" x14ac:dyDescent="0.3">
      <c r="T570">
        <v>564</v>
      </c>
      <c r="U570" s="4">
        <v>2.8713855873240606E-3</v>
      </c>
      <c r="V570" s="4"/>
      <c r="W570">
        <v>565</v>
      </c>
      <c r="X570">
        <f t="shared" ca="1" si="112"/>
        <v>0.93004901002208828</v>
      </c>
      <c r="Y570">
        <f t="shared" ca="1" si="112"/>
        <v>-0.12648026759587128</v>
      </c>
      <c r="Z570">
        <f t="shared" ca="1" si="112"/>
        <v>-2.153218904059035</v>
      </c>
      <c r="AB570">
        <v>565</v>
      </c>
      <c r="AC570" s="24">
        <f t="shared" ca="1" si="105"/>
        <v>0.93004901002208828</v>
      </c>
      <c r="AD570" s="24">
        <f t="shared" ca="1" si="106"/>
        <v>0.74698519556394372</v>
      </c>
      <c r="AE570" s="24">
        <f t="shared" ca="1" si="107"/>
        <v>-0.36857542853291125</v>
      </c>
      <c r="AF570" s="24"/>
      <c r="AG570">
        <v>565</v>
      </c>
      <c r="AH570">
        <f t="shared" ca="1" si="113"/>
        <v>314.37447496733938</v>
      </c>
      <c r="AI570">
        <f t="shared" ca="1" si="114"/>
        <v>166.83200390814201</v>
      </c>
      <c r="AJ570">
        <f t="shared" ca="1" si="115"/>
        <v>52.684477889647638</v>
      </c>
      <c r="AL570">
        <v>565</v>
      </c>
      <c r="AM570" s="4">
        <f t="shared" ca="1" si="108"/>
        <v>1.5946459691706272E-2</v>
      </c>
      <c r="AN570" s="4">
        <f t="shared" ca="1" si="109"/>
        <v>1.5658160765371187E-2</v>
      </c>
      <c r="AO570" s="4">
        <f t="shared" ca="1" si="110"/>
        <v>-6.5155741580754656E-3</v>
      </c>
      <c r="AP570" s="4">
        <f t="shared" ca="1" si="111"/>
        <v>9.0925299662377168E-3</v>
      </c>
    </row>
    <row r="571" spans="20:42" x14ac:dyDescent="0.3">
      <c r="T571">
        <v>565</v>
      </c>
      <c r="U571" s="4">
        <v>2.913871434049664E-3</v>
      </c>
      <c r="V571" s="4"/>
      <c r="W571">
        <v>566</v>
      </c>
      <c r="X571">
        <f t="shared" ca="1" si="112"/>
        <v>0.62703788791177284</v>
      </c>
      <c r="Y571">
        <f t="shared" ca="1" si="112"/>
        <v>-1.8155355685906585</v>
      </c>
      <c r="Z571">
        <f t="shared" ca="1" si="112"/>
        <v>0.5183918771651711</v>
      </c>
      <c r="AB571">
        <v>566</v>
      </c>
      <c r="AC571" s="24">
        <f t="shared" ca="1" si="105"/>
        <v>0.62703788791177284</v>
      </c>
      <c r="AD571" s="24">
        <f t="shared" ca="1" si="106"/>
        <v>-0.34895261090593321</v>
      </c>
      <c r="AE571" s="24">
        <f t="shared" ca="1" si="107"/>
        <v>0.27372463287646198</v>
      </c>
      <c r="AF571" s="24"/>
      <c r="AG571">
        <v>566</v>
      </c>
      <c r="AH571">
        <f t="shared" ca="1" si="113"/>
        <v>312.75880446587428</v>
      </c>
      <c r="AI571">
        <f t="shared" ca="1" si="114"/>
        <v>163.0735198559145</v>
      </c>
      <c r="AJ571">
        <f t="shared" ca="1" si="115"/>
        <v>53.288457548609507</v>
      </c>
      <c r="AL571">
        <v>566</v>
      </c>
      <c r="AM571" s="4">
        <f t="shared" ca="1" si="108"/>
        <v>1.0725187429820648E-2</v>
      </c>
      <c r="AN571" s="4">
        <f t="shared" ca="1" si="109"/>
        <v>-7.2231504358849508E-3</v>
      </c>
      <c r="AO571" s="4">
        <f t="shared" ca="1" si="110"/>
        <v>4.8738218982122827E-3</v>
      </c>
      <c r="AP571" s="4">
        <f t="shared" ca="1" si="111"/>
        <v>1.7904426240558989E-3</v>
      </c>
    </row>
    <row r="572" spans="20:42" x14ac:dyDescent="0.3">
      <c r="T572">
        <v>566</v>
      </c>
      <c r="U572" s="4">
        <v>2.9672348233524826E-3</v>
      </c>
      <c r="V572" s="4"/>
      <c r="W572">
        <v>567</v>
      </c>
      <c r="X572">
        <f t="shared" ca="1" si="112"/>
        <v>-0.22633753956242461</v>
      </c>
      <c r="Y572">
        <f t="shared" ca="1" si="112"/>
        <v>7.2719864396610601E-2</v>
      </c>
      <c r="Z572">
        <f t="shared" ca="1" si="112"/>
        <v>1.0236725257176507</v>
      </c>
      <c r="AB572">
        <v>567</v>
      </c>
      <c r="AC572" s="24">
        <f t="shared" ca="1" si="105"/>
        <v>-0.22633753956242461</v>
      </c>
      <c r="AD572" s="24">
        <f t="shared" ca="1" si="106"/>
        <v>-0.16112170609547952</v>
      </c>
      <c r="AE572" s="24">
        <f t="shared" ca="1" si="107"/>
        <v>0.35486096373291715</v>
      </c>
      <c r="AF572" s="24"/>
      <c r="AG572">
        <v>567</v>
      </c>
      <c r="AH572">
        <f t="shared" ca="1" si="113"/>
        <v>308.25304772962522</v>
      </c>
      <c r="AI572">
        <f t="shared" ca="1" si="114"/>
        <v>163.71161405420091</v>
      </c>
      <c r="AJ572">
        <f t="shared" ca="1" si="115"/>
        <v>53.365244125868628</v>
      </c>
      <c r="AL572">
        <v>567</v>
      </c>
      <c r="AM572" s="4">
        <f t="shared" ca="1" si="108"/>
        <v>-3.83581535165467E-3</v>
      </c>
      <c r="AN572" s="4">
        <f t="shared" ca="1" si="109"/>
        <v>-3.3384906305429229E-3</v>
      </c>
      <c r="AO572" s="4">
        <f t="shared" ca="1" si="110"/>
        <v>6.3218056626226371E-3</v>
      </c>
      <c r="AP572" s="4">
        <f t="shared" ca="1" si="111"/>
        <v>-5.8959915892677918E-4</v>
      </c>
    </row>
    <row r="573" spans="20:42" x14ac:dyDescent="0.3">
      <c r="T573">
        <v>567</v>
      </c>
      <c r="U573" s="4">
        <v>3.0042177456300221E-3</v>
      </c>
      <c r="V573" s="4"/>
      <c r="W573">
        <v>568</v>
      </c>
      <c r="X573">
        <f t="shared" ca="1" si="112"/>
        <v>0.92978564686388143</v>
      </c>
      <c r="Y573">
        <f t="shared" ca="1" si="112"/>
        <v>1.4604771077922691</v>
      </c>
      <c r="Z573">
        <f t="shared" ca="1" si="112"/>
        <v>0.39270793237198603</v>
      </c>
      <c r="AB573">
        <v>568</v>
      </c>
      <c r="AC573" s="24">
        <f t="shared" ca="1" si="105"/>
        <v>0.92978564686388143</v>
      </c>
      <c r="AD573" s="24">
        <f t="shared" ca="1" si="106"/>
        <v>1.5287128913562884</v>
      </c>
      <c r="AE573" s="24">
        <f t="shared" ca="1" si="107"/>
        <v>1.3613811401457421</v>
      </c>
      <c r="AF573" s="24"/>
      <c r="AG573">
        <v>568</v>
      </c>
      <c r="AH573">
        <f t="shared" ca="1" si="113"/>
        <v>314.37306708402753</v>
      </c>
      <c r="AI573">
        <f t="shared" ca="1" si="114"/>
        <v>169.56573005044447</v>
      </c>
      <c r="AJ573">
        <f t="shared" ca="1" si="115"/>
        <v>54.327054978924672</v>
      </c>
      <c r="AL573">
        <v>568</v>
      </c>
      <c r="AM573" s="4">
        <f t="shared" ca="1" si="108"/>
        <v>1.5941909913717689E-2</v>
      </c>
      <c r="AN573" s="4">
        <f t="shared" ca="1" si="109"/>
        <v>3.2300838433235723E-2</v>
      </c>
      <c r="AO573" s="4">
        <f t="shared" ca="1" si="110"/>
        <v>2.4458914378369778E-2</v>
      </c>
      <c r="AP573" s="4">
        <f t="shared" ca="1" si="111"/>
        <v>2.5040582660920532E-2</v>
      </c>
    </row>
    <row r="574" spans="20:42" x14ac:dyDescent="0.3">
      <c r="T574">
        <v>568</v>
      </c>
      <c r="U574" s="4">
        <v>3.0396510754311604E-3</v>
      </c>
      <c r="V574" s="4"/>
      <c r="W574">
        <v>569</v>
      </c>
      <c r="X574">
        <f t="shared" ca="1" si="112"/>
        <v>-2.1188088683535176</v>
      </c>
      <c r="Y574">
        <f t="shared" ca="1" si="112"/>
        <v>0.48077983206512559</v>
      </c>
      <c r="Z574">
        <f t="shared" ca="1" si="112"/>
        <v>0.8048877142650539</v>
      </c>
      <c r="AB574">
        <v>569</v>
      </c>
      <c r="AC574" s="24">
        <f t="shared" ca="1" si="105"/>
        <v>-2.1188088683535176</v>
      </c>
      <c r="AD574" s="24">
        <f t="shared" ca="1" si="106"/>
        <v>-1.6068389537872654</v>
      </c>
      <c r="AE574" s="24">
        <f t="shared" ca="1" si="107"/>
        <v>-1.1882180775157118</v>
      </c>
      <c r="AF574" s="24"/>
      <c r="AG574">
        <v>569</v>
      </c>
      <c r="AH574">
        <f t="shared" ca="1" si="113"/>
        <v>298.49118209397284</v>
      </c>
      <c r="AI574">
        <f t="shared" ca="1" si="114"/>
        <v>158.86388819326933</v>
      </c>
      <c r="AJ574">
        <f t="shared" ca="1" si="115"/>
        <v>51.923667420972599</v>
      </c>
      <c r="AL574">
        <v>569</v>
      </c>
      <c r="AM574" s="4">
        <f t="shared" ca="1" si="108"/>
        <v>-3.5382692156959883E-2</v>
      </c>
      <c r="AN574" s="4">
        <f t="shared" ca="1" si="109"/>
        <v>-3.2851007512612163E-2</v>
      </c>
      <c r="AO574" s="4">
        <f t="shared" ca="1" si="110"/>
        <v>-2.0862368165018963E-2</v>
      </c>
      <c r="AP574" s="4">
        <f t="shared" ca="1" si="111"/>
        <v>-3.0013921101638523E-2</v>
      </c>
    </row>
    <row r="575" spans="20:42" x14ac:dyDescent="0.3">
      <c r="T575">
        <v>569</v>
      </c>
      <c r="U575" s="4">
        <v>3.1691743144840463E-3</v>
      </c>
      <c r="V575" s="4"/>
      <c r="W575">
        <v>570</v>
      </c>
      <c r="X575">
        <f t="shared" ca="1" si="112"/>
        <v>0.58945265544293757</v>
      </c>
      <c r="Y575">
        <f t="shared" ca="1" si="112"/>
        <v>0.11846203361966247</v>
      </c>
      <c r="Z575">
        <f t="shared" ca="1" si="112"/>
        <v>-4.7660356145926196E-2</v>
      </c>
      <c r="AB575">
        <v>570</v>
      </c>
      <c r="AC575" s="24">
        <f t="shared" ca="1" si="105"/>
        <v>0.58945265544293757</v>
      </c>
      <c r="AD575" s="24">
        <f t="shared" ca="1" si="106"/>
        <v>0.57129895134293818</v>
      </c>
      <c r="AE575" s="24">
        <f t="shared" ca="1" si="107"/>
        <v>0.4896397641069028</v>
      </c>
      <c r="AF575" s="24"/>
      <c r="AG575">
        <v>570</v>
      </c>
      <c r="AH575">
        <f t="shared" ca="1" si="113"/>
        <v>312.55897784506209</v>
      </c>
      <c r="AI575">
        <f t="shared" ca="1" si="114"/>
        <v>166.22371460901655</v>
      </c>
      <c r="AJ575">
        <f t="shared" ca="1" si="115"/>
        <v>53.493042012171472</v>
      </c>
      <c r="AL575">
        <v>570</v>
      </c>
      <c r="AM575" s="4">
        <f t="shared" ca="1" si="108"/>
        <v>1.0079418882652957E-2</v>
      </c>
      <c r="AN575" s="4">
        <f t="shared" ca="1" si="109"/>
        <v>1.1954950492220062E-2</v>
      </c>
      <c r="AO575" s="4">
        <f t="shared" ca="1" si="110"/>
        <v>8.7317224879033262E-3</v>
      </c>
      <c r="AP575" s="4">
        <f t="shared" ca="1" si="111"/>
        <v>1.0425322608054909E-2</v>
      </c>
    </row>
    <row r="576" spans="20:42" x14ac:dyDescent="0.3">
      <c r="T576">
        <v>570</v>
      </c>
      <c r="U576" s="4">
        <v>3.2022787704831801E-3</v>
      </c>
      <c r="V576" s="4"/>
      <c r="W576">
        <v>571</v>
      </c>
      <c r="X576">
        <f t="shared" ca="1" si="112"/>
        <v>-0.57922143608290688</v>
      </c>
      <c r="Y576">
        <f t="shared" ca="1" si="112"/>
        <v>0.13497561054006274</v>
      </c>
      <c r="Z576">
        <f t="shared" ca="1" si="112"/>
        <v>0.33707667259357149</v>
      </c>
      <c r="AB576">
        <v>571</v>
      </c>
      <c r="AC576" s="24">
        <f t="shared" ca="1" si="105"/>
        <v>-0.57922143608290688</v>
      </c>
      <c r="AD576" s="24">
        <f t="shared" ca="1" si="106"/>
        <v>-0.43751719842364933</v>
      </c>
      <c r="AE576" s="24">
        <f t="shared" ca="1" si="107"/>
        <v>-0.26444489900785645</v>
      </c>
      <c r="AF576" s="24"/>
      <c r="AG576">
        <v>571</v>
      </c>
      <c r="AH576">
        <f t="shared" ca="1" si="113"/>
        <v>306.40887249852943</v>
      </c>
      <c r="AI576">
        <f t="shared" ca="1" si="114"/>
        <v>162.77351398098693</v>
      </c>
      <c r="AJ576">
        <f t="shared" ca="1" si="115"/>
        <v>52.781928864994768</v>
      </c>
      <c r="AL576">
        <v>571</v>
      </c>
      <c r="AM576" s="4">
        <f t="shared" ca="1" si="108"/>
        <v>-9.7955336057449216E-3</v>
      </c>
      <c r="AN576" s="4">
        <f t="shared" ca="1" si="109"/>
        <v>-9.0495590865626863E-3</v>
      </c>
      <c r="AO576" s="4">
        <f t="shared" ca="1" si="110"/>
        <v>-4.6779166511856651E-3</v>
      </c>
      <c r="AP576" s="4">
        <f t="shared" ca="1" si="111"/>
        <v>-7.9618587117042498E-3</v>
      </c>
    </row>
    <row r="577" spans="20:42" x14ac:dyDescent="0.3">
      <c r="T577">
        <v>571</v>
      </c>
      <c r="U577" s="4">
        <v>3.2181409066187384E-3</v>
      </c>
      <c r="V577" s="4"/>
      <c r="W577">
        <v>572</v>
      </c>
      <c r="X577">
        <f t="shared" ca="1" si="112"/>
        <v>0.62693612495261364</v>
      </c>
      <c r="Y577">
        <f t="shared" ca="1" si="112"/>
        <v>-0.88834195316846487</v>
      </c>
      <c r="Z577">
        <f t="shared" ca="1" si="112"/>
        <v>-0.92612170125657134</v>
      </c>
      <c r="AB577">
        <v>572</v>
      </c>
      <c r="AC577" s="24">
        <f t="shared" ca="1" si="105"/>
        <v>0.62693612495261364</v>
      </c>
      <c r="AD577" s="24">
        <f t="shared" ca="1" si="106"/>
        <v>0.10782392209161146</v>
      </c>
      <c r="AE577" s="24">
        <f t="shared" ca="1" si="107"/>
        <v>-0.20352279823941311</v>
      </c>
      <c r="AF577" s="24"/>
      <c r="AG577">
        <v>572</v>
      </c>
      <c r="AH577">
        <f t="shared" ca="1" si="113"/>
        <v>312.75826325784527</v>
      </c>
      <c r="AI577">
        <f t="shared" ca="1" si="114"/>
        <v>164.62961850641108</v>
      </c>
      <c r="AJ577">
        <f t="shared" ca="1" si="115"/>
        <v>52.839026616650145</v>
      </c>
      <c r="AL577">
        <v>572</v>
      </c>
      <c r="AM577" s="4">
        <f t="shared" ca="1" si="108"/>
        <v>1.072343843801371E-2</v>
      </c>
      <c r="AN577" s="4">
        <f t="shared" ca="1" si="109"/>
        <v>2.2502375011383968E-3</v>
      </c>
      <c r="AO577" s="4">
        <f t="shared" ca="1" si="110"/>
        <v>-3.6012100140044856E-3</v>
      </c>
      <c r="AP577" s="4">
        <f t="shared" ca="1" si="111"/>
        <v>3.036763527658126E-3</v>
      </c>
    </row>
    <row r="578" spans="20:42" x14ac:dyDescent="0.3">
      <c r="T578">
        <v>572</v>
      </c>
      <c r="U578" s="4">
        <v>3.2621141231410134E-3</v>
      </c>
      <c r="V578" s="4"/>
      <c r="W578">
        <v>573</v>
      </c>
      <c r="X578">
        <f t="shared" ca="1" si="112"/>
        <v>1.8256031148615786</v>
      </c>
      <c r="Y578">
        <f t="shared" ca="1" si="112"/>
        <v>0.31471899829948513</v>
      </c>
      <c r="Z578">
        <f t="shared" ca="1" si="112"/>
        <v>0.70638591269891393</v>
      </c>
      <c r="AB578">
        <v>573</v>
      </c>
      <c r="AC578" s="24">
        <f t="shared" ca="1" si="105"/>
        <v>1.8256031148615786</v>
      </c>
      <c r="AD578" s="24">
        <f t="shared" ca="1" si="106"/>
        <v>1.7436719573145234</v>
      </c>
      <c r="AE578" s="24">
        <f t="shared" ca="1" si="107"/>
        <v>1.9354852098876707</v>
      </c>
      <c r="AF578" s="24"/>
      <c r="AG578">
        <v>573</v>
      </c>
      <c r="AH578">
        <f t="shared" ca="1" si="113"/>
        <v>319.19856566564874</v>
      </c>
      <c r="AI578">
        <f t="shared" ca="1" si="114"/>
        <v>170.32527016300602</v>
      </c>
      <c r="AJ578">
        <f t="shared" ca="1" si="115"/>
        <v>54.883401244248162</v>
      </c>
      <c r="AL578">
        <v>573</v>
      </c>
      <c r="AM578" s="4">
        <f t="shared" ca="1" si="108"/>
        <v>3.1536204586511296E-2</v>
      </c>
      <c r="AN578" s="4">
        <f t="shared" ca="1" si="109"/>
        <v>3.6924849987856501E-2</v>
      </c>
      <c r="AO578" s="4">
        <f t="shared" ca="1" si="110"/>
        <v>3.4950075572601103E-2</v>
      </c>
      <c r="AP578" s="4">
        <f t="shared" ca="1" si="111"/>
        <v>3.471582404287632E-2</v>
      </c>
    </row>
    <row r="579" spans="20:42" x14ac:dyDescent="0.3">
      <c r="T579">
        <v>573</v>
      </c>
      <c r="U579" s="4">
        <v>3.2631702905471681E-3</v>
      </c>
      <c r="V579" s="4"/>
      <c r="W579">
        <v>574</v>
      </c>
      <c r="X579">
        <f t="shared" ca="1" si="112"/>
        <v>-1.4362125151324936</v>
      </c>
      <c r="Y579">
        <f t="shared" ca="1" si="112"/>
        <v>-0.70044388275170133</v>
      </c>
      <c r="Z579">
        <f t="shared" ca="1" si="112"/>
        <v>-0.26205525807911623</v>
      </c>
      <c r="AB579">
        <v>574</v>
      </c>
      <c r="AC579" s="24">
        <f t="shared" ca="1" si="105"/>
        <v>-1.4362125151324936</v>
      </c>
      <c r="AD579" s="24">
        <f t="shared" ca="1" si="106"/>
        <v>-1.5948952594512287</v>
      </c>
      <c r="AE579" s="24">
        <f t="shared" ca="1" si="107"/>
        <v>-1.4986274981671817</v>
      </c>
      <c r="AF579" s="24"/>
      <c r="AG579">
        <v>574</v>
      </c>
      <c r="AH579">
        <f t="shared" ca="1" si="113"/>
        <v>301.976029168043</v>
      </c>
      <c r="AI579">
        <f t="shared" ca="1" si="114"/>
        <v>158.90334335194922</v>
      </c>
      <c r="AJ579">
        <f t="shared" ca="1" si="115"/>
        <v>51.63841544698596</v>
      </c>
      <c r="AL579">
        <v>574</v>
      </c>
      <c r="AM579" s="4">
        <f t="shared" ca="1" si="108"/>
        <v>-2.4120906199825765E-2</v>
      </c>
      <c r="AN579" s="4">
        <f t="shared" ca="1" si="109"/>
        <v>-3.2610808072703779E-2</v>
      </c>
      <c r="AO579" s="4">
        <f t="shared" ca="1" si="110"/>
        <v>-2.6241436250119654E-2</v>
      </c>
      <c r="AP579" s="4">
        <f t="shared" ca="1" si="111"/>
        <v>-2.8153025964065138E-2</v>
      </c>
    </row>
    <row r="580" spans="20:42" x14ac:dyDescent="0.3">
      <c r="T580">
        <v>574</v>
      </c>
      <c r="U580" s="4">
        <v>3.2698937997224682E-3</v>
      </c>
      <c r="V580" s="4"/>
      <c r="W580">
        <v>575</v>
      </c>
      <c r="X580">
        <f t="shared" ca="1" si="112"/>
        <v>0.86870375756492935</v>
      </c>
      <c r="Y580">
        <f t="shared" ca="1" si="112"/>
        <v>1.6588715025223575</v>
      </c>
      <c r="Z580">
        <f t="shared" ca="1" si="112"/>
        <v>-0.91490389787452098</v>
      </c>
      <c r="AB580">
        <v>575</v>
      </c>
      <c r="AC580" s="24">
        <f t="shared" ca="1" si="105"/>
        <v>0.86870375756492935</v>
      </c>
      <c r="AD580" s="24">
        <f t="shared" ca="1" si="106"/>
        <v>1.5733176407584053</v>
      </c>
      <c r="AE580" s="24">
        <f t="shared" ca="1" si="107"/>
        <v>0.70265729414319433</v>
      </c>
      <c r="AF580" s="24"/>
      <c r="AG580">
        <v>575</v>
      </c>
      <c r="AH580">
        <f t="shared" ca="1" si="113"/>
        <v>314.04670657352915</v>
      </c>
      <c r="AI580">
        <f t="shared" ca="1" si="114"/>
        <v>169.72305825529426</v>
      </c>
      <c r="AJ580">
        <f t="shared" ca="1" si="115"/>
        <v>53.695650618128205</v>
      </c>
      <c r="AL580">
        <v>575</v>
      </c>
      <c r="AM580" s="4">
        <f t="shared" ca="1" si="108"/>
        <v>1.4887228851400369E-2</v>
      </c>
      <c r="AN580" s="4">
        <f t="shared" ca="1" si="109"/>
        <v>3.325863832433007E-2</v>
      </c>
      <c r="AO580" s="4">
        <f t="shared" ca="1" si="110"/>
        <v>1.2552363834699598E-2</v>
      </c>
      <c r="AP580" s="4">
        <f t="shared" ca="1" si="111"/>
        <v>2.1535333135562017E-2</v>
      </c>
    </row>
    <row r="581" spans="20:42" x14ac:dyDescent="0.3">
      <c r="T581">
        <v>575</v>
      </c>
      <c r="U581" s="4">
        <v>3.3039262956514053E-3</v>
      </c>
      <c r="V581" s="4"/>
      <c r="W581">
        <v>576</v>
      </c>
      <c r="X581">
        <f t="shared" ca="1" si="112"/>
        <v>-0.52200196518514619</v>
      </c>
      <c r="Y581">
        <f t="shared" ca="1" si="112"/>
        <v>-0.25057865470258095</v>
      </c>
      <c r="Z581">
        <f t="shared" ca="1" si="112"/>
        <v>0.85373244708338758</v>
      </c>
      <c r="AB581">
        <v>576</v>
      </c>
      <c r="AC581" s="24">
        <f t="shared" ca="1" si="105"/>
        <v>-0.52200196518514619</v>
      </c>
      <c r="AD581" s="24">
        <f t="shared" ca="1" si="106"/>
        <v>-0.5777040291725567</v>
      </c>
      <c r="AE581" s="24">
        <f t="shared" ca="1" si="107"/>
        <v>-6.1960966850670873E-2</v>
      </c>
      <c r="AF581" s="24"/>
      <c r="AG581">
        <v>576</v>
      </c>
      <c r="AH581">
        <f t="shared" ca="1" si="113"/>
        <v>306.70715090135894</v>
      </c>
      <c r="AI581">
        <f t="shared" ca="1" si="114"/>
        <v>162.29976946682839</v>
      </c>
      <c r="AJ581">
        <f t="shared" ca="1" si="115"/>
        <v>52.971940612763049</v>
      </c>
      <c r="AL581">
        <v>576</v>
      </c>
      <c r="AM581" s="4">
        <f t="shared" ca="1" si="108"/>
        <v>-8.8316039247852141E-3</v>
      </c>
      <c r="AN581" s="4">
        <f t="shared" ca="1" si="109"/>
        <v>-1.1933672869598455E-2</v>
      </c>
      <c r="AO581" s="4">
        <f t="shared" ca="1" si="110"/>
        <v>-1.0948174216518503E-3</v>
      </c>
      <c r="AP581" s="4">
        <f t="shared" ca="1" si="111"/>
        <v>-7.7513955517705012E-3</v>
      </c>
    </row>
    <row r="582" spans="20:42" x14ac:dyDescent="0.3">
      <c r="T582">
        <v>576</v>
      </c>
      <c r="U582" s="4">
        <v>3.3218289362141771E-3</v>
      </c>
      <c r="V582" s="4"/>
      <c r="W582">
        <v>577</v>
      </c>
      <c r="X582">
        <f t="shared" ca="1" si="112"/>
        <v>-0.48984625321611552</v>
      </c>
      <c r="Y582">
        <f t="shared" ca="1" si="112"/>
        <v>1.5649816483653738</v>
      </c>
      <c r="Z582">
        <f t="shared" ca="1" si="112"/>
        <v>-0.51152616534878059</v>
      </c>
      <c r="AB582">
        <v>577</v>
      </c>
      <c r="AC582" s="24">
        <f t="shared" ref="AC582:AC645" ca="1" si="116">SUMPRODUCT($Q$24:$S$24,X582:Z582)</f>
        <v>-0.48984625321611552</v>
      </c>
      <c r="AD582" s="24">
        <f t="shared" ref="AD582:AD645" ca="1" si="117">SUMPRODUCT($Q$25:$S$25,X582:Z582)</f>
        <v>0.34487572593484039</v>
      </c>
      <c r="AE582" s="24">
        <f t="shared" ref="AE582:AE645" ca="1" si="118">SUMPRODUCT($Q$26:$S$26,X582:Z582)</f>
        <v>-0.22742524158914518</v>
      </c>
      <c r="AF582" s="24"/>
      <c r="AG582">
        <v>577</v>
      </c>
      <c r="AH582">
        <f t="shared" ca="1" si="113"/>
        <v>306.87490228333758</v>
      </c>
      <c r="AI582">
        <f t="shared" ca="1" si="114"/>
        <v>165.443025539686</v>
      </c>
      <c r="AJ582">
        <f t="shared" ca="1" si="115"/>
        <v>52.816617275964802</v>
      </c>
      <c r="AL582">
        <v>577</v>
      </c>
      <c r="AM582" s="4">
        <f t="shared" ref="AM582:AM645" ca="1" si="119">AH582/$AH$2-1</f>
        <v>-8.2894911382834779E-3</v>
      </c>
      <c r="AN582" s="4">
        <f t="shared" ref="AN582:AN645" ca="1" si="120">AI582/$AI$2-1</f>
        <v>7.2021860003275151E-3</v>
      </c>
      <c r="AO582" s="4">
        <f t="shared" ref="AO582:AO645" ca="1" si="121">AJ582/$AJ$2-1</f>
        <v>-4.0237885771043924E-3</v>
      </c>
      <c r="AP582" s="4">
        <f t="shared" ref="AP582:AP645" ca="1" si="122">SUMPRODUCT($P$6:$R$6,AM582:AO582)</f>
        <v>-8.1310951448535472E-4</v>
      </c>
    </row>
    <row r="583" spans="20:42" x14ac:dyDescent="0.3">
      <c r="T583">
        <v>577</v>
      </c>
      <c r="U583" s="4">
        <v>3.3300494443365023E-3</v>
      </c>
      <c r="V583" s="4"/>
      <c r="W583">
        <v>578</v>
      </c>
      <c r="X583">
        <f t="shared" ref="X583:Z646" ca="1" si="123">_xlfn.NORM.S.INV(RAND())</f>
        <v>0.52824661584278909</v>
      </c>
      <c r="Y583">
        <f t="shared" ca="1" si="123"/>
        <v>1.2561563075567164</v>
      </c>
      <c r="Z583">
        <f t="shared" ca="1" si="123"/>
        <v>-0.25399671167236121</v>
      </c>
      <c r="AB583">
        <v>578</v>
      </c>
      <c r="AC583" s="24">
        <f t="shared" ca="1" si="116"/>
        <v>0.52824661584278909</v>
      </c>
      <c r="AD583" s="24">
        <f t="shared" ca="1" si="117"/>
        <v>1.0786259893331123</v>
      </c>
      <c r="AE583" s="24">
        <f t="shared" ca="1" si="118"/>
        <v>0.64901950374254058</v>
      </c>
      <c r="AF583" s="24"/>
      <c r="AG583">
        <v>578</v>
      </c>
      <c r="AH583">
        <f t="shared" ref="AH583:AH646" ca="1" si="124">$L$21*EXP(($L$19-(($L$20^2)/2))*(1/252)+$L$20*AC583)</f>
        <v>312.23384143322909</v>
      </c>
      <c r="AI583">
        <f t="shared" ref="AI583:AI646" ca="1" si="125">$M$21*EXP(($M$19-(($M$20^2)/2))*(1/252)+$M$20*AD583)</f>
        <v>167.98633786735226</v>
      </c>
      <c r="AJ583">
        <f t="shared" ref="AJ583:AJ646" ca="1" si="126">$N$21*EXP(($N$19-(($N$20^2)/2))*(1/252)+$N$20*AE583)</f>
        <v>53.64456162039216</v>
      </c>
      <c r="AL583">
        <v>578</v>
      </c>
      <c r="AM583" s="4">
        <f t="shared" ca="1" si="119"/>
        <v>9.0286936717307587E-3</v>
      </c>
      <c r="AN583" s="4">
        <f t="shared" ca="1" si="120"/>
        <v>2.2685641575144411E-2</v>
      </c>
      <c r="AO583" s="4">
        <f t="shared" ca="1" si="121"/>
        <v>1.1588965778654536E-2</v>
      </c>
      <c r="AP583" s="4">
        <f t="shared" ca="1" si="122"/>
        <v>1.5259554465173351E-2</v>
      </c>
    </row>
    <row r="584" spans="20:42" x14ac:dyDescent="0.3">
      <c r="T584">
        <v>578</v>
      </c>
      <c r="U584" s="4">
        <v>3.3307928704673587E-3</v>
      </c>
      <c r="V584" s="4"/>
      <c r="W584">
        <v>579</v>
      </c>
      <c r="X584">
        <f t="shared" ca="1" si="123"/>
        <v>0.11044302006000122</v>
      </c>
      <c r="Y584">
        <f t="shared" ca="1" si="123"/>
        <v>-0.15776199120681372</v>
      </c>
      <c r="Z584">
        <f t="shared" ca="1" si="123"/>
        <v>0.10523690176045866</v>
      </c>
      <c r="AB584">
        <v>579</v>
      </c>
      <c r="AC584" s="24">
        <f t="shared" ca="1" si="116"/>
        <v>0.11044302006000122</v>
      </c>
      <c r="AD584" s="24">
        <f t="shared" ca="1" si="117"/>
        <v>1.8369357335123529E-2</v>
      </c>
      <c r="AE584" s="24">
        <f t="shared" ca="1" si="118"/>
        <v>0.10000625464936812</v>
      </c>
      <c r="AF584" s="24"/>
      <c r="AG584">
        <v>579</v>
      </c>
      <c r="AH584">
        <f t="shared" ca="1" si="124"/>
        <v>310.02341707770455</v>
      </c>
      <c r="AI584">
        <f t="shared" ca="1" si="125"/>
        <v>164.3237092123554</v>
      </c>
      <c r="AJ584">
        <f t="shared" ca="1" si="126"/>
        <v>53.124423610563731</v>
      </c>
      <c r="AL584">
        <v>579</v>
      </c>
      <c r="AM584" s="4">
        <f t="shared" ca="1" si="119"/>
        <v>1.8853885460687891E-3</v>
      </c>
      <c r="AN584" s="4">
        <f t="shared" ca="1" si="120"/>
        <v>3.8788936838640709E-4</v>
      </c>
      <c r="AO584" s="4">
        <f t="shared" ca="1" si="121"/>
        <v>1.7805927482652528E-3</v>
      </c>
      <c r="AP584" s="4">
        <f t="shared" ca="1" si="122"/>
        <v>1.2549501356547753E-3</v>
      </c>
    </row>
    <row r="585" spans="20:42" x14ac:dyDescent="0.3">
      <c r="T585">
        <v>579</v>
      </c>
      <c r="U585" s="4">
        <v>3.3547594421264983E-3</v>
      </c>
      <c r="V585" s="4"/>
      <c r="W585">
        <v>580</v>
      </c>
      <c r="X585">
        <f t="shared" ca="1" si="123"/>
        <v>1.5414866534030964</v>
      </c>
      <c r="Y585">
        <f t="shared" ca="1" si="123"/>
        <v>0.23625573421294188</v>
      </c>
      <c r="Z585">
        <f t="shared" ca="1" si="123"/>
        <v>0.65281214749806327</v>
      </c>
      <c r="AB585">
        <v>580</v>
      </c>
      <c r="AC585" s="24">
        <f t="shared" ca="1" si="116"/>
        <v>1.5414866534030964</v>
      </c>
      <c r="AD585" s="24">
        <f t="shared" ca="1" si="117"/>
        <v>1.4577784494253736</v>
      </c>
      <c r="AE585" s="24">
        <f t="shared" ca="1" si="118"/>
        <v>1.654732688189871</v>
      </c>
      <c r="AF585" s="24"/>
      <c r="AG585">
        <v>580</v>
      </c>
      <c r="AH585">
        <f t="shared" ca="1" si="124"/>
        <v>317.6601489587149</v>
      </c>
      <c r="AI585">
        <f t="shared" ca="1" si="125"/>
        <v>169.31583306041881</v>
      </c>
      <c r="AJ585">
        <f t="shared" ca="1" si="126"/>
        <v>54.610624539783757</v>
      </c>
      <c r="AL585">
        <v>580</v>
      </c>
      <c r="AM585" s="4">
        <f t="shared" ca="1" si="119"/>
        <v>2.6564589104362435E-2</v>
      </c>
      <c r="AN585" s="4">
        <f t="shared" ca="1" si="120"/>
        <v>3.077948814477427E-2</v>
      </c>
      <c r="AO585" s="4">
        <f t="shared" ca="1" si="121"/>
        <v>2.980625677675941E-2</v>
      </c>
      <c r="AP585" s="4">
        <f t="shared" ca="1" si="122"/>
        <v>2.9223049022246261E-2</v>
      </c>
    </row>
    <row r="586" spans="20:42" x14ac:dyDescent="0.3">
      <c r="T586">
        <v>580</v>
      </c>
      <c r="U586" s="4">
        <v>3.417533689939356E-3</v>
      </c>
      <c r="V586" s="4"/>
      <c r="W586">
        <v>581</v>
      </c>
      <c r="X586">
        <f t="shared" ca="1" si="123"/>
        <v>-0.49246910342779049</v>
      </c>
      <c r="Y586">
        <f t="shared" ca="1" si="123"/>
        <v>0.33010974989811137</v>
      </c>
      <c r="Z586">
        <f t="shared" ca="1" si="123"/>
        <v>1.0817986782862428</v>
      </c>
      <c r="AB586">
        <v>581</v>
      </c>
      <c r="AC586" s="24">
        <f t="shared" ca="1" si="116"/>
        <v>-0.49246910342779049</v>
      </c>
      <c r="AD586" s="24">
        <f t="shared" ca="1" si="117"/>
        <v>-0.26587700067829106</v>
      </c>
      <c r="AE586" s="24">
        <f t="shared" ca="1" si="118"/>
        <v>0.23818876230986719</v>
      </c>
      <c r="AF586" s="24"/>
      <c r="AG586">
        <v>581</v>
      </c>
      <c r="AH586">
        <f t="shared" ca="1" si="124"/>
        <v>306.8612158429388</v>
      </c>
      <c r="AI586">
        <f t="shared" ca="1" si="125"/>
        <v>163.35543480919102</v>
      </c>
      <c r="AJ586">
        <f t="shared" ca="1" si="126"/>
        <v>53.254861573242316</v>
      </c>
      <c r="AL586">
        <v>581</v>
      </c>
      <c r="AM586" s="4">
        <f t="shared" ca="1" si="119"/>
        <v>-8.3337208444972388E-3</v>
      </c>
      <c r="AN586" s="4">
        <f t="shared" ca="1" si="120"/>
        <v>-5.5068776810798248E-3</v>
      </c>
      <c r="AO586" s="4">
        <f t="shared" ca="1" si="121"/>
        <v>4.2402941565464758E-3</v>
      </c>
      <c r="AP586" s="4">
        <f t="shared" ca="1" si="122"/>
        <v>-3.4307790788171586E-3</v>
      </c>
    </row>
    <row r="587" spans="20:42" x14ac:dyDescent="0.3">
      <c r="T587">
        <v>581</v>
      </c>
      <c r="U587" s="4">
        <v>3.423235480625942E-3</v>
      </c>
      <c r="V587" s="4"/>
      <c r="W587">
        <v>582</v>
      </c>
      <c r="X587">
        <f t="shared" ca="1" si="123"/>
        <v>2.0182168145480559</v>
      </c>
      <c r="Y587">
        <f t="shared" ca="1" si="123"/>
        <v>-0.13372498977574621</v>
      </c>
      <c r="Z587">
        <f t="shared" ca="1" si="123"/>
        <v>0.9870303879550717</v>
      </c>
      <c r="AB587">
        <v>582</v>
      </c>
      <c r="AC587" s="24">
        <f t="shared" ca="1" si="116"/>
        <v>2.0182168145480559</v>
      </c>
      <c r="AD587" s="24">
        <f t="shared" ca="1" si="117"/>
        <v>1.6903137771799424</v>
      </c>
      <c r="AE587" s="24">
        <f t="shared" ca="1" si="118"/>
        <v>2.1113416614729008</v>
      </c>
      <c r="AF587" s="24"/>
      <c r="AG587">
        <v>582</v>
      </c>
      <c r="AH587">
        <f t="shared" ca="1" si="124"/>
        <v>320.24575415084718</v>
      </c>
      <c r="AI587">
        <f t="shared" ca="1" si="125"/>
        <v>170.13641658530224</v>
      </c>
      <c r="AJ587">
        <f t="shared" ca="1" si="126"/>
        <v>55.054955415122272</v>
      </c>
      <c r="AL587">
        <v>582</v>
      </c>
      <c r="AM587" s="4">
        <f t="shared" ca="1" si="119"/>
        <v>3.4920345217768878E-2</v>
      </c>
      <c r="AN587" s="4">
        <f t="shared" ca="1" si="120"/>
        <v>3.5775126476232266E-2</v>
      </c>
      <c r="AO587" s="4">
        <f t="shared" ca="1" si="121"/>
        <v>3.8185115640923417E-2</v>
      </c>
      <c r="AP587" s="4">
        <f t="shared" ca="1" si="122"/>
        <v>3.6241688848100598E-2</v>
      </c>
    </row>
    <row r="588" spans="20:42" x14ac:dyDescent="0.3">
      <c r="T588">
        <v>582</v>
      </c>
      <c r="U588" s="4">
        <v>3.4699895513259135E-3</v>
      </c>
      <c r="V588" s="4"/>
      <c r="W588">
        <v>583</v>
      </c>
      <c r="X588">
        <f t="shared" ca="1" si="123"/>
        <v>1.0710374121001036</v>
      </c>
      <c r="Y588">
        <f t="shared" ca="1" si="123"/>
        <v>0.24798180858122615</v>
      </c>
      <c r="Z588">
        <f t="shared" ca="1" si="123"/>
        <v>1.6133808961079719</v>
      </c>
      <c r="AB588">
        <v>583</v>
      </c>
      <c r="AC588" s="24">
        <f t="shared" ca="1" si="116"/>
        <v>1.0710374121001036</v>
      </c>
      <c r="AD588" s="24">
        <f t="shared" ca="1" si="117"/>
        <v>1.0541823510215558</v>
      </c>
      <c r="AE588" s="24">
        <f t="shared" ca="1" si="118"/>
        <v>1.7614798500666784</v>
      </c>
      <c r="AF588" s="24"/>
      <c r="AG588">
        <v>583</v>
      </c>
      <c r="AH588">
        <f t="shared" ca="1" si="124"/>
        <v>315.12907479748861</v>
      </c>
      <c r="AI588">
        <f t="shared" ca="1" si="125"/>
        <v>167.90098552206067</v>
      </c>
      <c r="AJ588">
        <f t="shared" ca="1" si="126"/>
        <v>54.71417904549719</v>
      </c>
      <c r="AL588">
        <v>583</v>
      </c>
      <c r="AM588" s="4">
        <f t="shared" ca="1" si="119"/>
        <v>1.8385057882617684E-2</v>
      </c>
      <c r="AN588" s="4">
        <f t="shared" ca="1" si="120"/>
        <v>2.216602421153846E-2</v>
      </c>
      <c r="AO588" s="4">
        <f t="shared" ca="1" si="121"/>
        <v>3.1759010088039163E-2</v>
      </c>
      <c r="AP588" s="4">
        <f t="shared" ca="1" si="122"/>
        <v>2.3909630075812434E-2</v>
      </c>
    </row>
    <row r="589" spans="20:42" x14ac:dyDescent="0.3">
      <c r="T589">
        <v>583</v>
      </c>
      <c r="U589" s="4">
        <v>3.5037562201510886E-3</v>
      </c>
      <c r="V589" s="4"/>
      <c r="W589">
        <v>584</v>
      </c>
      <c r="X589">
        <f t="shared" ca="1" si="123"/>
        <v>2.5336305178879246</v>
      </c>
      <c r="Y589">
        <f t="shared" ca="1" si="123"/>
        <v>4.9621461678197275E-2</v>
      </c>
      <c r="Z589">
        <f t="shared" ca="1" si="123"/>
        <v>0.11571981358642876</v>
      </c>
      <c r="AB589">
        <v>584</v>
      </c>
      <c r="AC589" s="24">
        <f t="shared" ca="1" si="116"/>
        <v>2.5336305178879246</v>
      </c>
      <c r="AD589" s="24">
        <f t="shared" ca="1" si="117"/>
        <v>2.2291568796792425</v>
      </c>
      <c r="AE589" s="24">
        <f t="shared" ca="1" si="118"/>
        <v>2.1404447180284931</v>
      </c>
      <c r="AF589" s="24"/>
      <c r="AG589">
        <v>584</v>
      </c>
      <c r="AH589">
        <f t="shared" ca="1" si="124"/>
        <v>323.06484601264555</v>
      </c>
      <c r="AI589">
        <f t="shared" ca="1" si="125"/>
        <v>172.05323362414109</v>
      </c>
      <c r="AJ589">
        <f t="shared" ca="1" si="126"/>
        <v>55.083398143942652</v>
      </c>
      <c r="AL589">
        <v>584</v>
      </c>
      <c r="AM589" s="4">
        <f t="shared" ca="1" si="119"/>
        <v>4.4030647181175109E-2</v>
      </c>
      <c r="AN589" s="4">
        <f t="shared" ca="1" si="120"/>
        <v>4.7444535358131867E-2</v>
      </c>
      <c r="AO589" s="4">
        <f t="shared" ca="1" si="121"/>
        <v>3.8721467318749259E-2</v>
      </c>
      <c r="AP589" s="4">
        <f t="shared" ca="1" si="122"/>
        <v>4.3803448493230063E-2</v>
      </c>
    </row>
    <row r="590" spans="20:42" x14ac:dyDescent="0.3">
      <c r="T590">
        <v>584</v>
      </c>
      <c r="U590" s="4">
        <v>3.6252061437088258E-3</v>
      </c>
      <c r="V590" s="4"/>
      <c r="W590">
        <v>585</v>
      </c>
      <c r="X590">
        <f t="shared" ca="1" si="123"/>
        <v>-0.23792674615625453</v>
      </c>
      <c r="Y590">
        <f t="shared" ca="1" si="123"/>
        <v>1.1667572835401283</v>
      </c>
      <c r="Z590">
        <f t="shared" ca="1" si="123"/>
        <v>0.19974635696225992</v>
      </c>
      <c r="AB590">
        <v>585</v>
      </c>
      <c r="AC590" s="24">
        <f t="shared" ca="1" si="116"/>
        <v>-0.23792674615625453</v>
      </c>
      <c r="AD590" s="24">
        <f t="shared" ca="1" si="117"/>
        <v>0.36786928266955859</v>
      </c>
      <c r="AE590" s="24">
        <f t="shared" ca="1" si="118"/>
        <v>0.22925156722551218</v>
      </c>
      <c r="AF590" s="24"/>
      <c r="AG590">
        <v>585</v>
      </c>
      <c r="AH590">
        <f t="shared" ca="1" si="124"/>
        <v>308.19230649338942</v>
      </c>
      <c r="AI590">
        <f t="shared" ca="1" si="125"/>
        <v>165.52213791713925</v>
      </c>
      <c r="AJ590">
        <f t="shared" ca="1" si="126"/>
        <v>53.246415591466771</v>
      </c>
      <c r="AL590">
        <v>585</v>
      </c>
      <c r="AM590" s="4">
        <f t="shared" ca="1" si="119"/>
        <v>-4.0321094175691519E-3</v>
      </c>
      <c r="AN590" s="4">
        <f t="shared" ca="1" si="120"/>
        <v>7.6838150037301656E-3</v>
      </c>
      <c r="AO590" s="4">
        <f t="shared" ca="1" si="121"/>
        <v>4.0810261578672069E-3</v>
      </c>
      <c r="AP590" s="4">
        <f t="shared" ca="1" si="122"/>
        <v>3.0882010235814827E-3</v>
      </c>
    </row>
    <row r="591" spans="20:42" x14ac:dyDescent="0.3">
      <c r="T591">
        <v>585</v>
      </c>
      <c r="U591" s="4">
        <v>3.6469066865938535E-3</v>
      </c>
      <c r="V591" s="4"/>
      <c r="W591">
        <v>586</v>
      </c>
      <c r="X591">
        <f t="shared" ca="1" si="123"/>
        <v>-1.7929175591994091</v>
      </c>
      <c r="Y591">
        <f t="shared" ca="1" si="123"/>
        <v>0.96107278573751376</v>
      </c>
      <c r="Z591">
        <f t="shared" ca="1" si="123"/>
        <v>1.89942369516814</v>
      </c>
      <c r="AB591">
        <v>586</v>
      </c>
      <c r="AC591" s="24">
        <f t="shared" ca="1" si="116"/>
        <v>-1.7929175591994091</v>
      </c>
      <c r="AD591" s="24">
        <f t="shared" ca="1" si="117"/>
        <v>-1.0865965115261349</v>
      </c>
      <c r="AE591" s="24">
        <f t="shared" ca="1" si="118"/>
        <v>-0.23413962178337766</v>
      </c>
      <c r="AF591" s="24"/>
      <c r="AG591">
        <v>586</v>
      </c>
      <c r="AH591">
        <f t="shared" ca="1" si="124"/>
        <v>300.1499037957455</v>
      </c>
      <c r="AI591">
        <f t="shared" ca="1" si="125"/>
        <v>160.59158641618927</v>
      </c>
      <c r="AJ591">
        <f t="shared" ca="1" si="126"/>
        <v>52.810324029805201</v>
      </c>
      <c r="AL591">
        <v>586</v>
      </c>
      <c r="AM591" s="4">
        <f t="shared" ca="1" si="119"/>
        <v>-3.002229373178622E-2</v>
      </c>
      <c r="AN591" s="4">
        <f t="shared" ca="1" si="120"/>
        <v>-2.2332936888617039E-2</v>
      </c>
      <c r="AO591" s="4">
        <f t="shared" ca="1" si="121"/>
        <v>-4.1424618998361362E-3</v>
      </c>
      <c r="AP591" s="4">
        <f t="shared" ca="1" si="122"/>
        <v>-1.9182601444933525E-2</v>
      </c>
    </row>
    <row r="592" spans="20:42" x14ac:dyDescent="0.3">
      <c r="T592">
        <v>586</v>
      </c>
      <c r="U592" s="4">
        <v>3.6566034822901549E-3</v>
      </c>
      <c r="V592" s="4"/>
      <c r="W592">
        <v>587</v>
      </c>
      <c r="X592">
        <f t="shared" ca="1" si="123"/>
        <v>2.2005893867956656</v>
      </c>
      <c r="Y592">
        <f t="shared" ca="1" si="123"/>
        <v>-6.4437860615284684E-2</v>
      </c>
      <c r="Z592">
        <f t="shared" ca="1" si="123"/>
        <v>0.21355639759896741</v>
      </c>
      <c r="AB592">
        <v>587</v>
      </c>
      <c r="AC592" s="24">
        <f t="shared" ca="1" si="116"/>
        <v>2.2005893867956656</v>
      </c>
      <c r="AD592" s="24">
        <f t="shared" ca="1" si="117"/>
        <v>1.8831506705624244</v>
      </c>
      <c r="AE592" s="24">
        <f t="shared" ca="1" si="118"/>
        <v>1.8867754941753097</v>
      </c>
      <c r="AF592" s="24"/>
      <c r="AG592">
        <v>587</v>
      </c>
      <c r="AH592">
        <f t="shared" ca="1" si="124"/>
        <v>321.24043057068644</v>
      </c>
      <c r="AI592">
        <f t="shared" ca="1" si="125"/>
        <v>170.81992572131784</v>
      </c>
      <c r="AJ592">
        <f t="shared" ca="1" si="126"/>
        <v>54.83597781054317</v>
      </c>
      <c r="AL592">
        <v>587</v>
      </c>
      <c r="AM592" s="4">
        <f t="shared" ca="1" si="119"/>
        <v>3.8134785535735238E-2</v>
      </c>
      <c r="AN592" s="4">
        <f t="shared" ca="1" si="120"/>
        <v>3.9936268317663171E-2</v>
      </c>
      <c r="AO592" s="4">
        <f t="shared" ca="1" si="121"/>
        <v>3.4055799977718237E-2</v>
      </c>
      <c r="AP592" s="4">
        <f t="shared" ca="1" si="122"/>
        <v>3.7631682981101311E-2</v>
      </c>
    </row>
    <row r="593" spans="20:42" x14ac:dyDescent="0.3">
      <c r="T593">
        <v>587</v>
      </c>
      <c r="U593" s="4">
        <v>3.6715607045472165E-3</v>
      </c>
      <c r="V593" s="4"/>
      <c r="W593">
        <v>588</v>
      </c>
      <c r="X593">
        <f t="shared" ca="1" si="123"/>
        <v>0.78303354660971147</v>
      </c>
      <c r="Y593">
        <f t="shared" ca="1" si="123"/>
        <v>-0.41214655560209651</v>
      </c>
      <c r="Z593">
        <f t="shared" ca="1" si="123"/>
        <v>0.52911389976479017</v>
      </c>
      <c r="AB593">
        <v>588</v>
      </c>
      <c r="AC593" s="24">
        <f t="shared" ca="1" si="116"/>
        <v>0.78303354660971147</v>
      </c>
      <c r="AD593" s="24">
        <f t="shared" ca="1" si="117"/>
        <v>0.47829663954213952</v>
      </c>
      <c r="AE593" s="24">
        <f t="shared" ca="1" si="118"/>
        <v>0.79389485631487722</v>
      </c>
      <c r="AF593" s="24"/>
      <c r="AG593">
        <v>588</v>
      </c>
      <c r="AH593">
        <f t="shared" ca="1" si="124"/>
        <v>313.58954142362529</v>
      </c>
      <c r="AI593">
        <f t="shared" ca="1" si="125"/>
        <v>165.90260529109094</v>
      </c>
      <c r="AJ593">
        <f t="shared" ca="1" si="126"/>
        <v>53.782664494082361</v>
      </c>
      <c r="AL593">
        <v>588</v>
      </c>
      <c r="AM593" s="4">
        <f t="shared" ca="1" si="119"/>
        <v>1.3409833730223752E-2</v>
      </c>
      <c r="AN593" s="4">
        <f t="shared" ca="1" si="120"/>
        <v>1.0000065987994411E-2</v>
      </c>
      <c r="AO593" s="4">
        <f t="shared" ca="1" si="121"/>
        <v>1.4193206338134257E-2</v>
      </c>
      <c r="AP593" s="4">
        <f t="shared" ca="1" si="122"/>
        <v>1.2280938415705166E-2</v>
      </c>
    </row>
    <row r="594" spans="20:42" x14ac:dyDescent="0.3">
      <c r="T594">
        <v>588</v>
      </c>
      <c r="U594" s="4">
        <v>3.7017968158356233E-3</v>
      </c>
      <c r="V594" s="4"/>
      <c r="W594">
        <v>589</v>
      </c>
      <c r="X594">
        <f t="shared" ca="1" si="123"/>
        <v>-0.13839218433568237</v>
      </c>
      <c r="Y594">
        <f t="shared" ca="1" si="123"/>
        <v>-1.5821792893639959</v>
      </c>
      <c r="Z594">
        <f t="shared" ca="1" si="123"/>
        <v>2.2273595897687577</v>
      </c>
      <c r="AB594">
        <v>589</v>
      </c>
      <c r="AC594" s="24">
        <f t="shared" ca="1" si="116"/>
        <v>-0.13839218433568237</v>
      </c>
      <c r="AD594" s="24">
        <f t="shared" ca="1" si="117"/>
        <v>-0.90002817946612323</v>
      </c>
      <c r="AE594" s="24">
        <f t="shared" ca="1" si="118"/>
        <v>0.58070485692432117</v>
      </c>
      <c r="AF594" s="24"/>
      <c r="AG594">
        <v>589</v>
      </c>
      <c r="AH594">
        <f t="shared" ca="1" si="124"/>
        <v>308.71437635107412</v>
      </c>
      <c r="AI594">
        <f t="shared" ca="1" si="125"/>
        <v>161.21573690259288</v>
      </c>
      <c r="AJ594">
        <f t="shared" ca="1" si="126"/>
        <v>53.579563563617789</v>
      </c>
      <c r="AL594">
        <v>589</v>
      </c>
      <c r="AM594" s="4">
        <f t="shared" ca="1" si="119"/>
        <v>-2.3449653716614005E-3</v>
      </c>
      <c r="AN594" s="4">
        <f t="shared" ca="1" si="120"/>
        <v>-1.853316514092207E-2</v>
      </c>
      <c r="AO594" s="4">
        <f t="shared" ca="1" si="121"/>
        <v>1.0363281104497135E-2</v>
      </c>
      <c r="AP594" s="4">
        <f t="shared" ca="1" si="122"/>
        <v>-5.0077713365181071E-3</v>
      </c>
    </row>
    <row r="595" spans="20:42" x14ac:dyDescent="0.3">
      <c r="T595">
        <v>589</v>
      </c>
      <c r="U595" s="4">
        <v>3.7032365782385E-3</v>
      </c>
      <c r="V595" s="4"/>
      <c r="W595">
        <v>590</v>
      </c>
      <c r="X595">
        <f t="shared" ca="1" si="123"/>
        <v>1.3911574086572764</v>
      </c>
      <c r="Y595">
        <f t="shared" ca="1" si="123"/>
        <v>-1.6712166069518795</v>
      </c>
      <c r="Z595">
        <f t="shared" ca="1" si="123"/>
        <v>0.38023109810455924</v>
      </c>
      <c r="AB595">
        <v>590</v>
      </c>
      <c r="AC595" s="24">
        <f t="shared" ca="1" si="116"/>
        <v>1.3911574086572764</v>
      </c>
      <c r="AD595" s="24">
        <f t="shared" ca="1" si="117"/>
        <v>0.38707812326665492</v>
      </c>
      <c r="AE595" s="24">
        <f t="shared" ca="1" si="118"/>
        <v>0.86713953434046309</v>
      </c>
      <c r="AF595" s="24"/>
      <c r="AG595">
        <v>590</v>
      </c>
      <c r="AH595">
        <f t="shared" ca="1" si="124"/>
        <v>316.84915695086914</v>
      </c>
      <c r="AI595">
        <f t="shared" ca="1" si="125"/>
        <v>165.58825747923572</v>
      </c>
      <c r="AJ595">
        <f t="shared" ca="1" si="126"/>
        <v>53.852620461216802</v>
      </c>
      <c r="AL595">
        <v>590</v>
      </c>
      <c r="AM595" s="4">
        <f t="shared" ca="1" si="119"/>
        <v>2.3943751457493168E-2</v>
      </c>
      <c r="AN595" s="4">
        <f t="shared" ca="1" si="120"/>
        <v>8.086344921589772E-3</v>
      </c>
      <c r="AO595" s="4">
        <f t="shared" ca="1" si="121"/>
        <v>1.5512383572619637E-2</v>
      </c>
      <c r="AP595" s="4">
        <f t="shared" ca="1" si="122"/>
        <v>1.5071378477669749E-2</v>
      </c>
    </row>
    <row r="596" spans="20:42" x14ac:dyDescent="0.3">
      <c r="T596">
        <v>590</v>
      </c>
      <c r="U596" s="4">
        <v>3.7404862575603163E-3</v>
      </c>
      <c r="V596" s="4"/>
      <c r="W596">
        <v>591</v>
      </c>
      <c r="X596">
        <f t="shared" ca="1" si="123"/>
        <v>-0.82196767979890673</v>
      </c>
      <c r="Y596">
        <f t="shared" ca="1" si="123"/>
        <v>1.3259077711533487</v>
      </c>
      <c r="Z596">
        <f t="shared" ca="1" si="123"/>
        <v>-0.3652195119217963</v>
      </c>
      <c r="AB596">
        <v>591</v>
      </c>
      <c r="AC596" s="24">
        <f t="shared" ca="1" si="116"/>
        <v>-0.82196767979890673</v>
      </c>
      <c r="AD596" s="24">
        <f t="shared" ca="1" si="117"/>
        <v>-6.1929809388893031E-2</v>
      </c>
      <c r="AE596" s="24">
        <f t="shared" ca="1" si="118"/>
        <v>-0.49025431103541178</v>
      </c>
      <c r="AF596" s="24"/>
      <c r="AG596">
        <v>591</v>
      </c>
      <c r="AH596">
        <f t="shared" ca="1" si="124"/>
        <v>305.14668707725031</v>
      </c>
      <c r="AI596">
        <f t="shared" ca="1" si="125"/>
        <v>164.04959296108578</v>
      </c>
      <c r="AJ596">
        <f t="shared" ca="1" si="126"/>
        <v>52.570832153633262</v>
      </c>
      <c r="AL596">
        <v>591</v>
      </c>
      <c r="AM596" s="4">
        <f t="shared" ca="1" si="119"/>
        <v>-1.3874467846052618E-2</v>
      </c>
      <c r="AN596" s="4">
        <f t="shared" ca="1" si="120"/>
        <v>-1.2809055934825953E-3</v>
      </c>
      <c r="AO596" s="4">
        <f t="shared" ca="1" si="121"/>
        <v>-8.6586203325125233E-3</v>
      </c>
      <c r="AP596" s="4">
        <f t="shared" ca="1" si="122"/>
        <v>-7.2722886909625806E-3</v>
      </c>
    </row>
    <row r="597" spans="20:42" x14ac:dyDescent="0.3">
      <c r="T597">
        <v>591</v>
      </c>
      <c r="U597" s="4">
        <v>3.7703707645579065E-3</v>
      </c>
      <c r="V597" s="4"/>
      <c r="W597">
        <v>592</v>
      </c>
      <c r="X597">
        <f t="shared" ca="1" si="123"/>
        <v>-0.21494975377148148</v>
      </c>
      <c r="Y597">
        <f t="shared" ca="1" si="123"/>
        <v>1.7377035428282916</v>
      </c>
      <c r="Z597">
        <f t="shared" ca="1" si="123"/>
        <v>-0.58870273951305629</v>
      </c>
      <c r="AB597">
        <v>592</v>
      </c>
      <c r="AC597" s="24">
        <f t="shared" ca="1" si="116"/>
        <v>-0.21494975377148148</v>
      </c>
      <c r="AD597" s="24">
        <f t="shared" ca="1" si="117"/>
        <v>0.66919120438115465</v>
      </c>
      <c r="AE597" s="24">
        <f t="shared" ca="1" si="118"/>
        <v>5.4636516676482838E-3</v>
      </c>
      <c r="AF597" s="24"/>
      <c r="AG597">
        <v>592</v>
      </c>
      <c r="AH597">
        <f t="shared" ca="1" si="124"/>
        <v>308.31274494223288</v>
      </c>
      <c r="AI597">
        <f t="shared" ca="1" si="125"/>
        <v>166.5623788555408</v>
      </c>
      <c r="AJ597">
        <f t="shared" ca="1" si="126"/>
        <v>53.035363838194378</v>
      </c>
      <c r="AL597">
        <v>592</v>
      </c>
      <c r="AM597" s="4">
        <f t="shared" ca="1" si="119"/>
        <v>-3.6428951986794411E-3</v>
      </c>
      <c r="AN597" s="4">
        <f t="shared" ca="1" si="120"/>
        <v>1.4016707815060814E-2</v>
      </c>
      <c r="AO597" s="4">
        <f t="shared" ca="1" si="121"/>
        <v>1.0117026251332817E-4</v>
      </c>
      <c r="AP597" s="4">
        <f t="shared" ca="1" si="122"/>
        <v>4.5441656451744921E-3</v>
      </c>
    </row>
    <row r="598" spans="20:42" x14ac:dyDescent="0.3">
      <c r="T598">
        <v>592</v>
      </c>
      <c r="U598" s="4">
        <v>3.7856318339282826E-3</v>
      </c>
      <c r="V598" s="4"/>
      <c r="W598">
        <v>593</v>
      </c>
      <c r="X598">
        <f t="shared" ca="1" si="123"/>
        <v>-0.58956132452617849</v>
      </c>
      <c r="Y598">
        <f t="shared" ca="1" si="123"/>
        <v>0.26617224301429782</v>
      </c>
      <c r="Z598">
        <f t="shared" ca="1" si="123"/>
        <v>-1.2327647161159732</v>
      </c>
      <c r="AB598">
        <v>593</v>
      </c>
      <c r="AC598" s="24">
        <f t="shared" ca="1" si="116"/>
        <v>-0.58956132452617849</v>
      </c>
      <c r="AD598" s="24">
        <f t="shared" ca="1" si="117"/>
        <v>-0.3818689425181605</v>
      </c>
      <c r="AE598" s="24">
        <f t="shared" ca="1" si="118"/>
        <v>-1.0333870403668493</v>
      </c>
      <c r="AF598" s="24"/>
      <c r="AG598">
        <v>593</v>
      </c>
      <c r="AH598">
        <f t="shared" ca="1" si="124"/>
        <v>306.35500282475977</v>
      </c>
      <c r="AI598">
        <f t="shared" ca="1" si="125"/>
        <v>162.96195375045662</v>
      </c>
      <c r="AJ598">
        <f t="shared" ca="1" si="126"/>
        <v>52.066538483598833</v>
      </c>
      <c r="AL598">
        <v>593</v>
      </c>
      <c r="AM598" s="4">
        <f t="shared" ca="1" si="119"/>
        <v>-9.9696212264295259E-3</v>
      </c>
      <c r="AN598" s="4">
        <f t="shared" ca="1" si="120"/>
        <v>-7.902354802065803E-3</v>
      </c>
      <c r="AO598" s="4">
        <f t="shared" ca="1" si="121"/>
        <v>-1.8168212669733341E-2</v>
      </c>
      <c r="AP598" s="4">
        <f t="shared" ca="1" si="122"/>
        <v>-1.1602292089675181E-2</v>
      </c>
    </row>
    <row r="599" spans="20:42" x14ac:dyDescent="0.3">
      <c r="T599">
        <v>593</v>
      </c>
      <c r="U599" s="4">
        <v>3.9923545216156596E-3</v>
      </c>
      <c r="V599" s="4"/>
      <c r="W599">
        <v>594</v>
      </c>
      <c r="X599">
        <f t="shared" ca="1" si="123"/>
        <v>-0.82621991092734826</v>
      </c>
      <c r="Y599">
        <f t="shared" ca="1" si="123"/>
        <v>-1.5886557774628536</v>
      </c>
      <c r="Z599">
        <f t="shared" ca="1" si="123"/>
        <v>2.439190734863939</v>
      </c>
      <c r="AB599">
        <v>594</v>
      </c>
      <c r="AC599" s="24">
        <f t="shared" ca="1" si="116"/>
        <v>-0.82621991092734826</v>
      </c>
      <c r="AD599" s="24">
        <f t="shared" ca="1" si="117"/>
        <v>-1.5017511105276689</v>
      </c>
      <c r="AE599" s="24">
        <f t="shared" ca="1" si="118"/>
        <v>0.12500116749112467</v>
      </c>
      <c r="AF599" s="24"/>
      <c r="AG599">
        <v>594</v>
      </c>
      <c r="AH599">
        <f t="shared" ca="1" si="124"/>
        <v>305.12462353923058</v>
      </c>
      <c r="AI599">
        <f t="shared" ca="1" si="125"/>
        <v>159.21137490970025</v>
      </c>
      <c r="AJ599">
        <f t="shared" ca="1" si="126"/>
        <v>53.147993973348136</v>
      </c>
      <c r="AL599">
        <v>594</v>
      </c>
      <c r="AM599" s="4">
        <f t="shared" ca="1" si="119"/>
        <v>-1.3945769351499937E-2</v>
      </c>
      <c r="AN599" s="4">
        <f t="shared" ca="1" si="120"/>
        <v>-3.0735539790394117E-2</v>
      </c>
      <c r="AO599" s="4">
        <f t="shared" ca="1" si="121"/>
        <v>2.2250649965582792E-3</v>
      </c>
      <c r="AP599" s="4">
        <f t="shared" ca="1" si="122"/>
        <v>-1.5810427222640144E-2</v>
      </c>
    </row>
    <row r="600" spans="20:42" x14ac:dyDescent="0.3">
      <c r="T600">
        <v>594</v>
      </c>
      <c r="U600" s="4">
        <v>4.0669918591926032E-3</v>
      </c>
      <c r="V600" s="4"/>
      <c r="W600">
        <v>595</v>
      </c>
      <c r="X600">
        <f t="shared" ca="1" si="123"/>
        <v>1.3121458571071039</v>
      </c>
      <c r="Y600">
        <f t="shared" ca="1" si="123"/>
        <v>-0.40762126844110741</v>
      </c>
      <c r="Z600">
        <f t="shared" ca="1" si="123"/>
        <v>-0.20376072677688056</v>
      </c>
      <c r="AB600">
        <v>595</v>
      </c>
      <c r="AC600" s="24">
        <f t="shared" ca="1" si="116"/>
        <v>1.3121458571071039</v>
      </c>
      <c r="AD600" s="24">
        <f t="shared" ca="1" si="117"/>
        <v>0.94094766859527956</v>
      </c>
      <c r="AE600" s="24">
        <f t="shared" ca="1" si="118"/>
        <v>0.85507449608055763</v>
      </c>
      <c r="AF600" s="24"/>
      <c r="AG600">
        <v>595</v>
      </c>
      <c r="AH600">
        <f t="shared" ca="1" si="124"/>
        <v>316.42373806675204</v>
      </c>
      <c r="AI600">
        <f t="shared" ca="1" si="125"/>
        <v>167.50615785334497</v>
      </c>
      <c r="AJ600">
        <f t="shared" ca="1" si="126"/>
        <v>53.84109089062332</v>
      </c>
      <c r="AL600">
        <v>595</v>
      </c>
      <c r="AM600" s="4">
        <f t="shared" ca="1" si="119"/>
        <v>2.2568948973132219E-2</v>
      </c>
      <c r="AN600" s="4">
        <f t="shared" ca="1" si="120"/>
        <v>1.9762349050699068E-2</v>
      </c>
      <c r="AO600" s="4">
        <f t="shared" ca="1" si="121"/>
        <v>1.5294967565474993E-2</v>
      </c>
      <c r="AP600" s="4">
        <f t="shared" ca="1" si="122"/>
        <v>1.926411458186179E-2</v>
      </c>
    </row>
    <row r="601" spans="20:42" x14ac:dyDescent="0.3">
      <c r="T601">
        <v>595</v>
      </c>
      <c r="U601" s="4">
        <v>4.1352607448758788E-3</v>
      </c>
      <c r="V601" s="4"/>
      <c r="W601">
        <v>596</v>
      </c>
      <c r="X601">
        <f t="shared" ca="1" si="123"/>
        <v>-1.0189850620329084</v>
      </c>
      <c r="Y601">
        <f t="shared" ca="1" si="123"/>
        <v>0.94221061709565301</v>
      </c>
      <c r="Z601">
        <f t="shared" ca="1" si="123"/>
        <v>0.97397241521960354</v>
      </c>
      <c r="AB601">
        <v>596</v>
      </c>
      <c r="AC601" s="24">
        <f t="shared" ca="1" si="116"/>
        <v>-1.0189850620329084</v>
      </c>
      <c r="AD601" s="24">
        <f t="shared" ca="1" si="117"/>
        <v>-0.42243257105321586</v>
      </c>
      <c r="AE601" s="24">
        <f t="shared" ca="1" si="118"/>
        <v>-7.7322833653201029E-2</v>
      </c>
      <c r="AF601" s="24"/>
      <c r="AG601">
        <v>596</v>
      </c>
      <c r="AH601">
        <f t="shared" ca="1" si="124"/>
        <v>304.12609720017213</v>
      </c>
      <c r="AI601">
        <f t="shared" ca="1" si="125"/>
        <v>162.82457299609834</v>
      </c>
      <c r="AJ601">
        <f t="shared" ca="1" si="126"/>
        <v>52.957501026066595</v>
      </c>
      <c r="AL601">
        <v>596</v>
      </c>
      <c r="AM601" s="4">
        <f t="shared" ca="1" si="119"/>
        <v>-1.7172651238716696E-2</v>
      </c>
      <c r="AN601" s="4">
        <f t="shared" ca="1" si="120"/>
        <v>-8.7387164175080079E-3</v>
      </c>
      <c r="AO601" s="4">
        <f t="shared" ca="1" si="121"/>
        <v>-1.3671083330009104E-3</v>
      </c>
      <c r="AP601" s="4">
        <f t="shared" ca="1" si="122"/>
        <v>-9.0574144385184852E-3</v>
      </c>
    </row>
    <row r="602" spans="20:42" x14ac:dyDescent="0.3">
      <c r="T602">
        <v>596</v>
      </c>
      <c r="U602" s="41">
        <v>4.1745890539688028E-3</v>
      </c>
      <c r="V602" s="4"/>
      <c r="W602">
        <v>597</v>
      </c>
      <c r="X602">
        <f t="shared" ca="1" si="123"/>
        <v>-0.71196795770072674</v>
      </c>
      <c r="Y602">
        <f t="shared" ca="1" si="123"/>
        <v>-0.63593180334079269</v>
      </c>
      <c r="Z602">
        <f t="shared" ca="1" si="123"/>
        <v>0.50307558506266425</v>
      </c>
      <c r="AB602">
        <v>597</v>
      </c>
      <c r="AC602" s="24">
        <f t="shared" ca="1" si="116"/>
        <v>-0.71196795770072674</v>
      </c>
      <c r="AD602" s="24">
        <f t="shared" ca="1" si="117"/>
        <v>-0.93288680955706516</v>
      </c>
      <c r="AE602" s="24">
        <f t="shared" ca="1" si="118"/>
        <v>-0.50135553570876668</v>
      </c>
      <c r="AF602" s="24"/>
      <c r="AG602">
        <v>597</v>
      </c>
      <c r="AH602">
        <f t="shared" ca="1" si="124"/>
        <v>305.71799706780348</v>
      </c>
      <c r="AI602">
        <f t="shared" ca="1" si="125"/>
        <v>161.10563507059973</v>
      </c>
      <c r="AJ602">
        <f t="shared" ca="1" si="126"/>
        <v>52.560476034293295</v>
      </c>
      <c r="AL602">
        <v>597</v>
      </c>
      <c r="AM602" s="4">
        <f t="shared" ca="1" si="119"/>
        <v>-1.2028197208624691E-2</v>
      </c>
      <c r="AN602" s="4">
        <f t="shared" ca="1" si="120"/>
        <v>-1.9203455142597248E-2</v>
      </c>
      <c r="AO602" s="4">
        <f t="shared" ca="1" si="121"/>
        <v>-8.8539082747783882E-3</v>
      </c>
      <c r="AP602" s="4">
        <f t="shared" ca="1" si="122"/>
        <v>-1.3946013702059824E-2</v>
      </c>
    </row>
    <row r="603" spans="20:42" x14ac:dyDescent="0.3">
      <c r="T603">
        <v>597</v>
      </c>
      <c r="U603" s="4">
        <v>4.1832683714171821E-3</v>
      </c>
      <c r="V603" s="4"/>
      <c r="W603">
        <v>598</v>
      </c>
      <c r="X603">
        <f t="shared" ca="1" si="123"/>
        <v>-0.60939365016334612</v>
      </c>
      <c r="Y603">
        <f t="shared" ca="1" si="123"/>
        <v>2.5803859460964622</v>
      </c>
      <c r="Z603">
        <f t="shared" ca="1" si="123"/>
        <v>-6.1444879240060514E-2</v>
      </c>
      <c r="AB603">
        <v>598</v>
      </c>
      <c r="AC603" s="24">
        <f t="shared" ca="1" si="116"/>
        <v>-0.60939365016334612</v>
      </c>
      <c r="AD603" s="24">
        <f t="shared" ca="1" si="117"/>
        <v>0.74117834645663083</v>
      </c>
      <c r="AE603" s="24">
        <f t="shared" ca="1" si="118"/>
        <v>0.18371910703924155</v>
      </c>
      <c r="AF603" s="24"/>
      <c r="AG603">
        <v>598</v>
      </c>
      <c r="AH603">
        <f t="shared" ca="1" si="124"/>
        <v>306.25170510665674</v>
      </c>
      <c r="AI603">
        <f t="shared" ca="1" si="125"/>
        <v>166.81186297015736</v>
      </c>
      <c r="AJ603">
        <f t="shared" ca="1" si="126"/>
        <v>53.203406514714942</v>
      </c>
      <c r="AL603">
        <v>598</v>
      </c>
      <c r="AM603" s="4">
        <f t="shared" ca="1" si="119"/>
        <v>-1.0303442701636523E-2</v>
      </c>
      <c r="AN603" s="4">
        <f t="shared" ca="1" si="120"/>
        <v>1.5535544555349334E-2</v>
      </c>
      <c r="AO603" s="4">
        <f t="shared" ca="1" si="121"/>
        <v>3.26999320026089E-3</v>
      </c>
      <c r="AP603" s="4">
        <f t="shared" ca="1" si="122"/>
        <v>4.1041829717270448E-3</v>
      </c>
    </row>
    <row r="604" spans="20:42" x14ac:dyDescent="0.3">
      <c r="T604">
        <v>598</v>
      </c>
      <c r="U604" s="4">
        <v>4.3586266280727596E-3</v>
      </c>
      <c r="V604" s="4"/>
      <c r="W604">
        <v>599</v>
      </c>
      <c r="X604">
        <f t="shared" ca="1" si="123"/>
        <v>0.75117114360981796</v>
      </c>
      <c r="Y604">
        <f t="shared" ca="1" si="123"/>
        <v>0.84018826045342976</v>
      </c>
      <c r="Z604">
        <f t="shared" ca="1" si="123"/>
        <v>-0.19961912979738702</v>
      </c>
      <c r="AB604">
        <v>599</v>
      </c>
      <c r="AC604" s="24">
        <f t="shared" ca="1" si="116"/>
        <v>0.75117114360981796</v>
      </c>
      <c r="AD604" s="24">
        <f t="shared" ca="1" si="117"/>
        <v>1.0676457723686132</v>
      </c>
      <c r="AE604" s="24">
        <f t="shared" ca="1" si="118"/>
        <v>0.74374738601408741</v>
      </c>
      <c r="AF604" s="24"/>
      <c r="AG604">
        <v>599</v>
      </c>
      <c r="AH604">
        <f t="shared" ca="1" si="124"/>
        <v>313.41968272791757</v>
      </c>
      <c r="AI604">
        <f t="shared" ca="1" si="125"/>
        <v>167.94799175741929</v>
      </c>
      <c r="AJ604">
        <f t="shared" ca="1" si="126"/>
        <v>53.734821077310848</v>
      </c>
      <c r="AL604">
        <v>599</v>
      </c>
      <c r="AM604" s="4">
        <f t="shared" ca="1" si="119"/>
        <v>1.2860910855457819E-2</v>
      </c>
      <c r="AN604" s="4">
        <f t="shared" ca="1" si="120"/>
        <v>2.2452193923766517E-2</v>
      </c>
      <c r="AO604" s="4">
        <f t="shared" ca="1" si="121"/>
        <v>1.3291011017130483E-2</v>
      </c>
      <c r="AP604" s="4">
        <f t="shared" ca="1" si="122"/>
        <v>1.6826454131283097E-2</v>
      </c>
    </row>
    <row r="605" spans="20:42" x14ac:dyDescent="0.3">
      <c r="T605">
        <v>599</v>
      </c>
      <c r="U605" s="4">
        <v>4.3808737145704319E-3</v>
      </c>
      <c r="V605" s="4"/>
      <c r="W605">
        <v>600</v>
      </c>
      <c r="X605">
        <f t="shared" ca="1" si="123"/>
        <v>-0.99581624718552109</v>
      </c>
      <c r="Y605">
        <f t="shared" ca="1" si="123"/>
        <v>-4.4972012164437955E-2</v>
      </c>
      <c r="Z605">
        <f t="shared" ca="1" si="123"/>
        <v>0.26621946957103465</v>
      </c>
      <c r="AB605">
        <v>600</v>
      </c>
      <c r="AC605" s="24">
        <f t="shared" ca="1" si="116"/>
        <v>-0.99581624718552109</v>
      </c>
      <c r="AD605" s="24">
        <f t="shared" ca="1" si="117"/>
        <v>-0.8886956588235766</v>
      </c>
      <c r="AE605" s="24">
        <f t="shared" ca="1" si="118"/>
        <v>-0.69011583412855515</v>
      </c>
      <c r="AF605" s="24"/>
      <c r="AG605">
        <v>600</v>
      </c>
      <c r="AH605">
        <f t="shared" ca="1" si="124"/>
        <v>304.24593902023622</v>
      </c>
      <c r="AI605">
        <f t="shared" ca="1" si="125"/>
        <v>161.25372706222123</v>
      </c>
      <c r="AJ605">
        <f t="shared" ca="1" si="126"/>
        <v>52.384697109122087</v>
      </c>
      <c r="AL605">
        <v>600</v>
      </c>
      <c r="AM605" s="4">
        <f t="shared" ca="1" si="119"/>
        <v>-1.6785365111782302E-2</v>
      </c>
      <c r="AN605" s="4">
        <f t="shared" ca="1" si="120"/>
        <v>-1.8301884482826214E-2</v>
      </c>
      <c r="AO605" s="4">
        <f t="shared" ca="1" si="121"/>
        <v>-1.216861559549276E-2</v>
      </c>
      <c r="AP605" s="4">
        <f t="shared" ca="1" si="122"/>
        <v>-1.6006948005313004E-2</v>
      </c>
    </row>
    <row r="606" spans="20:42" x14ac:dyDescent="0.3">
      <c r="T606">
        <v>600</v>
      </c>
      <c r="U606" s="4">
        <v>4.4579433108963059E-3</v>
      </c>
      <c r="V606" s="4"/>
      <c r="W606">
        <v>601</v>
      </c>
      <c r="X606">
        <f t="shared" ca="1" si="123"/>
        <v>0.23535350668553404</v>
      </c>
      <c r="Y606">
        <f t="shared" ca="1" si="123"/>
        <v>-8.8032509424110589E-2</v>
      </c>
      <c r="Z606">
        <f t="shared" ca="1" si="123"/>
        <v>-0.53681112278048393</v>
      </c>
      <c r="AB606">
        <v>601</v>
      </c>
      <c r="AC606" s="24">
        <f t="shared" ca="1" si="116"/>
        <v>0.23535350668553404</v>
      </c>
      <c r="AD606" s="24">
        <f t="shared" ca="1" si="117"/>
        <v>0.16142204343045144</v>
      </c>
      <c r="AE606" s="24">
        <f t="shared" ca="1" si="118"/>
        <v>-0.1046391860698099</v>
      </c>
      <c r="AF606" s="24"/>
      <c r="AG606">
        <v>601</v>
      </c>
      <c r="AH606">
        <f t="shared" ca="1" si="124"/>
        <v>310.68262140061398</v>
      </c>
      <c r="AI606">
        <f t="shared" ca="1" si="125"/>
        <v>164.81318167648286</v>
      </c>
      <c r="AJ606">
        <f t="shared" ca="1" si="126"/>
        <v>52.931834386720979</v>
      </c>
      <c r="AL606">
        <v>601</v>
      </c>
      <c r="AM606" s="4">
        <f t="shared" ca="1" si="119"/>
        <v>4.0157023959539462E-3</v>
      </c>
      <c r="AN606" s="4">
        <f t="shared" ca="1" si="120"/>
        <v>3.3677534892699867E-3</v>
      </c>
      <c r="AO606" s="4">
        <f t="shared" ca="1" si="121"/>
        <v>-1.8511105946723561E-3</v>
      </c>
      <c r="AP606" s="4">
        <f t="shared" ca="1" si="122"/>
        <v>1.9964789360924716E-3</v>
      </c>
    </row>
    <row r="607" spans="20:42" x14ac:dyDescent="0.3">
      <c r="T607">
        <v>601</v>
      </c>
      <c r="U607" s="4">
        <v>4.4693261328693891E-3</v>
      </c>
      <c r="V607" s="4"/>
      <c r="W607">
        <v>602</v>
      </c>
      <c r="X607">
        <f t="shared" ca="1" si="123"/>
        <v>0.65503266314159347</v>
      </c>
      <c r="Y607">
        <f t="shared" ca="1" si="123"/>
        <v>-0.44130016380292308</v>
      </c>
      <c r="Z607">
        <f t="shared" ca="1" si="123"/>
        <v>1.2296815551681621</v>
      </c>
      <c r="AB607">
        <v>602</v>
      </c>
      <c r="AC607" s="24">
        <f t="shared" ca="1" si="116"/>
        <v>0.65503266314159347</v>
      </c>
      <c r="AD607" s="24">
        <f t="shared" ca="1" si="117"/>
        <v>0.3525481048471959</v>
      </c>
      <c r="AE607" s="24">
        <f t="shared" ca="1" si="118"/>
        <v>1.0369182841498399</v>
      </c>
      <c r="AF607" s="24"/>
      <c r="AG607">
        <v>602</v>
      </c>
      <c r="AH607">
        <f t="shared" ca="1" si="124"/>
        <v>312.90772522412169</v>
      </c>
      <c r="AI607">
        <f t="shared" ca="1" si="125"/>
        <v>165.46941917113503</v>
      </c>
      <c r="AJ607">
        <f t="shared" ca="1" si="126"/>
        <v>54.015126197688339</v>
      </c>
      <c r="AL607">
        <v>602</v>
      </c>
      <c r="AM607" s="4">
        <f t="shared" ca="1" si="119"/>
        <v>1.120644633969814E-2</v>
      </c>
      <c r="AN607" s="4">
        <f t="shared" ca="1" si="120"/>
        <v>7.3628680430140037E-3</v>
      </c>
      <c r="AO607" s="4">
        <f t="shared" ca="1" si="121"/>
        <v>1.8576795041830962E-2</v>
      </c>
      <c r="AP607" s="4">
        <f t="shared" ca="1" si="122"/>
        <v>1.1880119631664332E-2</v>
      </c>
    </row>
    <row r="608" spans="20:42" x14ac:dyDescent="0.3">
      <c r="T608">
        <v>602</v>
      </c>
      <c r="U608" s="4">
        <v>4.4979454984678145E-3</v>
      </c>
      <c r="V608" s="4"/>
      <c r="W608">
        <v>603</v>
      </c>
      <c r="X608">
        <f t="shared" ca="1" si="123"/>
        <v>0.51819022407701243</v>
      </c>
      <c r="Y608">
        <f t="shared" ca="1" si="123"/>
        <v>-0.85842476993394978</v>
      </c>
      <c r="Z608">
        <f t="shared" ca="1" si="123"/>
        <v>-0.38784320903736214</v>
      </c>
      <c r="AB608">
        <v>603</v>
      </c>
      <c r="AC608" s="24">
        <f t="shared" ca="1" si="116"/>
        <v>0.51819022407701243</v>
      </c>
      <c r="AD608" s="24">
        <f t="shared" ca="1" si="117"/>
        <v>2.7937148756976227E-2</v>
      </c>
      <c r="AE608" s="24">
        <f t="shared" ca="1" si="118"/>
        <v>-1.0840909825843653E-2</v>
      </c>
      <c r="AF608" s="24"/>
      <c r="AG608">
        <v>603</v>
      </c>
      <c r="AH608">
        <f t="shared" ca="1" si="124"/>
        <v>312.18045260878307</v>
      </c>
      <c r="AI608">
        <f t="shared" ca="1" si="125"/>
        <v>164.35640118506865</v>
      </c>
      <c r="AJ608">
        <f t="shared" ca="1" si="126"/>
        <v>53.020019932276739</v>
      </c>
      <c r="AL608">
        <v>603</v>
      </c>
      <c r="AM608" s="4">
        <f t="shared" ca="1" si="119"/>
        <v>8.8561599849907857E-3</v>
      </c>
      <c r="AN608" s="4">
        <f t="shared" ca="1" si="120"/>
        <v>5.8691514341702167E-4</v>
      </c>
      <c r="AO608" s="4">
        <f t="shared" ca="1" si="121"/>
        <v>-1.8817362341616573E-4</v>
      </c>
      <c r="AP608" s="4">
        <f t="shared" ca="1" si="122"/>
        <v>2.8351619658391948E-3</v>
      </c>
    </row>
    <row r="609" spans="20:42" x14ac:dyDescent="0.3">
      <c r="T609">
        <v>603</v>
      </c>
      <c r="U609" s="41">
        <v>4.5278983240289675E-3</v>
      </c>
      <c r="V609" s="4"/>
      <c r="W609">
        <v>604</v>
      </c>
      <c r="X609">
        <f t="shared" ca="1" si="123"/>
        <v>0.15352380693482873</v>
      </c>
      <c r="Y609">
        <f t="shared" ca="1" si="123"/>
        <v>0.45277503858160756</v>
      </c>
      <c r="Z609">
        <f t="shared" ca="1" si="123"/>
        <v>0.97914955959445016</v>
      </c>
      <c r="AB609">
        <v>604</v>
      </c>
      <c r="AC609" s="24">
        <f t="shared" ca="1" si="116"/>
        <v>0.15352380693482873</v>
      </c>
      <c r="AD609" s="24">
        <f t="shared" ca="1" si="117"/>
        <v>0.3566930775317434</v>
      </c>
      <c r="AE609" s="24">
        <f t="shared" ca="1" si="118"/>
        <v>0.74723084633978354</v>
      </c>
      <c r="AF609" s="24"/>
      <c r="AG609">
        <v>604</v>
      </c>
      <c r="AH609">
        <f t="shared" ca="1" si="124"/>
        <v>310.2506140534141</v>
      </c>
      <c r="AI609">
        <f t="shared" ca="1" si="125"/>
        <v>165.48367997907022</v>
      </c>
      <c r="AJ609">
        <f t="shared" ca="1" si="126"/>
        <v>53.738143112149963</v>
      </c>
      <c r="AL609">
        <v>604</v>
      </c>
      <c r="AM609" s="4">
        <f t="shared" ca="1" si="119"/>
        <v>2.6196083428533523E-3</v>
      </c>
      <c r="AN609" s="4">
        <f t="shared" ca="1" si="120"/>
        <v>7.4496865527673428E-3</v>
      </c>
      <c r="AO609" s="4">
        <f t="shared" ca="1" si="121"/>
        <v>1.335365546207834E-2</v>
      </c>
      <c r="AP609" s="4">
        <f t="shared" ca="1" si="122"/>
        <v>7.771853762586445E-3</v>
      </c>
    </row>
    <row r="610" spans="20:42" x14ac:dyDescent="0.3">
      <c r="T610">
        <v>604</v>
      </c>
      <c r="U610" s="4">
        <v>4.5689086487875176E-3</v>
      </c>
      <c r="V610" s="4"/>
      <c r="W610">
        <v>605</v>
      </c>
      <c r="X610">
        <f t="shared" ca="1" si="123"/>
        <v>-0.29591912141332083</v>
      </c>
      <c r="Y610">
        <f t="shared" ca="1" si="123"/>
        <v>0.32387009314258469</v>
      </c>
      <c r="Z610">
        <f t="shared" ca="1" si="123"/>
        <v>3.9680732774333864E-2</v>
      </c>
      <c r="AB610">
        <v>605</v>
      </c>
      <c r="AC610" s="24">
        <f t="shared" ca="1" si="116"/>
        <v>-0.29591912141332083</v>
      </c>
      <c r="AD610" s="24">
        <f t="shared" ca="1" si="117"/>
        <v>-9.7918298954293409E-2</v>
      </c>
      <c r="AE610" s="24">
        <f t="shared" ca="1" si="118"/>
        <v>-0.13199530622712244</v>
      </c>
      <c r="AF610" s="24"/>
      <c r="AG610">
        <v>605</v>
      </c>
      <c r="AH610">
        <f t="shared" ca="1" si="124"/>
        <v>307.88853717534687</v>
      </c>
      <c r="AI610">
        <f t="shared" ca="1" si="125"/>
        <v>163.92688794772408</v>
      </c>
      <c r="AJ610">
        <f t="shared" ca="1" si="126"/>
        <v>52.906142848216071</v>
      </c>
      <c r="AL610">
        <v>605</v>
      </c>
      <c r="AM610" s="4">
        <f t="shared" ca="1" si="119"/>
        <v>-5.0137837830224186E-3</v>
      </c>
      <c r="AN610" s="4">
        <f t="shared" ca="1" si="120"/>
        <v>-2.0279226241971537E-3</v>
      </c>
      <c r="AO610" s="4">
        <f t="shared" ca="1" si="121"/>
        <v>-2.3355823860414793E-3</v>
      </c>
      <c r="AP610" s="4">
        <f t="shared" ca="1" si="122"/>
        <v>-3.0159789003980308E-3</v>
      </c>
    </row>
    <row r="611" spans="20:42" x14ac:dyDescent="0.3">
      <c r="T611">
        <v>605</v>
      </c>
      <c r="U611" s="4">
        <v>4.5988099871315472E-3</v>
      </c>
      <c r="V611" s="4"/>
      <c r="W611">
        <v>606</v>
      </c>
      <c r="X611">
        <f t="shared" ca="1" si="123"/>
        <v>7.7077398845046607E-2</v>
      </c>
      <c r="Y611">
        <f t="shared" ca="1" si="123"/>
        <v>-0.66663953293594125</v>
      </c>
      <c r="Z611">
        <f t="shared" ca="1" si="123"/>
        <v>1.2309430904663061</v>
      </c>
      <c r="AB611">
        <v>606</v>
      </c>
      <c r="AC611" s="24">
        <f t="shared" ca="1" si="116"/>
        <v>7.7077398845046607E-2</v>
      </c>
      <c r="AD611" s="24">
        <f t="shared" ca="1" si="117"/>
        <v>-0.26140878785295751</v>
      </c>
      <c r="AE611" s="24">
        <f t="shared" ca="1" si="118"/>
        <v>0.50361175239376299</v>
      </c>
      <c r="AF611" s="24"/>
      <c r="AG611">
        <v>606</v>
      </c>
      <c r="AH611">
        <f t="shared" ca="1" si="124"/>
        <v>309.84756971781371</v>
      </c>
      <c r="AI611">
        <f t="shared" ca="1" si="125"/>
        <v>163.37061137864191</v>
      </c>
      <c r="AJ611">
        <f t="shared" ca="1" si="126"/>
        <v>53.506307811896534</v>
      </c>
      <c r="AL611">
        <v>606</v>
      </c>
      <c r="AM611" s="4">
        <f t="shared" ca="1" si="119"/>
        <v>1.3171124392195033E-3</v>
      </c>
      <c r="AN611" s="4">
        <f t="shared" ca="1" si="120"/>
        <v>-5.4144840979893916E-3</v>
      </c>
      <c r="AO611" s="4">
        <f t="shared" ca="1" si="121"/>
        <v>8.9818790036573226E-3</v>
      </c>
      <c r="AP611" s="4">
        <f t="shared" ca="1" si="122"/>
        <v>9.2390379366729118E-4</v>
      </c>
    </row>
    <row r="612" spans="20:42" x14ac:dyDescent="0.3">
      <c r="T612">
        <v>606</v>
      </c>
      <c r="U612" s="4">
        <v>4.6007293287492314E-3</v>
      </c>
      <c r="V612" s="4"/>
      <c r="W612">
        <v>607</v>
      </c>
      <c r="X612">
        <f t="shared" ca="1" si="123"/>
        <v>0.23753021441596414</v>
      </c>
      <c r="Y612">
        <f t="shared" ca="1" si="123"/>
        <v>-0.66813925599807089</v>
      </c>
      <c r="Z612">
        <f t="shared" ca="1" si="123"/>
        <v>0.89205657711146902</v>
      </c>
      <c r="AB612">
        <v>607</v>
      </c>
      <c r="AC612" s="24">
        <f t="shared" ca="1" si="116"/>
        <v>0.23753021441596414</v>
      </c>
      <c r="AD612" s="24">
        <f t="shared" ca="1" si="117"/>
        <v>-0.12252544836764495</v>
      </c>
      <c r="AE612" s="24">
        <f t="shared" ca="1" si="118"/>
        <v>0.46217349952577769</v>
      </c>
      <c r="AF612" s="24"/>
      <c r="AG612">
        <v>607</v>
      </c>
      <c r="AH612">
        <f t="shared" ca="1" si="124"/>
        <v>310.69412120499999</v>
      </c>
      <c r="AI612">
        <f t="shared" ca="1" si="125"/>
        <v>163.84304116366638</v>
      </c>
      <c r="AJ612">
        <f t="shared" ca="1" si="126"/>
        <v>53.466973566616424</v>
      </c>
      <c r="AL612">
        <v>607</v>
      </c>
      <c r="AM612" s="4">
        <f t="shared" ca="1" si="119"/>
        <v>4.0528656725027368E-3</v>
      </c>
      <c r="AN612" s="4">
        <f t="shared" ca="1" si="120"/>
        <v>-2.5383742670906928E-3</v>
      </c>
      <c r="AO612" s="4">
        <f t="shared" ca="1" si="121"/>
        <v>8.2401432656684648E-3</v>
      </c>
      <c r="AP612" s="4">
        <f t="shared" ca="1" si="122"/>
        <v>2.672552974615083E-3</v>
      </c>
    </row>
    <row r="613" spans="20:42" x14ac:dyDescent="0.3">
      <c r="T613">
        <v>607</v>
      </c>
      <c r="U613" s="4">
        <v>4.6314489041402564E-3</v>
      </c>
      <c r="V613" s="4"/>
      <c r="W613">
        <v>608</v>
      </c>
      <c r="X613">
        <f t="shared" ca="1" si="123"/>
        <v>1.4090241583018375</v>
      </c>
      <c r="Y613">
        <f t="shared" ca="1" si="123"/>
        <v>-0.49656338638728958</v>
      </c>
      <c r="Z613">
        <f t="shared" ca="1" si="123"/>
        <v>0.21208954481151523</v>
      </c>
      <c r="AB613">
        <v>608</v>
      </c>
      <c r="AC613" s="24">
        <f t="shared" ca="1" si="116"/>
        <v>1.4090241583018375</v>
      </c>
      <c r="AD613" s="24">
        <f t="shared" ca="1" si="117"/>
        <v>0.98142360498646497</v>
      </c>
      <c r="AE613" s="24">
        <f t="shared" ca="1" si="118"/>
        <v>1.1206474545663629</v>
      </c>
      <c r="AF613" s="24"/>
      <c r="AG613">
        <v>608</v>
      </c>
      <c r="AH613">
        <f t="shared" ca="1" si="124"/>
        <v>316.9454354734645</v>
      </c>
      <c r="AI613">
        <f t="shared" ca="1" si="125"/>
        <v>167.64718296031279</v>
      </c>
      <c r="AJ613">
        <f t="shared" ca="1" si="126"/>
        <v>54.095449022509932</v>
      </c>
      <c r="AL613">
        <v>608</v>
      </c>
      <c r="AM613" s="4">
        <f t="shared" ca="1" si="119"/>
        <v>2.4254889390002754E-2</v>
      </c>
      <c r="AN613" s="4">
        <f t="shared" ca="1" si="120"/>
        <v>2.0620897155435136E-2</v>
      </c>
      <c r="AO613" s="4">
        <f t="shared" ca="1" si="121"/>
        <v>2.0091462714290964E-2</v>
      </c>
      <c r="AP613" s="4">
        <f t="shared" ca="1" si="122"/>
        <v>2.1552264493462172E-2</v>
      </c>
    </row>
    <row r="614" spans="20:42" x14ac:dyDescent="0.3">
      <c r="T614">
        <v>608</v>
      </c>
      <c r="U614" s="4">
        <v>4.6677562160007619E-3</v>
      </c>
      <c r="V614" s="4"/>
      <c r="W614">
        <v>609</v>
      </c>
      <c r="X614">
        <f t="shared" ca="1" si="123"/>
        <v>-0.5928699762244074</v>
      </c>
      <c r="Y614">
        <f t="shared" ca="1" si="123"/>
        <v>-0.69403533976805187</v>
      </c>
      <c r="Z614">
        <f t="shared" ca="1" si="123"/>
        <v>-0.86435608829662647</v>
      </c>
      <c r="AB614">
        <v>609</v>
      </c>
      <c r="AC614" s="24">
        <f t="shared" ca="1" si="116"/>
        <v>-0.5928699762244074</v>
      </c>
      <c r="AD614" s="24">
        <f t="shared" ca="1" si="117"/>
        <v>-0.85788043081261356</v>
      </c>
      <c r="AE614" s="24">
        <f t="shared" ca="1" si="118"/>
        <v>-1.114176614102552</v>
      </c>
      <c r="AF614" s="24"/>
      <c r="AG614">
        <v>609</v>
      </c>
      <c r="AH614">
        <f t="shared" ca="1" si="124"/>
        <v>306.33776711603713</v>
      </c>
      <c r="AI614">
        <f t="shared" ca="1" si="125"/>
        <v>161.35707463494208</v>
      </c>
      <c r="AJ614">
        <f t="shared" ca="1" si="126"/>
        <v>51.99194054903036</v>
      </c>
      <c r="AL614">
        <v>609</v>
      </c>
      <c r="AM614" s="4">
        <f t="shared" ca="1" si="119"/>
        <v>-1.002532090516095E-2</v>
      </c>
      <c r="AN614" s="4">
        <f t="shared" ca="1" si="120"/>
        <v>-1.7672713801120454E-2</v>
      </c>
      <c r="AO614" s="4">
        <f t="shared" ca="1" si="121"/>
        <v>-1.9574924649474079E-2</v>
      </c>
      <c r="AP614" s="4">
        <f t="shared" ca="1" si="122"/>
        <v>-1.5949159186838691E-2</v>
      </c>
    </row>
    <row r="615" spans="20:42" x14ac:dyDescent="0.3">
      <c r="T615">
        <v>609</v>
      </c>
      <c r="U615" s="4">
        <v>4.8206488703814721E-3</v>
      </c>
      <c r="V615" s="4"/>
      <c r="W615">
        <v>610</v>
      </c>
      <c r="X615">
        <f t="shared" ca="1" si="123"/>
        <v>-1.3084725289233641</v>
      </c>
      <c r="Y615">
        <f t="shared" ca="1" si="123"/>
        <v>0.89632166292518423</v>
      </c>
      <c r="Z615">
        <f t="shared" ca="1" si="123"/>
        <v>-1.0810453285605619</v>
      </c>
      <c r="AB615">
        <v>610</v>
      </c>
      <c r="AC615" s="24">
        <f t="shared" ca="1" si="116"/>
        <v>-1.3084725289233641</v>
      </c>
      <c r="AD615" s="24">
        <f t="shared" ca="1" si="117"/>
        <v>-0.69694914806945296</v>
      </c>
      <c r="AE615" s="24">
        <f t="shared" ca="1" si="118"/>
        <v>-1.3692311220039837</v>
      </c>
      <c r="AF615" s="24"/>
      <c r="AG615">
        <v>610</v>
      </c>
      <c r="AH615">
        <f t="shared" ca="1" si="124"/>
        <v>302.63268292644062</v>
      </c>
      <c r="AI615">
        <f t="shared" ca="1" si="125"/>
        <v>161.89788033986375</v>
      </c>
      <c r="AJ615">
        <f t="shared" ca="1" si="126"/>
        <v>51.757133797689548</v>
      </c>
      <c r="AL615">
        <v>610</v>
      </c>
      <c r="AM615" s="4">
        <f t="shared" ca="1" si="119"/>
        <v>-2.1998834867041461E-2</v>
      </c>
      <c r="AN615" s="4">
        <f t="shared" ca="1" si="120"/>
        <v>-1.4380337550011113E-2</v>
      </c>
      <c r="AO615" s="4">
        <f t="shared" ca="1" si="121"/>
        <v>-2.4002734507023615E-2</v>
      </c>
      <c r="AP615" s="4">
        <f t="shared" ca="1" si="122"/>
        <v>-1.9552605832223968E-2</v>
      </c>
    </row>
    <row r="616" spans="20:42" x14ac:dyDescent="0.3">
      <c r="T616">
        <v>610</v>
      </c>
      <c r="U616" s="4">
        <v>4.9049786815207668E-3</v>
      </c>
      <c r="V616" s="4"/>
      <c r="W616">
        <v>611</v>
      </c>
      <c r="X616">
        <f t="shared" ca="1" si="123"/>
        <v>-0.99067945230871823</v>
      </c>
      <c r="Y616">
        <f t="shared" ca="1" si="123"/>
        <v>0.41223561911911438</v>
      </c>
      <c r="Z616">
        <f t="shared" ca="1" si="123"/>
        <v>-1.5957550855279041</v>
      </c>
      <c r="AB616">
        <v>611</v>
      </c>
      <c r="AC616" s="24">
        <f t="shared" ca="1" si="116"/>
        <v>-0.99067945230871823</v>
      </c>
      <c r="AD616" s="24">
        <f t="shared" ca="1" si="117"/>
        <v>-0.65894139762135073</v>
      </c>
      <c r="AE616" s="24">
        <f t="shared" ca="1" si="118"/>
        <v>-1.5046933679109145</v>
      </c>
      <c r="AF616" s="24"/>
      <c r="AG616">
        <v>611</v>
      </c>
      <c r="AH616">
        <f t="shared" ca="1" si="124"/>
        <v>304.27251573629854</v>
      </c>
      <c r="AI616">
        <f t="shared" ca="1" si="125"/>
        <v>162.02586883703461</v>
      </c>
      <c r="AJ616">
        <f t="shared" ca="1" si="126"/>
        <v>51.632856830715731</v>
      </c>
      <c r="AL616">
        <v>611</v>
      </c>
      <c r="AM616" s="4">
        <f t="shared" ca="1" si="119"/>
        <v>-1.669947862053156E-2</v>
      </c>
      <c r="AN616" s="4">
        <f t="shared" ca="1" si="120"/>
        <v>-1.3601155147411337E-2</v>
      </c>
      <c r="AO616" s="4">
        <f t="shared" ca="1" si="121"/>
        <v>-2.6346256472600915E-2</v>
      </c>
      <c r="AP616" s="4">
        <f t="shared" ca="1" si="122"/>
        <v>-1.8354182586904279E-2</v>
      </c>
    </row>
    <row r="617" spans="20:42" x14ac:dyDescent="0.3">
      <c r="T617">
        <v>611</v>
      </c>
      <c r="U617" s="4">
        <v>4.9328088870583819E-3</v>
      </c>
      <c r="V617" s="4"/>
      <c r="W617">
        <v>612</v>
      </c>
      <c r="X617">
        <f t="shared" ca="1" si="123"/>
        <v>0.20234627544509082</v>
      </c>
      <c r="Y617">
        <f t="shared" ca="1" si="123"/>
        <v>-0.57218188187612695</v>
      </c>
      <c r="Z617">
        <f t="shared" ca="1" si="123"/>
        <v>-0.34424198450992372</v>
      </c>
      <c r="AB617">
        <v>612</v>
      </c>
      <c r="AC617" s="24">
        <f t="shared" ca="1" si="116"/>
        <v>0.20234627544509082</v>
      </c>
      <c r="AD617" s="24">
        <f t="shared" ca="1" si="117"/>
        <v>-0.10585968892718625</v>
      </c>
      <c r="AE617" s="24">
        <f t="shared" ca="1" si="118"/>
        <v>-0.16749654742454506</v>
      </c>
      <c r="AF617" s="24"/>
      <c r="AG617">
        <v>612</v>
      </c>
      <c r="AH617">
        <f t="shared" ca="1" si="124"/>
        <v>310.5082924490228</v>
      </c>
      <c r="AI617">
        <f t="shared" ca="1" si="125"/>
        <v>163.8998236435736</v>
      </c>
      <c r="AJ617">
        <f t="shared" ca="1" si="126"/>
        <v>52.872820398907223</v>
      </c>
      <c r="AL617">
        <v>612</v>
      </c>
      <c r="AM617" s="4">
        <f t="shared" ca="1" si="119"/>
        <v>3.4523332445328681E-3</v>
      </c>
      <c r="AN617" s="4">
        <f t="shared" ca="1" si="120"/>
        <v>-2.1926876616716884E-3</v>
      </c>
      <c r="AO617" s="4">
        <f t="shared" ca="1" si="121"/>
        <v>-2.9639521781572586E-3</v>
      </c>
      <c r="AP617" s="4">
        <f t="shared" ca="1" si="122"/>
        <v>-7.3056074475599266E-4</v>
      </c>
    </row>
    <row r="618" spans="20:42" x14ac:dyDescent="0.3">
      <c r="T618">
        <v>612</v>
      </c>
      <c r="U618" s="4">
        <v>5.0531650439596953E-3</v>
      </c>
      <c r="V618" s="4"/>
      <c r="W618">
        <v>613</v>
      </c>
      <c r="X618">
        <f t="shared" ca="1" si="123"/>
        <v>0.50363952069106954</v>
      </c>
      <c r="Y618">
        <f t="shared" ca="1" si="123"/>
        <v>0.96847992644874592</v>
      </c>
      <c r="Z618">
        <f t="shared" ca="1" si="123"/>
        <v>-0.98617647338041892</v>
      </c>
      <c r="AB618">
        <v>613</v>
      </c>
      <c r="AC618" s="24">
        <f t="shared" ca="1" si="116"/>
        <v>0.50363952069106954</v>
      </c>
      <c r="AD618" s="24">
        <f t="shared" ca="1" si="117"/>
        <v>0.91546389900812608</v>
      </c>
      <c r="AE618" s="24">
        <f t="shared" ca="1" si="118"/>
        <v>0.17792986529162313</v>
      </c>
      <c r="AF618" s="24"/>
      <c r="AG618">
        <v>613</v>
      </c>
      <c r="AH618">
        <f t="shared" ca="1" si="124"/>
        <v>312.10321989390144</v>
      </c>
      <c r="AI618">
        <f t="shared" ca="1" si="125"/>
        <v>167.41742889174887</v>
      </c>
      <c r="AJ618">
        <f t="shared" ca="1" si="126"/>
        <v>53.197940599404802</v>
      </c>
      <c r="AL618">
        <v>613</v>
      </c>
      <c r="AM618" s="4">
        <f t="shared" ca="1" si="119"/>
        <v>8.6065713271823441E-3</v>
      </c>
      <c r="AN618" s="4">
        <f t="shared" ca="1" si="120"/>
        <v>1.9222175152224796E-2</v>
      </c>
      <c r="AO618" s="4">
        <f t="shared" ca="1" si="121"/>
        <v>3.1669210630562716E-3</v>
      </c>
      <c r="AP618" s="4">
        <f t="shared" ca="1" si="122"/>
        <v>1.1220917777961503E-2</v>
      </c>
    </row>
    <row r="619" spans="20:42" x14ac:dyDescent="0.3">
      <c r="T619">
        <v>613</v>
      </c>
      <c r="U619" s="4">
        <v>5.0655677923545639E-3</v>
      </c>
      <c r="V619" s="4"/>
      <c r="W619">
        <v>614</v>
      </c>
      <c r="X619">
        <f t="shared" ca="1" si="123"/>
        <v>0.25542734385884713</v>
      </c>
      <c r="Y619">
        <f t="shared" ca="1" si="123"/>
        <v>0.24287735521222692</v>
      </c>
      <c r="Z619">
        <f t="shared" ca="1" si="123"/>
        <v>0.29523546496611114</v>
      </c>
      <c r="AB619">
        <v>614</v>
      </c>
      <c r="AC619" s="24">
        <f t="shared" ca="1" si="116"/>
        <v>0.25542734385884713</v>
      </c>
      <c r="AD619" s="24">
        <f t="shared" ca="1" si="117"/>
        <v>0.34194225078817292</v>
      </c>
      <c r="AE619" s="24">
        <f t="shared" ca="1" si="118"/>
        <v>0.42536870402012933</v>
      </c>
      <c r="AF619" s="24"/>
      <c r="AG619">
        <v>614</v>
      </c>
      <c r="AH619">
        <f t="shared" ca="1" si="124"/>
        <v>310.78868999595232</v>
      </c>
      <c r="AI619">
        <f t="shared" ca="1" si="125"/>
        <v>165.43293525001121</v>
      </c>
      <c r="AJ619">
        <f t="shared" ca="1" si="126"/>
        <v>53.432061764542418</v>
      </c>
      <c r="AL619">
        <v>614</v>
      </c>
      <c r="AM619" s="4">
        <f t="shared" ca="1" si="119"/>
        <v>4.3584783606045452E-3</v>
      </c>
      <c r="AN619" s="4">
        <f t="shared" ca="1" si="120"/>
        <v>7.1407572287931487E-3</v>
      </c>
      <c r="AO619" s="4">
        <f t="shared" ca="1" si="121"/>
        <v>7.5818026494578472E-3</v>
      </c>
      <c r="AP619" s="4">
        <f t="shared" ca="1" si="122"/>
        <v>6.438387194535977E-3</v>
      </c>
    </row>
    <row r="620" spans="20:42" x14ac:dyDescent="0.3">
      <c r="T620">
        <v>614</v>
      </c>
      <c r="U620" s="4">
        <v>5.0706840894173995E-3</v>
      </c>
      <c r="V620" s="4"/>
      <c r="W620">
        <v>615</v>
      </c>
      <c r="X620">
        <f t="shared" ca="1" si="123"/>
        <v>1.1358813365807323</v>
      </c>
      <c r="Y620">
        <f t="shared" ca="1" si="123"/>
        <v>0.63457594437299025</v>
      </c>
      <c r="Z620">
        <f t="shared" ca="1" si="123"/>
        <v>-0.46631859206189441</v>
      </c>
      <c r="AB620">
        <v>615</v>
      </c>
      <c r="AC620" s="24">
        <f t="shared" ca="1" si="116"/>
        <v>1.1358813365807323</v>
      </c>
      <c r="AD620" s="24">
        <f t="shared" ca="1" si="117"/>
        <v>1.3010982981907413</v>
      </c>
      <c r="AE620" s="24">
        <f t="shared" ca="1" si="118"/>
        <v>0.86564548530562224</v>
      </c>
      <c r="AF620" s="24"/>
      <c r="AG620">
        <v>615</v>
      </c>
      <c r="AH620">
        <f t="shared" ca="1" si="124"/>
        <v>315.47674106764646</v>
      </c>
      <c r="AI620">
        <f t="shared" ca="1" si="125"/>
        <v>168.76516439458797</v>
      </c>
      <c r="AJ620">
        <f t="shared" ca="1" si="126"/>
        <v>53.851192586784087</v>
      </c>
      <c r="AL620">
        <v>615</v>
      </c>
      <c r="AM620" s="4">
        <f t="shared" ca="1" si="119"/>
        <v>1.9508591580313039E-2</v>
      </c>
      <c r="AN620" s="4">
        <f t="shared" ca="1" si="120"/>
        <v>2.742706707910858E-2</v>
      </c>
      <c r="AO620" s="4">
        <f t="shared" ca="1" si="121"/>
        <v>1.5485457785978429E-2</v>
      </c>
      <c r="AP620" s="4">
        <f t="shared" ca="1" si="122"/>
        <v>2.1469041641530875E-2</v>
      </c>
    </row>
    <row r="621" spans="20:42" x14ac:dyDescent="0.3">
      <c r="T621">
        <v>615</v>
      </c>
      <c r="U621" s="4">
        <v>5.1181164312390946E-3</v>
      </c>
      <c r="V621" s="4"/>
      <c r="W621">
        <v>616</v>
      </c>
      <c r="X621">
        <f t="shared" ca="1" si="123"/>
        <v>0.74003141756942326</v>
      </c>
      <c r="Y621">
        <f t="shared" ca="1" si="123"/>
        <v>1.2884978768366961</v>
      </c>
      <c r="Z621">
        <f t="shared" ca="1" si="123"/>
        <v>0.18526557116286724</v>
      </c>
      <c r="AB621">
        <v>616</v>
      </c>
      <c r="AC621" s="24">
        <f t="shared" ca="1" si="116"/>
        <v>0.74003141756942326</v>
      </c>
      <c r="AD621" s="24">
        <f t="shared" ca="1" si="117"/>
        <v>1.2788521781882745</v>
      </c>
      <c r="AE621" s="24">
        <f t="shared" ca="1" si="118"/>
        <v>1.05374414401491</v>
      </c>
      <c r="AF621" s="24"/>
      <c r="AG621">
        <v>616</v>
      </c>
      <c r="AH621">
        <f t="shared" ca="1" si="124"/>
        <v>313.36031847875188</v>
      </c>
      <c r="AI621">
        <f t="shared" ca="1" si="125"/>
        <v>168.68712342604775</v>
      </c>
      <c r="AJ621">
        <f t="shared" ca="1" si="126"/>
        <v>54.031257951621889</v>
      </c>
      <c r="AL621">
        <v>616</v>
      </c>
      <c r="AM621" s="4">
        <f t="shared" ca="1" si="119"/>
        <v>1.2669066721870292E-2</v>
      </c>
      <c r="AN621" s="4">
        <f t="shared" ca="1" si="120"/>
        <v>2.695196071632977E-2</v>
      </c>
      <c r="AO621" s="4">
        <f t="shared" ca="1" si="121"/>
        <v>1.8880995575583315E-2</v>
      </c>
      <c r="AP621" s="4">
        <f t="shared" ca="1" si="122"/>
        <v>2.0245802975767991E-2</v>
      </c>
    </row>
    <row r="622" spans="20:42" x14ac:dyDescent="0.3">
      <c r="T622">
        <v>616</v>
      </c>
      <c r="U622" s="4">
        <v>5.1660806084539157E-3</v>
      </c>
      <c r="V622" s="4"/>
      <c r="W622">
        <v>617</v>
      </c>
      <c r="X622">
        <f t="shared" ca="1" si="123"/>
        <v>1.3759340408776306</v>
      </c>
      <c r="Y622">
        <f t="shared" ca="1" si="123"/>
        <v>0.34898333651184021</v>
      </c>
      <c r="Z622">
        <f t="shared" ca="1" si="123"/>
        <v>-1.6510309089474338</v>
      </c>
      <c r="AB622">
        <v>617</v>
      </c>
      <c r="AC622" s="24">
        <f t="shared" ca="1" si="116"/>
        <v>1.3759340408776306</v>
      </c>
      <c r="AD622" s="24">
        <f t="shared" ca="1" si="117"/>
        <v>1.3692637746564238</v>
      </c>
      <c r="AE622" s="24">
        <f t="shared" ca="1" si="118"/>
        <v>0.38148621787443004</v>
      </c>
      <c r="AF622" s="24"/>
      <c r="AG622">
        <v>617</v>
      </c>
      <c r="AH622">
        <f t="shared" ca="1" si="124"/>
        <v>316.76714589194984</v>
      </c>
      <c r="AI622">
        <f t="shared" ca="1" si="125"/>
        <v>169.00451860651103</v>
      </c>
      <c r="AJ622">
        <f t="shared" ca="1" si="126"/>
        <v>53.390466092975664</v>
      </c>
      <c r="AL622">
        <v>617</v>
      </c>
      <c r="AM622" s="4">
        <f t="shared" ca="1" si="119"/>
        <v>2.367872089172196E-2</v>
      </c>
      <c r="AN622" s="4">
        <f t="shared" ca="1" si="120"/>
        <v>2.8884233887385147E-2</v>
      </c>
      <c r="AO622" s="4">
        <f t="shared" ca="1" si="121"/>
        <v>6.7974226282576655E-3</v>
      </c>
      <c r="AP622" s="4">
        <f t="shared" ca="1" si="122"/>
        <v>2.0696536610947946E-2</v>
      </c>
    </row>
    <row r="623" spans="20:42" x14ac:dyDescent="0.3">
      <c r="T623">
        <v>617</v>
      </c>
      <c r="U623" s="4">
        <v>5.2251043417403508E-3</v>
      </c>
      <c r="V623" s="4"/>
      <c r="W623">
        <v>618</v>
      </c>
      <c r="X623">
        <f t="shared" ca="1" si="123"/>
        <v>0.9599107798023383</v>
      </c>
      <c r="Y623">
        <f t="shared" ca="1" si="123"/>
        <v>-0.32731672611196388</v>
      </c>
      <c r="Z623">
        <f t="shared" ca="1" si="123"/>
        <v>0.78377273562382854</v>
      </c>
      <c r="AB623">
        <v>618</v>
      </c>
      <c r="AC623" s="24">
        <f t="shared" ca="1" si="116"/>
        <v>0.9599107798023383</v>
      </c>
      <c r="AD623" s="24">
        <f t="shared" ca="1" si="117"/>
        <v>0.674010121720796</v>
      </c>
      <c r="AE623" s="24">
        <f t="shared" ca="1" si="118"/>
        <v>1.090927097829838</v>
      </c>
      <c r="AF623" s="24"/>
      <c r="AG623">
        <v>618</v>
      </c>
      <c r="AH623">
        <f t="shared" ca="1" si="124"/>
        <v>314.53415051854415</v>
      </c>
      <c r="AI623">
        <f t="shared" ca="1" si="125"/>
        <v>166.57906800292145</v>
      </c>
      <c r="AJ623">
        <f t="shared" ca="1" si="126"/>
        <v>54.066924111230826</v>
      </c>
      <c r="AL623">
        <v>618</v>
      </c>
      <c r="AM623" s="4">
        <f t="shared" ca="1" si="119"/>
        <v>1.6462474266244032E-2</v>
      </c>
      <c r="AN623" s="4">
        <f t="shared" ca="1" si="120"/>
        <v>1.4118309835873921E-2</v>
      </c>
      <c r="AO623" s="4">
        <f t="shared" ca="1" si="121"/>
        <v>1.9553561301209221E-2</v>
      </c>
      <c r="AP623" s="4">
        <f t="shared" ca="1" si="122"/>
        <v>1.6452134604585545E-2</v>
      </c>
    </row>
    <row r="624" spans="20:42" x14ac:dyDescent="0.3">
      <c r="T624">
        <v>618</v>
      </c>
      <c r="U624" s="4">
        <v>5.2533240773755211E-3</v>
      </c>
      <c r="V624" s="4"/>
      <c r="W624">
        <v>619</v>
      </c>
      <c r="X624">
        <f t="shared" ca="1" si="123"/>
        <v>1.2290725269008491</v>
      </c>
      <c r="Y624">
        <f t="shared" ca="1" si="123"/>
        <v>-0.76848639372974881</v>
      </c>
      <c r="Z624">
        <f t="shared" ca="1" si="123"/>
        <v>-1.478211041984915</v>
      </c>
      <c r="AB624">
        <v>619</v>
      </c>
      <c r="AC624" s="24">
        <f t="shared" ca="1" si="116"/>
        <v>1.2290725269008491</v>
      </c>
      <c r="AD624" s="24">
        <f t="shared" ca="1" si="117"/>
        <v>0.69084662044592315</v>
      </c>
      <c r="AE624" s="24">
        <f t="shared" ca="1" si="118"/>
        <v>4.0848931681536693E-2</v>
      </c>
      <c r="AF624" s="24"/>
      <c r="AG624">
        <v>619</v>
      </c>
      <c r="AH624">
        <f t="shared" ca="1" si="124"/>
        <v>315.97706547889919</v>
      </c>
      <c r="AI624">
        <f t="shared" ca="1" si="125"/>
        <v>166.63739024715386</v>
      </c>
      <c r="AJ624">
        <f t="shared" ca="1" si="126"/>
        <v>53.068679515240717</v>
      </c>
      <c r="AL624">
        <v>619</v>
      </c>
      <c r="AM624" s="4">
        <f t="shared" ca="1" si="119"/>
        <v>2.1125462079619073E-2</v>
      </c>
      <c r="AN624" s="4">
        <f t="shared" ca="1" si="120"/>
        <v>1.4473370387333873E-2</v>
      </c>
      <c r="AO624" s="4">
        <f t="shared" ca="1" si="121"/>
        <v>7.2941234837475832E-4</v>
      </c>
      <c r="AP624" s="4">
        <f t="shared" ca="1" si="122"/>
        <v>1.2345810483331698E-2</v>
      </c>
    </row>
    <row r="625" spans="20:42" x14ac:dyDescent="0.3">
      <c r="T625">
        <v>619</v>
      </c>
      <c r="U625" s="4">
        <v>5.2721706980290552E-3</v>
      </c>
      <c r="V625" s="4"/>
      <c r="W625">
        <v>620</v>
      </c>
      <c r="X625">
        <f t="shared" ca="1" si="123"/>
        <v>-1.3980706042337454</v>
      </c>
      <c r="Y625">
        <f t="shared" ca="1" si="123"/>
        <v>-3.0243779398467414E-2</v>
      </c>
      <c r="Z625">
        <f t="shared" ca="1" si="123"/>
        <v>0.3138325341815893</v>
      </c>
      <c r="AB625">
        <v>620</v>
      </c>
      <c r="AC625" s="24">
        <f t="shared" ca="1" si="116"/>
        <v>-1.3980706042337454</v>
      </c>
      <c r="AD625" s="24">
        <f t="shared" ca="1" si="117"/>
        <v>-1.2314708706538779</v>
      </c>
      <c r="AE625" s="24">
        <f t="shared" ca="1" si="118"/>
        <v>-0.99021659811180629</v>
      </c>
      <c r="AF625" s="24"/>
      <c r="AG625">
        <v>620</v>
      </c>
      <c r="AH625">
        <f t="shared" ca="1" si="124"/>
        <v>302.17195021759926</v>
      </c>
      <c r="AI625">
        <f t="shared" ca="1" si="125"/>
        <v>160.10858722841621</v>
      </c>
      <c r="AJ625">
        <f t="shared" ca="1" si="126"/>
        <v>52.106444250632059</v>
      </c>
      <c r="AL625">
        <v>620</v>
      </c>
      <c r="AM625" s="4">
        <f t="shared" ca="1" si="119"/>
        <v>-2.3487759069491965E-2</v>
      </c>
      <c r="AN625" s="4">
        <f t="shared" ca="1" si="120"/>
        <v>-2.5273392288138963E-2</v>
      </c>
      <c r="AO625" s="4">
        <f t="shared" ca="1" si="121"/>
        <v>-1.741569960256717E-2</v>
      </c>
      <c r="AP625" s="4">
        <f t="shared" ca="1" si="122"/>
        <v>-2.2380394516873327E-2</v>
      </c>
    </row>
    <row r="626" spans="20:42" x14ac:dyDescent="0.3">
      <c r="T626">
        <v>620</v>
      </c>
      <c r="U626" s="4">
        <v>5.2896500766874245E-3</v>
      </c>
      <c r="V626" s="4"/>
      <c r="W626">
        <v>621</v>
      </c>
      <c r="X626">
        <f t="shared" ca="1" si="123"/>
        <v>-0.5323429240581159</v>
      </c>
      <c r="Y626">
        <f t="shared" ca="1" si="123"/>
        <v>0.3181707879969547</v>
      </c>
      <c r="Z626">
        <f t="shared" ca="1" si="123"/>
        <v>-0.13934986454906365</v>
      </c>
      <c r="AB626">
        <v>621</v>
      </c>
      <c r="AC626" s="24">
        <f t="shared" ca="1" si="116"/>
        <v>-0.5323429240581159</v>
      </c>
      <c r="AD626" s="24">
        <f t="shared" ca="1" si="117"/>
        <v>-0.30645707332007499</v>
      </c>
      <c r="AE626" s="24">
        <f t="shared" ca="1" si="118"/>
        <v>-0.41740484084698981</v>
      </c>
      <c r="AF626" s="24"/>
      <c r="AG626">
        <v>621</v>
      </c>
      <c r="AH626">
        <f t="shared" ca="1" si="124"/>
        <v>306.65322320557323</v>
      </c>
      <c r="AI626">
        <f t="shared" ca="1" si="125"/>
        <v>163.21766653729051</v>
      </c>
      <c r="AJ626">
        <f t="shared" ca="1" si="126"/>
        <v>52.638842674743628</v>
      </c>
      <c r="AL626">
        <v>621</v>
      </c>
      <c r="AM626" s="4">
        <f t="shared" ca="1" si="119"/>
        <v>-9.0058790519835785E-3</v>
      </c>
      <c r="AN626" s="4">
        <f t="shared" ca="1" si="120"/>
        <v>-6.3455984682936339E-3</v>
      </c>
      <c r="AO626" s="4">
        <f t="shared" ca="1" si="121"/>
        <v>-7.3761288621012611E-3</v>
      </c>
      <c r="AP626" s="4">
        <f t="shared" ca="1" si="122"/>
        <v>-7.4528417615429051E-3</v>
      </c>
    </row>
    <row r="627" spans="20:42" x14ac:dyDescent="0.3">
      <c r="T627">
        <v>621</v>
      </c>
      <c r="U627" s="4">
        <v>5.3094525892032115E-3</v>
      </c>
      <c r="V627" s="4"/>
      <c r="W627">
        <v>622</v>
      </c>
      <c r="X627">
        <f t="shared" ca="1" si="123"/>
        <v>0.82856271314591401</v>
      </c>
      <c r="Y627">
        <f t="shared" ca="1" si="123"/>
        <v>-1.3998081584493756</v>
      </c>
      <c r="Z627">
        <f t="shared" ca="1" si="123"/>
        <v>-1.3362847708302945</v>
      </c>
      <c r="AB627">
        <v>622</v>
      </c>
      <c r="AC627" s="24">
        <f t="shared" ca="1" si="116"/>
        <v>0.82856271314591401</v>
      </c>
      <c r="AD627" s="24">
        <f t="shared" ca="1" si="117"/>
        <v>3.1255001054526166E-2</v>
      </c>
      <c r="AE627" s="24">
        <f t="shared" ca="1" si="118"/>
        <v>-0.38830238909042453</v>
      </c>
      <c r="AF627" s="24"/>
      <c r="AG627">
        <v>622</v>
      </c>
      <c r="AH627">
        <f t="shared" ca="1" si="124"/>
        <v>313.83241749651205</v>
      </c>
      <c r="AI627">
        <f t="shared" ca="1" si="125"/>
        <v>164.36773939914892</v>
      </c>
      <c r="AJ627">
        <f t="shared" ca="1" si="126"/>
        <v>52.666036615683289</v>
      </c>
      <c r="AL627">
        <v>622</v>
      </c>
      <c r="AM627" s="4">
        <f t="shared" ca="1" si="119"/>
        <v>1.4194722791012637E-2</v>
      </c>
      <c r="AN627" s="4">
        <f t="shared" ca="1" si="120"/>
        <v>6.5594116593881147E-4</v>
      </c>
      <c r="AO627" s="4">
        <f t="shared" ca="1" si="121"/>
        <v>-6.8633258908464834E-3</v>
      </c>
      <c r="AP627" s="4">
        <f t="shared" ca="1" si="122"/>
        <v>2.4617955364253708E-3</v>
      </c>
    </row>
    <row r="628" spans="20:42" x14ac:dyDescent="0.3">
      <c r="T628">
        <v>622</v>
      </c>
      <c r="U628" s="4">
        <v>5.3732578298209101E-3</v>
      </c>
      <c r="V628" s="4"/>
      <c r="W628">
        <v>623</v>
      </c>
      <c r="X628">
        <f t="shared" ca="1" si="123"/>
        <v>-8.2141765998138605E-2</v>
      </c>
      <c r="Y628">
        <f t="shared" ca="1" si="123"/>
        <v>-0.6718182503068747</v>
      </c>
      <c r="Z628">
        <f t="shared" ca="1" si="123"/>
        <v>-0.67563761617597029</v>
      </c>
      <c r="AB628">
        <v>623</v>
      </c>
      <c r="AC628" s="24">
        <f t="shared" ca="1" si="116"/>
        <v>-8.2141765998138605E-2</v>
      </c>
      <c r="AD628" s="24">
        <f t="shared" ca="1" si="117"/>
        <v>-0.40250936573214635</v>
      </c>
      <c r="AE628" s="24">
        <f t="shared" ca="1" si="118"/>
        <v>-0.59539602909359024</v>
      </c>
      <c r="AF628" s="24"/>
      <c r="AG628">
        <v>623</v>
      </c>
      <c r="AH628">
        <f t="shared" ca="1" si="124"/>
        <v>309.00980708054561</v>
      </c>
      <c r="AI628">
        <f t="shared" ca="1" si="125"/>
        <v>162.89203435931785</v>
      </c>
      <c r="AJ628">
        <f t="shared" ca="1" si="126"/>
        <v>52.472829263916573</v>
      </c>
      <c r="AL628">
        <v>623</v>
      </c>
      <c r="AM628" s="4">
        <f t="shared" ca="1" si="119"/>
        <v>-1.390238357892537E-3</v>
      </c>
      <c r="AN628" s="4">
        <f t="shared" ca="1" si="120"/>
        <v>-8.3280177356893637E-3</v>
      </c>
      <c r="AO628" s="4">
        <f t="shared" ca="1" si="121"/>
        <v>-1.0506685427225548E-2</v>
      </c>
      <c r="AP628" s="4">
        <f t="shared" ca="1" si="122"/>
        <v>-6.9002842298111714E-3</v>
      </c>
    </row>
    <row r="629" spans="20:42" x14ac:dyDescent="0.3">
      <c r="T629">
        <v>623</v>
      </c>
      <c r="U629" s="4">
        <v>5.3874642159227985E-3</v>
      </c>
      <c r="V629" s="4"/>
      <c r="W629">
        <v>624</v>
      </c>
      <c r="X629">
        <f t="shared" ca="1" si="123"/>
        <v>-0.28361788138774352</v>
      </c>
      <c r="Y629">
        <f t="shared" ca="1" si="123"/>
        <v>-1.1304650389601014</v>
      </c>
      <c r="Z629">
        <f t="shared" ca="1" si="123"/>
        <v>1.5222792995055945</v>
      </c>
      <c r="AB629">
        <v>624</v>
      </c>
      <c r="AC629" s="24">
        <f t="shared" ca="1" si="116"/>
        <v>-0.28361788138774352</v>
      </c>
      <c r="AD629" s="24">
        <f t="shared" ca="1" si="117"/>
        <v>-0.80382267232346316</v>
      </c>
      <c r="AE629" s="24">
        <f t="shared" ca="1" si="118"/>
        <v>0.22902275715193254</v>
      </c>
      <c r="AF629" s="24"/>
      <c r="AG629">
        <v>624</v>
      </c>
      <c r="AH629">
        <f t="shared" ca="1" si="124"/>
        <v>307.95294715632457</v>
      </c>
      <c r="AI629">
        <f t="shared" ca="1" si="125"/>
        <v>161.53853263947508</v>
      </c>
      <c r="AJ629">
        <f t="shared" ca="1" si="126"/>
        <v>53.246199375023373</v>
      </c>
      <c r="AL629">
        <v>624</v>
      </c>
      <c r="AM629" s="4">
        <f t="shared" ca="1" si="119"/>
        <v>-4.8056336393127452E-3</v>
      </c>
      <c r="AN629" s="4">
        <f t="shared" ca="1" si="120"/>
        <v>-1.6568013870514764E-2</v>
      </c>
      <c r="AO629" s="4">
        <f t="shared" ca="1" si="121"/>
        <v>4.0769489101135648E-3</v>
      </c>
      <c r="AP629" s="4">
        <f t="shared" ca="1" si="122"/>
        <v>-6.8458109669656602E-3</v>
      </c>
    </row>
    <row r="630" spans="20:42" x14ac:dyDescent="0.3">
      <c r="T630">
        <v>624</v>
      </c>
      <c r="U630" s="4">
        <v>5.4639936802920678E-3</v>
      </c>
      <c r="V630" s="4"/>
      <c r="W630">
        <v>625</v>
      </c>
      <c r="X630">
        <f t="shared" ca="1" si="123"/>
        <v>0.16108270382330542</v>
      </c>
      <c r="Y630">
        <f t="shared" ca="1" si="123"/>
        <v>-1.009347057106269</v>
      </c>
      <c r="Z630">
        <f t="shared" ca="1" si="123"/>
        <v>0.55695418344022596</v>
      </c>
      <c r="AB630">
        <v>625</v>
      </c>
      <c r="AC630" s="24">
        <f t="shared" ca="1" si="116"/>
        <v>0.16108270382330542</v>
      </c>
      <c r="AD630" s="24">
        <f t="shared" ca="1" si="117"/>
        <v>-0.35717491860355743</v>
      </c>
      <c r="AE630" s="24">
        <f t="shared" ca="1" si="118"/>
        <v>0.13551607216998657</v>
      </c>
      <c r="AF630" s="24"/>
      <c r="AG630">
        <v>625</v>
      </c>
      <c r="AH630">
        <f t="shared" ca="1" si="124"/>
        <v>310.29049489526307</v>
      </c>
      <c r="AI630">
        <f t="shared" ca="1" si="125"/>
        <v>163.04564413869582</v>
      </c>
      <c r="AJ630">
        <f t="shared" ca="1" si="126"/>
        <v>53.157912720554428</v>
      </c>
      <c r="AL630">
        <v>625</v>
      </c>
      <c r="AM630" s="4">
        <f t="shared" ca="1" si="119"/>
        <v>2.7484890355056191E-3</v>
      </c>
      <c r="AN630" s="4">
        <f t="shared" ca="1" si="120"/>
        <v>-7.3928552827794425E-3</v>
      </c>
      <c r="AO630" s="4">
        <f t="shared" ca="1" si="121"/>
        <v>2.4121053026984196E-3</v>
      </c>
      <c r="AP630" s="4">
        <f t="shared" ca="1" si="122"/>
        <v>-1.4089638116505656E-3</v>
      </c>
    </row>
    <row r="631" spans="20:42" x14ac:dyDescent="0.3">
      <c r="T631">
        <v>625</v>
      </c>
      <c r="U631" s="4">
        <v>5.4735113508677987E-3</v>
      </c>
      <c r="V631" s="4"/>
      <c r="W631">
        <v>626</v>
      </c>
      <c r="X631">
        <f t="shared" ca="1" si="123"/>
        <v>-4.0925613185561392E-2</v>
      </c>
      <c r="Y631">
        <f t="shared" ca="1" si="123"/>
        <v>0.32933386492693267</v>
      </c>
      <c r="Z631">
        <f t="shared" ca="1" si="123"/>
        <v>0.75694092712242755</v>
      </c>
      <c r="AB631">
        <v>626</v>
      </c>
      <c r="AC631" s="24">
        <f t="shared" ca="1" si="116"/>
        <v>-4.0925613185561392E-2</v>
      </c>
      <c r="AD631" s="24">
        <f t="shared" ca="1" si="117"/>
        <v>0.12666334517427177</v>
      </c>
      <c r="AE631" s="24">
        <f t="shared" ca="1" si="118"/>
        <v>0.44166616417308718</v>
      </c>
      <c r="AF631" s="24"/>
      <c r="AG631">
        <v>626</v>
      </c>
      <c r="AH631">
        <f t="shared" ca="1" si="124"/>
        <v>309.22645635983014</v>
      </c>
      <c r="AI631">
        <f t="shared" ca="1" si="125"/>
        <v>164.69411656345608</v>
      </c>
      <c r="AJ631">
        <f t="shared" ca="1" si="126"/>
        <v>53.447518178840028</v>
      </c>
      <c r="AL631">
        <v>626</v>
      </c>
      <c r="AM631" s="4">
        <f t="shared" ca="1" si="119"/>
        <v>-6.9010496345356387E-4</v>
      </c>
      <c r="AN631" s="4">
        <f t="shared" ca="1" si="120"/>
        <v>2.6428958428037497E-3</v>
      </c>
      <c r="AO631" s="4">
        <f t="shared" ca="1" si="121"/>
        <v>7.8732681341533439E-3</v>
      </c>
      <c r="AP631" s="4">
        <f t="shared" ca="1" si="122"/>
        <v>3.2121072883314339E-3</v>
      </c>
    </row>
    <row r="632" spans="20:42" x14ac:dyDescent="0.3">
      <c r="T632">
        <v>626</v>
      </c>
      <c r="U632" s="4">
        <v>5.5663736299339395E-3</v>
      </c>
      <c r="V632" s="4"/>
      <c r="W632">
        <v>627</v>
      </c>
      <c r="X632">
        <f t="shared" ca="1" si="123"/>
        <v>-0.68200166005637108</v>
      </c>
      <c r="Y632">
        <f t="shared" ca="1" si="123"/>
        <v>0.50580742333045692</v>
      </c>
      <c r="Z632">
        <f t="shared" ca="1" si="123"/>
        <v>1.2631119127834225</v>
      </c>
      <c r="AB632">
        <v>627</v>
      </c>
      <c r="AC632" s="24">
        <f t="shared" ca="1" si="116"/>
        <v>-0.68200166005637108</v>
      </c>
      <c r="AD632" s="24">
        <f t="shared" ca="1" si="117"/>
        <v>-0.34423061305600039</v>
      </c>
      <c r="AE632" s="24">
        <f t="shared" ca="1" si="118"/>
        <v>0.22400722271940454</v>
      </c>
      <c r="AF632" s="24"/>
      <c r="AG632">
        <v>627</v>
      </c>
      <c r="AH632">
        <f t="shared" ca="1" si="124"/>
        <v>305.87381953790174</v>
      </c>
      <c r="AI632">
        <f t="shared" ca="1" si="125"/>
        <v>163.08953078562817</v>
      </c>
      <c r="AJ632">
        <f t="shared" ca="1" si="126"/>
        <v>53.241460114482109</v>
      </c>
      <c r="AL632">
        <v>627</v>
      </c>
      <c r="AM632" s="4">
        <f t="shared" ca="1" si="119"/>
        <v>-1.1524634421432145E-2</v>
      </c>
      <c r="AN632" s="4">
        <f t="shared" ca="1" si="120"/>
        <v>-7.1256773429280162E-3</v>
      </c>
      <c r="AO632" s="4">
        <f t="shared" ca="1" si="121"/>
        <v>3.9875794843100554E-3</v>
      </c>
      <c r="AP632" s="4">
        <f t="shared" ca="1" si="122"/>
        <v>-5.1113874183078339E-3</v>
      </c>
    </row>
    <row r="633" spans="20:42" x14ac:dyDescent="0.3">
      <c r="T633">
        <v>627</v>
      </c>
      <c r="U633" s="4">
        <v>5.6187165990004614E-3</v>
      </c>
      <c r="V633" s="4"/>
      <c r="W633">
        <v>628</v>
      </c>
      <c r="X633">
        <f t="shared" ca="1" si="123"/>
        <v>0.8352450279522825</v>
      </c>
      <c r="Y633">
        <f t="shared" ca="1" si="123"/>
        <v>-1.6215461399284539</v>
      </c>
      <c r="Z633">
        <f t="shared" ca="1" si="123"/>
        <v>-0.45866384117152881</v>
      </c>
      <c r="AB633">
        <v>628</v>
      </c>
      <c r="AC633" s="24">
        <f t="shared" ca="1" si="116"/>
        <v>0.8352450279522825</v>
      </c>
      <c r="AD633" s="24">
        <f t="shared" ca="1" si="117"/>
        <v>-7.2189305735536835E-2</v>
      </c>
      <c r="AE633" s="24">
        <f t="shared" ca="1" si="118"/>
        <v>1.348099302289657E-3</v>
      </c>
      <c r="AF633" s="24"/>
      <c r="AG633">
        <v>628</v>
      </c>
      <c r="AH633">
        <f t="shared" ca="1" si="124"/>
        <v>313.86808023947367</v>
      </c>
      <c r="AI633">
        <f t="shared" ca="1" si="125"/>
        <v>164.01460320774567</v>
      </c>
      <c r="AJ633">
        <f t="shared" ca="1" si="126"/>
        <v>53.031490352938526</v>
      </c>
      <c r="AL633">
        <v>628</v>
      </c>
      <c r="AM633" s="4">
        <f t="shared" ca="1" si="119"/>
        <v>1.4309972088712541E-2</v>
      </c>
      <c r="AN633" s="4">
        <f t="shared" ca="1" si="120"/>
        <v>-1.4939200492858351E-3</v>
      </c>
      <c r="AO633" s="4">
        <f t="shared" ca="1" si="121"/>
        <v>2.8126978617093457E-5</v>
      </c>
      <c r="AP633" s="4">
        <f t="shared" ca="1" si="122"/>
        <v>3.7038617004845559E-3</v>
      </c>
    </row>
    <row r="634" spans="20:42" x14ac:dyDescent="0.3">
      <c r="T634">
        <v>628</v>
      </c>
      <c r="U634" s="4">
        <v>5.6206183633050076E-3</v>
      </c>
      <c r="V634" s="4"/>
      <c r="W634">
        <v>629</v>
      </c>
      <c r="X634">
        <f t="shared" ca="1" si="123"/>
        <v>1.8018438082832815</v>
      </c>
      <c r="Y634">
        <f t="shared" ca="1" si="123"/>
        <v>-1.2300213196302399</v>
      </c>
      <c r="Z634">
        <f t="shared" ca="1" si="123"/>
        <v>-0.22379809327504993</v>
      </c>
      <c r="AB634">
        <v>629</v>
      </c>
      <c r="AC634" s="24">
        <f t="shared" ca="1" si="116"/>
        <v>1.8018438082832815</v>
      </c>
      <c r="AD634" s="24">
        <f t="shared" ca="1" si="117"/>
        <v>0.96184231175599955</v>
      </c>
      <c r="AE634" s="24">
        <f t="shared" ca="1" si="118"/>
        <v>1.0175890944113961</v>
      </c>
      <c r="AF634" s="24"/>
      <c r="AG634">
        <v>629</v>
      </c>
      <c r="AH634">
        <f t="shared" ca="1" si="124"/>
        <v>319.06963022777182</v>
      </c>
      <c r="AI634">
        <f t="shared" ca="1" si="125"/>
        <v>167.5789435555653</v>
      </c>
      <c r="AJ634">
        <f t="shared" ca="1" si="126"/>
        <v>53.996600326496193</v>
      </c>
      <c r="AL634">
        <v>629</v>
      </c>
      <c r="AM634" s="4">
        <f t="shared" ca="1" si="119"/>
        <v>3.1119531121995836E-2</v>
      </c>
      <c r="AN634" s="4">
        <f t="shared" ca="1" si="120"/>
        <v>2.0205461827117022E-2</v>
      </c>
      <c r="AO634" s="4">
        <f t="shared" ca="1" si="121"/>
        <v>1.8227448037897442E-2</v>
      </c>
      <c r="AP634" s="4">
        <f t="shared" ca="1" si="122"/>
        <v>2.2886278478814793E-2</v>
      </c>
    </row>
    <row r="635" spans="20:42" x14ac:dyDescent="0.3">
      <c r="T635">
        <v>629</v>
      </c>
      <c r="U635" s="4">
        <v>5.6835844989058916E-3</v>
      </c>
      <c r="V635" s="4"/>
      <c r="W635">
        <v>630</v>
      </c>
      <c r="X635">
        <f t="shared" ca="1" si="123"/>
        <v>-1.1159571961633663</v>
      </c>
      <c r="Y635">
        <f t="shared" ca="1" si="123"/>
        <v>0.96967369631660849</v>
      </c>
      <c r="Z635">
        <f t="shared" ca="1" si="123"/>
        <v>-0.18439127141647449</v>
      </c>
      <c r="AB635">
        <v>630</v>
      </c>
      <c r="AC635" s="24">
        <f t="shared" ca="1" si="116"/>
        <v>-1.1159571961633663</v>
      </c>
      <c r="AD635" s="24">
        <f t="shared" ca="1" si="117"/>
        <v>-0.4932833205135333</v>
      </c>
      <c r="AE635" s="24">
        <f t="shared" ca="1" si="118"/>
        <v>-0.73678052645910397</v>
      </c>
      <c r="AF635" s="24"/>
      <c r="AG635">
        <v>630</v>
      </c>
      <c r="AH635">
        <f t="shared" ca="1" si="124"/>
        <v>303.62501617470281</v>
      </c>
      <c r="AI635">
        <f t="shared" ca="1" si="125"/>
        <v>162.58489367876319</v>
      </c>
      <c r="AJ635">
        <f t="shared" ca="1" si="126"/>
        <v>52.341332333149332</v>
      </c>
      <c r="AL635">
        <v>630</v>
      </c>
      <c r="AM635" s="4">
        <f t="shared" ca="1" si="119"/>
        <v>-1.8791966845994046E-2</v>
      </c>
      <c r="AN635" s="4">
        <f t="shared" ca="1" si="120"/>
        <v>-1.0197862438148908E-2</v>
      </c>
      <c r="AO635" s="4">
        <f t="shared" ca="1" si="121"/>
        <v>-1.298635606260512E-2</v>
      </c>
      <c r="AP635" s="4">
        <f t="shared" ca="1" si="122"/>
        <v>-1.3612641847839314E-2</v>
      </c>
    </row>
    <row r="636" spans="20:42" x14ac:dyDescent="0.3">
      <c r="T636">
        <v>630</v>
      </c>
      <c r="U636" s="4">
        <v>5.736021066873387E-3</v>
      </c>
      <c r="V636" s="4"/>
      <c r="W636">
        <v>631</v>
      </c>
      <c r="X636">
        <f t="shared" ca="1" si="123"/>
        <v>-0.37024395359259837</v>
      </c>
      <c r="Y636">
        <f t="shared" ca="1" si="123"/>
        <v>-0.27953119093247014</v>
      </c>
      <c r="Z636">
        <f t="shared" ca="1" si="123"/>
        <v>1.7924523968594321</v>
      </c>
      <c r="AB636">
        <v>631</v>
      </c>
      <c r="AC636" s="24">
        <f t="shared" ca="1" si="116"/>
        <v>-0.37024395359259837</v>
      </c>
      <c r="AD636" s="24">
        <f t="shared" ca="1" si="117"/>
        <v>-0.45991379647325364</v>
      </c>
      <c r="AE636" s="24">
        <f t="shared" ca="1" si="118"/>
        <v>0.53033067084927121</v>
      </c>
      <c r="AF636" s="24"/>
      <c r="AG636">
        <v>631</v>
      </c>
      <c r="AH636">
        <f t="shared" ca="1" si="124"/>
        <v>307.49965469553825</v>
      </c>
      <c r="AI636">
        <f t="shared" ca="1" si="125"/>
        <v>162.69773466446301</v>
      </c>
      <c r="AJ636">
        <f t="shared" ca="1" si="126"/>
        <v>53.531685433165023</v>
      </c>
      <c r="AL636">
        <v>631</v>
      </c>
      <c r="AM636" s="4">
        <f t="shared" ca="1" si="119"/>
        <v>-6.2705136070284606E-3</v>
      </c>
      <c r="AN636" s="4">
        <f t="shared" ca="1" si="120"/>
        <v>-9.5108967162845781E-3</v>
      </c>
      <c r="AO636" s="4">
        <f t="shared" ca="1" si="121"/>
        <v>9.460431178891282E-3</v>
      </c>
      <c r="AP636" s="4">
        <f t="shared" ca="1" si="122"/>
        <v>-2.8473834149549846E-3</v>
      </c>
    </row>
    <row r="637" spans="20:42" x14ac:dyDescent="0.3">
      <c r="T637">
        <v>631</v>
      </c>
      <c r="U637" s="4">
        <v>5.8283676878474015E-3</v>
      </c>
      <c r="V637" s="4"/>
      <c r="W637">
        <v>632</v>
      </c>
      <c r="X637">
        <f t="shared" ca="1" si="123"/>
        <v>0.44076448847712363</v>
      </c>
      <c r="Y637">
        <f t="shared" ca="1" si="123"/>
        <v>0.57765063407594419</v>
      </c>
      <c r="Z637">
        <f t="shared" ca="1" si="123"/>
        <v>-0.65422824324819706</v>
      </c>
      <c r="AB637">
        <v>632</v>
      </c>
      <c r="AC637" s="24">
        <f t="shared" ca="1" si="116"/>
        <v>0.44076448847712363</v>
      </c>
      <c r="AD637" s="24">
        <f t="shared" ca="1" si="117"/>
        <v>0.66817440645328929</v>
      </c>
      <c r="AE637" s="24">
        <f t="shared" ca="1" si="118"/>
        <v>0.18719134366543833</v>
      </c>
      <c r="AF637" s="24"/>
      <c r="AG637">
        <v>632</v>
      </c>
      <c r="AH637">
        <f t="shared" ca="1" si="124"/>
        <v>311.7697092799807</v>
      </c>
      <c r="AI637">
        <f t="shared" ca="1" si="125"/>
        <v>166.55885763701377</v>
      </c>
      <c r="AJ637">
        <f t="shared" ca="1" si="126"/>
        <v>53.206685097980547</v>
      </c>
      <c r="AL637">
        <v>632</v>
      </c>
      <c r="AM637" s="4">
        <f t="shared" ca="1" si="119"/>
        <v>7.528783674359607E-3</v>
      </c>
      <c r="AN637" s="4">
        <f t="shared" ca="1" si="120"/>
        <v>1.3995270954931804E-2</v>
      </c>
      <c r="AO637" s="4">
        <f t="shared" ca="1" si="121"/>
        <v>3.3318182679786812E-3</v>
      </c>
      <c r="AP637" s="4">
        <f t="shared" ca="1" si="122"/>
        <v>8.8562889646742089E-3</v>
      </c>
    </row>
    <row r="638" spans="20:42" x14ac:dyDescent="0.3">
      <c r="T638">
        <v>632</v>
      </c>
      <c r="U638" s="4">
        <v>5.8629115286110032E-3</v>
      </c>
      <c r="V638" s="4"/>
      <c r="W638">
        <v>633</v>
      </c>
      <c r="X638">
        <f t="shared" ca="1" si="123"/>
        <v>-0.74947973175698446</v>
      </c>
      <c r="Y638">
        <f t="shared" ca="1" si="123"/>
        <v>-0.89150440074139048</v>
      </c>
      <c r="Z638">
        <f t="shared" ca="1" si="123"/>
        <v>1.2346654908026955</v>
      </c>
      <c r="AB638">
        <v>633</v>
      </c>
      <c r="AC638" s="24">
        <f t="shared" ca="1" si="116"/>
        <v>-0.74947973175698446</v>
      </c>
      <c r="AD638" s="24">
        <f t="shared" ca="1" si="117"/>
        <v>-1.0914594435794358</v>
      </c>
      <c r="AE638" s="24">
        <f t="shared" ca="1" si="118"/>
        <v>-0.23123038854351063</v>
      </c>
      <c r="AF638" s="24"/>
      <c r="AG638">
        <v>633</v>
      </c>
      <c r="AH638">
        <f t="shared" ca="1" si="124"/>
        <v>305.52305056896006</v>
      </c>
      <c r="AI638">
        <f t="shared" ca="1" si="125"/>
        <v>160.57535019211571</v>
      </c>
      <c r="AJ638">
        <f t="shared" ca="1" si="126"/>
        <v>52.813050700354196</v>
      </c>
      <c r="AL638">
        <v>633</v>
      </c>
      <c r="AM638" s="4">
        <f t="shared" ca="1" si="119"/>
        <v>-1.2658194937765543E-2</v>
      </c>
      <c r="AN638" s="4">
        <f t="shared" ca="1" si="120"/>
        <v>-2.2431781553273855E-2</v>
      </c>
      <c r="AO638" s="4">
        <f t="shared" ca="1" si="121"/>
        <v>-4.0910443887715031E-3</v>
      </c>
      <c r="AP638" s="4">
        <f t="shared" ca="1" si="122"/>
        <v>-1.3997484419270657E-2</v>
      </c>
    </row>
    <row r="639" spans="20:42" x14ac:dyDescent="0.3">
      <c r="T639">
        <v>633</v>
      </c>
      <c r="U639" s="4">
        <v>5.8659586386402675E-3</v>
      </c>
      <c r="V639" s="4"/>
      <c r="W639">
        <v>634</v>
      </c>
      <c r="X639">
        <f t="shared" ca="1" si="123"/>
        <v>-0.66473504197509681</v>
      </c>
      <c r="Y639">
        <f t="shared" ca="1" si="123"/>
        <v>-0.62694360934554039</v>
      </c>
      <c r="Z639">
        <f t="shared" ca="1" si="123"/>
        <v>-0.15646197617331789</v>
      </c>
      <c r="AB639">
        <v>634</v>
      </c>
      <c r="AC639" s="24">
        <f t="shared" ca="1" si="116"/>
        <v>-0.66473504197509681</v>
      </c>
      <c r="AD639" s="24">
        <f t="shared" ca="1" si="117"/>
        <v>-0.88735698375815397</v>
      </c>
      <c r="AE639" s="24">
        <f t="shared" ca="1" si="118"/>
        <v>-0.79504713392903659</v>
      </c>
      <c r="AF639" s="24"/>
      <c r="AG639">
        <v>634</v>
      </c>
      <c r="AH639">
        <f t="shared" ca="1" si="124"/>
        <v>305.96364070269686</v>
      </c>
      <c r="AI639">
        <f t="shared" ca="1" si="125"/>
        <v>161.25821531161503</v>
      </c>
      <c r="AJ639">
        <f t="shared" ca="1" si="126"/>
        <v>52.28723646867234</v>
      </c>
      <c r="AL639">
        <v>634</v>
      </c>
      <c r="AM639" s="4">
        <f t="shared" ca="1" si="119"/>
        <v>-1.1234364372031735E-2</v>
      </c>
      <c r="AN639" s="4">
        <f t="shared" ca="1" si="120"/>
        <v>-1.8274560426184916E-2</v>
      </c>
      <c r="AO639" s="4">
        <f t="shared" ca="1" si="121"/>
        <v>-1.400645535964895E-2</v>
      </c>
      <c r="AP639" s="4">
        <f t="shared" ca="1" si="122"/>
        <v>-1.4882070089978171E-2</v>
      </c>
    </row>
    <row r="640" spans="20:42" x14ac:dyDescent="0.3">
      <c r="T640">
        <v>634</v>
      </c>
      <c r="U640" s="4">
        <v>5.8680406340442474E-3</v>
      </c>
      <c r="V640" s="4"/>
      <c r="W640">
        <v>635</v>
      </c>
      <c r="X640">
        <f t="shared" ca="1" si="123"/>
        <v>-0.99364014936597767</v>
      </c>
      <c r="Y640">
        <f t="shared" ca="1" si="123"/>
        <v>-0.26538275413786477</v>
      </c>
      <c r="Z640">
        <f t="shared" ca="1" si="123"/>
        <v>0.17985286545931697</v>
      </c>
      <c r="AB640">
        <v>635</v>
      </c>
      <c r="AC640" s="24">
        <f t="shared" ca="1" si="116"/>
        <v>-0.99364014936597767</v>
      </c>
      <c r="AD640" s="24">
        <f t="shared" ca="1" si="117"/>
        <v>-0.99540718738083955</v>
      </c>
      <c r="AE640" s="24">
        <f t="shared" ca="1" si="118"/>
        <v>-0.79301567349698887</v>
      </c>
      <c r="AF640" s="24"/>
      <c r="AG640">
        <v>635</v>
      </c>
      <c r="AH640">
        <f t="shared" ca="1" si="124"/>
        <v>304.25719741762987</v>
      </c>
      <c r="AI640">
        <f t="shared" ca="1" si="125"/>
        <v>160.89635104083143</v>
      </c>
      <c r="AJ640">
        <f t="shared" ca="1" si="126"/>
        <v>52.289121575506243</v>
      </c>
      <c r="AL640">
        <v>635</v>
      </c>
      <c r="AM640" s="4">
        <f t="shared" ca="1" si="119"/>
        <v>-1.6748981976748567E-2</v>
      </c>
      <c r="AN640" s="4">
        <f t="shared" ca="1" si="120"/>
        <v>-2.0477557399794066E-2</v>
      </c>
      <c r="AO640" s="4">
        <f t="shared" ca="1" si="121"/>
        <v>-1.3970907426831713E-2</v>
      </c>
      <c r="AP640" s="4">
        <f t="shared" ca="1" si="122"/>
        <v>-1.740698978099171E-2</v>
      </c>
    </row>
    <row r="641" spans="20:42" x14ac:dyDescent="0.3">
      <c r="T641">
        <v>635</v>
      </c>
      <c r="U641" s="4">
        <v>5.9160110353237766E-3</v>
      </c>
      <c r="V641" s="4"/>
      <c r="W641">
        <v>636</v>
      </c>
      <c r="X641">
        <f t="shared" ca="1" si="123"/>
        <v>-0.62246503281312959</v>
      </c>
      <c r="Y641">
        <f t="shared" ca="1" si="123"/>
        <v>1.4555610243452448</v>
      </c>
      <c r="Z641">
        <f t="shared" ca="1" si="123"/>
        <v>1.0125811182948221</v>
      </c>
      <c r="AB641">
        <v>636</v>
      </c>
      <c r="AC641" s="24">
        <f t="shared" ca="1" si="116"/>
        <v>-0.62246503281312959</v>
      </c>
      <c r="AD641" s="24">
        <f t="shared" ca="1" si="117"/>
        <v>0.17555806167194776</v>
      </c>
      <c r="AE641" s="24">
        <f t="shared" ca="1" si="118"/>
        <v>0.4076306213142144</v>
      </c>
      <c r="AF641" s="24"/>
      <c r="AG641">
        <v>636</v>
      </c>
      <c r="AH641">
        <f t="shared" ca="1" si="124"/>
        <v>306.18364116223847</v>
      </c>
      <c r="AI641">
        <f t="shared" ca="1" si="125"/>
        <v>164.86162889688666</v>
      </c>
      <c r="AJ641">
        <f t="shared" ca="1" si="126"/>
        <v>53.415244152289134</v>
      </c>
      <c r="AL641">
        <v>636</v>
      </c>
      <c r="AM641" s="4">
        <f t="shared" ca="1" si="119"/>
        <v>-1.0523401155234202E-2</v>
      </c>
      <c r="AN641" s="4">
        <f t="shared" ca="1" si="120"/>
        <v>3.662695788210435E-3</v>
      </c>
      <c r="AO641" s="4">
        <f t="shared" ca="1" si="121"/>
        <v>7.2646687131876497E-3</v>
      </c>
      <c r="AP641" s="4">
        <f t="shared" ca="1" si="122"/>
        <v>4.8745858267020816E-4</v>
      </c>
    </row>
    <row r="642" spans="20:42" x14ac:dyDescent="0.3">
      <c r="T642">
        <v>636</v>
      </c>
      <c r="U642" s="4">
        <v>5.9436384825549467E-3</v>
      </c>
      <c r="V642" s="4"/>
      <c r="W642">
        <v>637</v>
      </c>
      <c r="X642">
        <f t="shared" ca="1" si="123"/>
        <v>0.37287928469271658</v>
      </c>
      <c r="Y642">
        <f t="shared" ca="1" si="123"/>
        <v>0.52984918509204815</v>
      </c>
      <c r="Z642">
        <f t="shared" ca="1" si="123"/>
        <v>2.6441460711134644E-2</v>
      </c>
      <c r="AB642">
        <v>637</v>
      </c>
      <c r="AC642" s="24">
        <f t="shared" ca="1" si="116"/>
        <v>0.37287928469271658</v>
      </c>
      <c r="AD642" s="24">
        <f t="shared" ca="1" si="117"/>
        <v>0.58554860855207846</v>
      </c>
      <c r="AE642" s="24">
        <f t="shared" ca="1" si="118"/>
        <v>0.46403661197531593</v>
      </c>
      <c r="AF642" s="24"/>
      <c r="AG642">
        <v>637</v>
      </c>
      <c r="AH642">
        <f t="shared" ca="1" si="124"/>
        <v>311.41002311158269</v>
      </c>
      <c r="AI642">
        <f t="shared" ca="1" si="125"/>
        <v>166.27296931580838</v>
      </c>
      <c r="AJ642">
        <f t="shared" ca="1" si="126"/>
        <v>53.468741459438647</v>
      </c>
      <c r="AL642">
        <v>637</v>
      </c>
      <c r="AM642" s="4">
        <f t="shared" ca="1" si="119"/>
        <v>6.3664059418100383E-3</v>
      </c>
      <c r="AN642" s="4">
        <f t="shared" ca="1" si="120"/>
        <v>1.2254808695306707E-2</v>
      </c>
      <c r="AO642" s="4">
        <f t="shared" ca="1" si="121"/>
        <v>8.2734808644411295E-3</v>
      </c>
      <c r="AP642" s="4">
        <f t="shared" ca="1" si="122"/>
        <v>9.2938895199980338E-3</v>
      </c>
    </row>
    <row r="643" spans="20:42" x14ac:dyDescent="0.3">
      <c r="T643">
        <v>637</v>
      </c>
      <c r="U643" s="4">
        <v>5.9519069007827989E-3</v>
      </c>
      <c r="V643" s="4"/>
      <c r="W643">
        <v>638</v>
      </c>
      <c r="X643">
        <f t="shared" ca="1" si="123"/>
        <v>-0.1013987388832137</v>
      </c>
      <c r="Y643">
        <f t="shared" ca="1" si="123"/>
        <v>0.34592145774629185</v>
      </c>
      <c r="Z643">
        <f t="shared" ca="1" si="123"/>
        <v>-0.54192536109604161</v>
      </c>
      <c r="AB643">
        <v>638</v>
      </c>
      <c r="AC643" s="24">
        <f t="shared" ca="1" si="116"/>
        <v>-0.1013987388832137</v>
      </c>
      <c r="AD643" s="24">
        <f t="shared" ca="1" si="117"/>
        <v>8.221440124219892E-2</v>
      </c>
      <c r="AE643" s="24">
        <f t="shared" ca="1" si="118"/>
        <v>-0.26230944644694998</v>
      </c>
      <c r="AF643" s="24"/>
      <c r="AG643">
        <v>638</v>
      </c>
      <c r="AH643">
        <f t="shared" ca="1" si="124"/>
        <v>308.90863643701942</v>
      </c>
      <c r="AI643">
        <f t="shared" ca="1" si="125"/>
        <v>164.54198305882335</v>
      </c>
      <c r="AJ643">
        <f t="shared" ca="1" si="126"/>
        <v>52.7839292219344</v>
      </c>
      <c r="AL643">
        <v>638</v>
      </c>
      <c r="AM643" s="4">
        <f t="shared" ca="1" si="119"/>
        <v>-1.7171858848056276E-3</v>
      </c>
      <c r="AN643" s="4">
        <f t="shared" ca="1" si="120"/>
        <v>1.7167208171104953E-3</v>
      </c>
      <c r="AO643" s="4">
        <f t="shared" ca="1" si="121"/>
        <v>-4.6401954181916061E-3</v>
      </c>
      <c r="AP643" s="4">
        <f t="shared" ca="1" si="122"/>
        <v>-1.2205260640549718E-3</v>
      </c>
    </row>
    <row r="644" spans="20:42" x14ac:dyDescent="0.3">
      <c r="T644">
        <v>638</v>
      </c>
      <c r="U644" s="4">
        <v>5.9610096816109289E-3</v>
      </c>
      <c r="V644" s="4"/>
      <c r="W644">
        <v>639</v>
      </c>
      <c r="X644">
        <f t="shared" ca="1" si="123"/>
        <v>2.5139269875703696E-2</v>
      </c>
      <c r="Y644">
        <f t="shared" ca="1" si="123"/>
        <v>0.51103835772591055</v>
      </c>
      <c r="Z644">
        <f t="shared" ca="1" si="123"/>
        <v>1.0734991832045764</v>
      </c>
      <c r="AB644">
        <v>639</v>
      </c>
      <c r="AC644" s="24">
        <f t="shared" ca="1" si="116"/>
        <v>2.5139269875703696E-2</v>
      </c>
      <c r="AD644" s="24">
        <f t="shared" ca="1" si="117"/>
        <v>0.27368448514475341</v>
      </c>
      <c r="AE644" s="24">
        <f t="shared" ca="1" si="118"/>
        <v>0.70640722679208401</v>
      </c>
      <c r="AF644" s="24"/>
      <c r="AG644">
        <v>639</v>
      </c>
      <c r="AH644">
        <f t="shared" ca="1" si="124"/>
        <v>309.57403783021084</v>
      </c>
      <c r="AI644">
        <f t="shared" ca="1" si="125"/>
        <v>165.19832233803194</v>
      </c>
      <c r="AJ644">
        <f t="shared" ca="1" si="126"/>
        <v>53.699224178393351</v>
      </c>
      <c r="AL644">
        <v>639</v>
      </c>
      <c r="AM644" s="4">
        <f t="shared" ca="1" si="119"/>
        <v>4.3315469153082375E-4</v>
      </c>
      <c r="AN644" s="4">
        <f t="shared" ca="1" si="120"/>
        <v>5.7124550260343465E-3</v>
      </c>
      <c r="AO644" s="4">
        <f t="shared" ca="1" si="121"/>
        <v>1.2619751357750841E-2</v>
      </c>
      <c r="AP644" s="4">
        <f t="shared" ca="1" si="122"/>
        <v>6.200853825198238E-3</v>
      </c>
    </row>
    <row r="645" spans="20:42" x14ac:dyDescent="0.3">
      <c r="T645">
        <v>639</v>
      </c>
      <c r="U645" s="4">
        <v>6.1402812741913285E-3</v>
      </c>
      <c r="V645" s="4"/>
      <c r="W645">
        <v>640</v>
      </c>
      <c r="X645">
        <f t="shared" ca="1" si="123"/>
        <v>-0.3783690784918502</v>
      </c>
      <c r="Y645">
        <f t="shared" ca="1" si="123"/>
        <v>9.2010361379071176E-2</v>
      </c>
      <c r="Z645">
        <f t="shared" ca="1" si="123"/>
        <v>4.0474373976974377E-2</v>
      </c>
      <c r="AB645">
        <v>640</v>
      </c>
      <c r="AC645" s="24">
        <f t="shared" ca="1" si="116"/>
        <v>-0.3783690784918502</v>
      </c>
      <c r="AD645" s="24">
        <f t="shared" ca="1" si="117"/>
        <v>-0.28391082604954215</v>
      </c>
      <c r="AE645" s="24">
        <f t="shared" ca="1" si="118"/>
        <v>-0.26289448431727075</v>
      </c>
      <c r="AF645" s="24"/>
      <c r="AG645">
        <v>640</v>
      </c>
      <c r="AH645">
        <f t="shared" ca="1" si="124"/>
        <v>307.45717220088375</v>
      </c>
      <c r="AI645">
        <f t="shared" ca="1" si="125"/>
        <v>163.29419609935076</v>
      </c>
      <c r="AJ645">
        <f t="shared" ca="1" si="126"/>
        <v>52.783381187908446</v>
      </c>
      <c r="AL645">
        <v>640</v>
      </c>
      <c r="AM645" s="4">
        <f t="shared" ca="1" si="119"/>
        <v>-6.4078019159715671E-3</v>
      </c>
      <c r="AN645" s="4">
        <f t="shared" ca="1" si="120"/>
        <v>-5.8796934115571409E-3</v>
      </c>
      <c r="AO645" s="4">
        <f t="shared" ca="1" si="121"/>
        <v>-4.6505298334011957E-3</v>
      </c>
      <c r="AP645" s="4">
        <f t="shared" ca="1" si="122"/>
        <v>-5.6693768894346859E-3</v>
      </c>
    </row>
    <row r="646" spans="20:42" x14ac:dyDescent="0.3">
      <c r="T646">
        <v>640</v>
      </c>
      <c r="U646" s="4">
        <v>6.1991327227415068E-3</v>
      </c>
      <c r="V646" s="4"/>
      <c r="W646">
        <v>641</v>
      </c>
      <c r="X646">
        <f t="shared" ca="1" si="123"/>
        <v>-0.21587457785292646</v>
      </c>
      <c r="Y646">
        <f t="shared" ca="1" si="123"/>
        <v>8.6316984771616909E-2</v>
      </c>
      <c r="Z646">
        <f t="shared" ca="1" si="123"/>
        <v>-1.0795976760538415</v>
      </c>
      <c r="AB646">
        <v>641</v>
      </c>
      <c r="AC646" s="24">
        <f t="shared" ref="AC646:AC709" ca="1" si="127">SUMPRODUCT($Q$24:$S$24,X646:Z646)</f>
        <v>-0.21587457785292646</v>
      </c>
      <c r="AD646" s="24">
        <f t="shared" ref="AD646:AD709" ca="1" si="128">SUMPRODUCT($Q$25:$S$25,X646:Z646)</f>
        <v>-0.14531723915274747</v>
      </c>
      <c r="AE646" s="24">
        <f t="shared" ref="AE646:AE709" ca="1" si="129">SUMPRODUCT($Q$26:$S$26,X646:Z646)</f>
        <v>-0.7002876688149724</v>
      </c>
      <c r="AF646" s="24"/>
      <c r="AG646">
        <v>641</v>
      </c>
      <c r="AH646">
        <f t="shared" ca="1" si="124"/>
        <v>308.30789638498595</v>
      </c>
      <c r="AI646">
        <f t="shared" ca="1" si="125"/>
        <v>163.76541831889105</v>
      </c>
      <c r="AJ646">
        <f t="shared" ca="1" si="126"/>
        <v>52.375241519516443</v>
      </c>
      <c r="AL646">
        <v>641</v>
      </c>
      <c r="AM646" s="4">
        <f t="shared" ref="AM646:AM709" ca="1" si="130">AH646/$AH$2-1</f>
        <v>-3.6585640107550388E-3</v>
      </c>
      <c r="AN646" s="4">
        <f t="shared" ref="AN646:AN709" ca="1" si="131">AI646/$AI$2-1</f>
        <v>-3.010935130180914E-3</v>
      </c>
      <c r="AO646" s="4">
        <f t="shared" ref="AO646:AO709" ca="1" si="132">AJ646/$AJ$2-1</f>
        <v>-1.2346922022483109E-2</v>
      </c>
      <c r="AP646" s="4">
        <f t="shared" ref="AP646:AP709" ca="1" si="133">SUMPRODUCT($P$6:$R$6,AM646:AO646)</f>
        <v>-6.0060198620438101E-3</v>
      </c>
    </row>
    <row r="647" spans="20:42" x14ac:dyDescent="0.3">
      <c r="T647">
        <v>641</v>
      </c>
      <c r="U647" s="4">
        <v>6.2138704411021754E-3</v>
      </c>
      <c r="V647" s="4"/>
      <c r="W647">
        <v>642</v>
      </c>
      <c r="X647">
        <f t="shared" ref="X647:Z710" ca="1" si="134">_xlfn.NORM.S.INV(RAND())</f>
        <v>-2.1172065790632635</v>
      </c>
      <c r="Y647">
        <f t="shared" ca="1" si="134"/>
        <v>0.14739690570514219</v>
      </c>
      <c r="Z647">
        <f t="shared" ca="1" si="134"/>
        <v>-4.0651597472629253E-2</v>
      </c>
      <c r="AB647">
        <v>642</v>
      </c>
      <c r="AC647" s="24">
        <f t="shared" ca="1" si="127"/>
        <v>-2.1172065790632635</v>
      </c>
      <c r="AD647" s="24">
        <f t="shared" ca="1" si="128"/>
        <v>-1.7697156751066125</v>
      </c>
      <c r="AE647" s="24">
        <f t="shared" ca="1" si="129"/>
        <v>-1.7080637777945353</v>
      </c>
      <c r="AF647" s="24"/>
      <c r="AG647">
        <v>642</v>
      </c>
      <c r="AH647">
        <f t="shared" ref="AH647:AH710" ca="1" si="135">$L$21*EXP(($L$19-(($L$20^2)/2))*(1/252)+$L$20*AC647)</f>
        <v>298.49931496129147</v>
      </c>
      <c r="AI647">
        <f t="shared" ref="AI647:AI710" ca="1" si="136">$M$21*EXP(($M$19-(($M$20^2)/2))*(1/252)+$M$20*AD647)</f>
        <v>158.32681304577324</v>
      </c>
      <c r="AJ647">
        <f t="shared" ref="AJ647:AJ710" ca="1" si="137">$N$21*EXP(($N$19-(($N$20^2)/2))*(1/252)+$N$20*AE647)</f>
        <v>51.446839028886153</v>
      </c>
      <c r="AL647">
        <v>642</v>
      </c>
      <c r="AM647" s="4">
        <f t="shared" ca="1" si="130"/>
        <v>-3.5356409623174767E-2</v>
      </c>
      <c r="AN647" s="4">
        <f t="shared" ca="1" si="131"/>
        <v>-3.612067246729922E-2</v>
      </c>
      <c r="AO647" s="4">
        <f t="shared" ca="1" si="132"/>
        <v>-2.985404086090071E-2</v>
      </c>
      <c r="AP647" s="4">
        <f t="shared" ca="1" si="133"/>
        <v>-3.4011404132142334E-2</v>
      </c>
    </row>
    <row r="648" spans="20:42" x14ac:dyDescent="0.3">
      <c r="T648">
        <v>642</v>
      </c>
      <c r="U648" s="4">
        <v>6.2628867488532134E-3</v>
      </c>
      <c r="V648" s="4"/>
      <c r="W648">
        <v>643</v>
      </c>
      <c r="X648">
        <f t="shared" ca="1" si="134"/>
        <v>-0.4641352390446134</v>
      </c>
      <c r="Y648">
        <f t="shared" ca="1" si="134"/>
        <v>0.61594911044788325</v>
      </c>
      <c r="Z648">
        <f t="shared" ca="1" si="134"/>
        <v>-1.2735512587387452</v>
      </c>
      <c r="AB648">
        <v>643</v>
      </c>
      <c r="AC648" s="24">
        <f t="shared" ca="1" si="127"/>
        <v>-0.4641352390446134</v>
      </c>
      <c r="AD648" s="24">
        <f t="shared" ca="1" si="128"/>
        <v>-0.1003771352674368</v>
      </c>
      <c r="AE648" s="24">
        <f t="shared" ca="1" si="129"/>
        <v>-0.85515598322120323</v>
      </c>
      <c r="AF648" s="24"/>
      <c r="AG648">
        <v>643</v>
      </c>
      <c r="AH648">
        <f t="shared" ca="1" si="135"/>
        <v>307.00909868012911</v>
      </c>
      <c r="AI648">
        <f t="shared" ca="1" si="136"/>
        <v>163.91850774136859</v>
      </c>
      <c r="AJ648">
        <f t="shared" ca="1" si="137"/>
        <v>52.231488818728245</v>
      </c>
      <c r="AL648">
        <v>643</v>
      </c>
      <c r="AM648" s="4">
        <f t="shared" ca="1" si="130"/>
        <v>-7.8558161262205495E-3</v>
      </c>
      <c r="AN648" s="4">
        <f t="shared" ca="1" si="131"/>
        <v>-2.0789405630486923E-3</v>
      </c>
      <c r="AO648" s="4">
        <f t="shared" ca="1" si="132"/>
        <v>-1.5057702789921468E-2</v>
      </c>
      <c r="AP648" s="4">
        <f t="shared" ca="1" si="133"/>
        <v>-7.7056319000620823E-3</v>
      </c>
    </row>
    <row r="649" spans="20:42" x14ac:dyDescent="0.3">
      <c r="T649">
        <v>643</v>
      </c>
      <c r="U649" s="4">
        <v>6.3317249554698972E-3</v>
      </c>
      <c r="V649" s="4"/>
      <c r="W649">
        <v>644</v>
      </c>
      <c r="X649">
        <f t="shared" ca="1" si="134"/>
        <v>-1.311471582199174</v>
      </c>
      <c r="Y649">
        <f t="shared" ca="1" si="134"/>
        <v>1.6219766917825145</v>
      </c>
      <c r="Z649">
        <f t="shared" ca="1" si="134"/>
        <v>0.74912481092679739</v>
      </c>
      <c r="AB649">
        <v>644</v>
      </c>
      <c r="AC649" s="24">
        <f t="shared" ca="1" si="127"/>
        <v>-1.311471582199174</v>
      </c>
      <c r="AD649" s="24">
        <f t="shared" ca="1" si="128"/>
        <v>-0.34199982831803966</v>
      </c>
      <c r="AE649" s="24">
        <f t="shared" ca="1" si="129"/>
        <v>-0.24252470865378206</v>
      </c>
      <c r="AF649" s="24"/>
      <c r="AG649">
        <v>644</v>
      </c>
      <c r="AH649">
        <f t="shared" ca="1" si="135"/>
        <v>302.61724978736788</v>
      </c>
      <c r="AI649">
        <f t="shared" ca="1" si="136"/>
        <v>163.09709527855313</v>
      </c>
      <c r="AJ649">
        <f t="shared" ca="1" si="137"/>
        <v>52.802465918645652</v>
      </c>
      <c r="AL649">
        <v>644</v>
      </c>
      <c r="AM649" s="4">
        <f t="shared" ca="1" si="130"/>
        <v>-2.2048709281955459E-2</v>
      </c>
      <c r="AN649" s="4">
        <f t="shared" ca="1" si="131"/>
        <v>-7.0796253937137621E-3</v>
      </c>
      <c r="AO649" s="4">
        <f t="shared" ca="1" si="132"/>
        <v>-4.2906442747265849E-3</v>
      </c>
      <c r="AP649" s="4">
        <f t="shared" ca="1" si="133"/>
        <v>-1.0733656224490117E-2</v>
      </c>
    </row>
    <row r="650" spans="20:42" x14ac:dyDescent="0.3">
      <c r="T650">
        <v>644</v>
      </c>
      <c r="U650" s="4">
        <v>6.3358721513649737E-3</v>
      </c>
      <c r="V650" s="4"/>
      <c r="W650">
        <v>645</v>
      </c>
      <c r="X650">
        <f t="shared" ca="1" si="134"/>
        <v>-0.60354827307776393</v>
      </c>
      <c r="Y650">
        <f t="shared" ca="1" si="134"/>
        <v>0.83759299605132786</v>
      </c>
      <c r="Z650">
        <f t="shared" ca="1" si="134"/>
        <v>-1.7326726809510535</v>
      </c>
      <c r="AB650">
        <v>645</v>
      </c>
      <c r="AC650" s="24">
        <f t="shared" ca="1" si="127"/>
        <v>-0.60354827307776393</v>
      </c>
      <c r="AD650" s="24">
        <f t="shared" ca="1" si="128"/>
        <v>-0.11247838158295931</v>
      </c>
      <c r="AE650" s="24">
        <f t="shared" ca="1" si="129"/>
        <v>-1.1407758391337364</v>
      </c>
      <c r="AF650" s="24"/>
      <c r="AG650">
        <v>645</v>
      </c>
      <c r="AH650">
        <f t="shared" ca="1" si="135"/>
        <v>306.28214744211226</v>
      </c>
      <c r="AI650">
        <f t="shared" ca="1" si="136"/>
        <v>163.87727051370501</v>
      </c>
      <c r="AJ650">
        <f t="shared" ca="1" si="137"/>
        <v>51.967403259231887</v>
      </c>
      <c r="AL650">
        <v>645</v>
      </c>
      <c r="AM650" s="4">
        <f t="shared" ca="1" si="130"/>
        <v>-1.0205063903758638E-2</v>
      </c>
      <c r="AN650" s="4">
        <f t="shared" ca="1" si="131"/>
        <v>-2.3299890778583077E-3</v>
      </c>
      <c r="AO650" s="4">
        <f t="shared" ca="1" si="132"/>
        <v>-2.0037630483215385E-2</v>
      </c>
      <c r="AP650" s="4">
        <f t="shared" ca="1" si="133"/>
        <v>-1.0004803947235529E-2</v>
      </c>
    </row>
    <row r="651" spans="20:42" x14ac:dyDescent="0.3">
      <c r="T651">
        <v>645</v>
      </c>
      <c r="U651" s="4">
        <v>6.4164798133837129E-3</v>
      </c>
      <c r="V651" s="4"/>
      <c r="W651">
        <v>646</v>
      </c>
      <c r="X651">
        <f t="shared" ca="1" si="134"/>
        <v>-1.7693825394091947</v>
      </c>
      <c r="Y651">
        <f t="shared" ca="1" si="134"/>
        <v>-0.1149429405710147</v>
      </c>
      <c r="Z651">
        <f t="shared" ca="1" si="134"/>
        <v>0.68523561172961434</v>
      </c>
      <c r="AB651">
        <v>646</v>
      </c>
      <c r="AC651" s="24">
        <f t="shared" ca="1" si="127"/>
        <v>-1.7693825394091947</v>
      </c>
      <c r="AD651" s="24">
        <f t="shared" ca="1" si="128"/>
        <v>-1.5963125280182529</v>
      </c>
      <c r="AE651" s="24">
        <f t="shared" ca="1" si="129"/>
        <v>-1.1281794722296667</v>
      </c>
      <c r="AF651" s="24"/>
      <c r="AG651">
        <v>646</v>
      </c>
      <c r="AH651">
        <f t="shared" ca="1" si="135"/>
        <v>300.27004860633457</v>
      </c>
      <c r="AI651">
        <f t="shared" ca="1" si="136"/>
        <v>158.89866099203621</v>
      </c>
      <c r="AJ651">
        <f t="shared" ca="1" si="137"/>
        <v>51.979021729333233</v>
      </c>
      <c r="AL651">
        <v>646</v>
      </c>
      <c r="AM651" s="4">
        <f t="shared" ca="1" si="130"/>
        <v>-2.9634028447268479E-2</v>
      </c>
      <c r="AN651" s="4">
        <f t="shared" ca="1" si="131"/>
        <v>-3.2639313856641428E-2</v>
      </c>
      <c r="AO651" s="4">
        <f t="shared" ca="1" si="132"/>
        <v>-1.9818538075732861E-2</v>
      </c>
      <c r="AP651" s="4">
        <f t="shared" ca="1" si="133"/>
        <v>-2.7891495499556971E-2</v>
      </c>
    </row>
    <row r="652" spans="20:42" x14ac:dyDescent="0.3">
      <c r="T652">
        <v>646</v>
      </c>
      <c r="U652" s="4">
        <v>6.4191080986158774E-3</v>
      </c>
      <c r="V652" s="4"/>
      <c r="W652">
        <v>647</v>
      </c>
      <c r="X652">
        <f t="shared" ca="1" si="134"/>
        <v>2.2180322757657285</v>
      </c>
      <c r="Y652">
        <f t="shared" ca="1" si="134"/>
        <v>-0.17019882292859426</v>
      </c>
      <c r="Z652">
        <f t="shared" ca="1" si="134"/>
        <v>2.3493209533307895</v>
      </c>
      <c r="AB652">
        <v>647</v>
      </c>
      <c r="AC652" s="24">
        <f t="shared" ca="1" si="127"/>
        <v>2.2180322757657285</v>
      </c>
      <c r="AD652" s="24">
        <f t="shared" ca="1" si="128"/>
        <v>1.8462164446610096</v>
      </c>
      <c r="AE652" s="24">
        <f t="shared" ca="1" si="129"/>
        <v>2.9557515033816042</v>
      </c>
      <c r="AF652" s="24"/>
      <c r="AG652">
        <v>647</v>
      </c>
      <c r="AH652">
        <f t="shared" ca="1" si="135"/>
        <v>321.33572737999526</v>
      </c>
      <c r="AI652">
        <f t="shared" ca="1" si="136"/>
        <v>170.68880033197465</v>
      </c>
      <c r="AJ652">
        <f t="shared" ca="1" si="137"/>
        <v>55.886205981420105</v>
      </c>
      <c r="AL652">
        <v>647</v>
      </c>
      <c r="AM652" s="4">
        <f t="shared" ca="1" si="130"/>
        <v>3.8442750920161917E-2</v>
      </c>
      <c r="AN652" s="4">
        <f t="shared" ca="1" si="131"/>
        <v>3.9137988799044621E-2</v>
      </c>
      <c r="AO652" s="4">
        <f t="shared" ca="1" si="132"/>
        <v>5.3860216252510806E-2</v>
      </c>
      <c r="AP652" s="4">
        <f t="shared" ca="1" si="133"/>
        <v>4.3346085671419662E-2</v>
      </c>
    </row>
    <row r="653" spans="20:42" x14ac:dyDescent="0.3">
      <c r="T653">
        <v>647</v>
      </c>
      <c r="U653" s="4">
        <v>6.4234261562849723E-3</v>
      </c>
      <c r="V653" s="4"/>
      <c r="W653">
        <v>648</v>
      </c>
      <c r="X653">
        <f t="shared" ca="1" si="134"/>
        <v>-0.74900305903345099</v>
      </c>
      <c r="Y653">
        <f t="shared" ca="1" si="134"/>
        <v>-1.1432457381747738</v>
      </c>
      <c r="Z653">
        <f t="shared" ca="1" si="134"/>
        <v>2.3679148485009653</v>
      </c>
      <c r="AB653">
        <v>648</v>
      </c>
      <c r="AC653" s="24">
        <f t="shared" ca="1" si="127"/>
        <v>-0.74900305903345099</v>
      </c>
      <c r="AD653" s="24">
        <f t="shared" ca="1" si="128"/>
        <v>-1.2150875999358595</v>
      </c>
      <c r="AE653" s="24">
        <f t="shared" ca="1" si="129"/>
        <v>0.27480795202511987</v>
      </c>
      <c r="AF653" s="24"/>
      <c r="AG653">
        <v>648</v>
      </c>
      <c r="AH653">
        <f t="shared" ca="1" si="135"/>
        <v>305.5255270293041</v>
      </c>
      <c r="AI653">
        <f t="shared" ca="1" si="136"/>
        <v>160.16313477278038</v>
      </c>
      <c r="AJ653">
        <f t="shared" ca="1" si="137"/>
        <v>53.289482062443163</v>
      </c>
      <c r="AL653">
        <v>648</v>
      </c>
      <c r="AM653" s="4">
        <f t="shared" ca="1" si="130"/>
        <v>-1.2650191898971208E-2</v>
      </c>
      <c r="AN653" s="4">
        <f t="shared" ca="1" si="131"/>
        <v>-2.4941311768302388E-2</v>
      </c>
      <c r="AO653" s="4">
        <f t="shared" ca="1" si="132"/>
        <v>4.8931414127746375E-3</v>
      </c>
      <c r="AP653" s="4">
        <f t="shared" ca="1" si="133"/>
        <v>-1.2303639853179928E-2</v>
      </c>
    </row>
    <row r="654" spans="20:42" x14ac:dyDescent="0.3">
      <c r="T654">
        <v>648</v>
      </c>
      <c r="U654" s="4">
        <v>6.4985696775514152E-3</v>
      </c>
      <c r="V654" s="4"/>
      <c r="W654">
        <v>649</v>
      </c>
      <c r="X654">
        <f t="shared" ca="1" si="134"/>
        <v>0.77443116254871103</v>
      </c>
      <c r="Y654">
        <f t="shared" ca="1" si="134"/>
        <v>-0.78129586674346818</v>
      </c>
      <c r="Z654">
        <f t="shared" ca="1" si="134"/>
        <v>0.31327347402128236</v>
      </c>
      <c r="AB654">
        <v>649</v>
      </c>
      <c r="AC654" s="24">
        <f t="shared" ca="1" si="127"/>
        <v>0.77443116254871103</v>
      </c>
      <c r="AD654" s="24">
        <f t="shared" ca="1" si="128"/>
        <v>0.28891653157389752</v>
      </c>
      <c r="AE654" s="24">
        <f t="shared" ca="1" si="129"/>
        <v>0.5754285813005946</v>
      </c>
      <c r="AF654" s="24"/>
      <c r="AG654">
        <v>649</v>
      </c>
      <c r="AH654">
        <f t="shared" ca="1" si="135"/>
        <v>313.5436729836934</v>
      </c>
      <c r="AI654">
        <f t="shared" ca="1" si="136"/>
        <v>165.25064847343509</v>
      </c>
      <c r="AJ654">
        <f t="shared" ca="1" si="137"/>
        <v>53.574546721940791</v>
      </c>
      <c r="AL654">
        <v>649</v>
      </c>
      <c r="AM654" s="4">
        <f t="shared" ca="1" si="130"/>
        <v>1.3261603250744658E-2</v>
      </c>
      <c r="AN654" s="4">
        <f t="shared" ca="1" si="131"/>
        <v>6.031011808897091E-3</v>
      </c>
      <c r="AO654" s="4">
        <f t="shared" ca="1" si="132"/>
        <v>1.0268677261531245E-2</v>
      </c>
      <c r="AP654" s="4">
        <f t="shared" ca="1" si="133"/>
        <v>9.4714888772416076E-3</v>
      </c>
    </row>
    <row r="655" spans="20:42" x14ac:dyDescent="0.3">
      <c r="T655">
        <v>649</v>
      </c>
      <c r="U655" s="4">
        <v>6.5168105066544368E-3</v>
      </c>
      <c r="V655" s="4"/>
      <c r="W655">
        <v>650</v>
      </c>
      <c r="X655">
        <f t="shared" ca="1" si="134"/>
        <v>-0.25739370023442865</v>
      </c>
      <c r="Y655">
        <f t="shared" ca="1" si="134"/>
        <v>-0.57136388024299622</v>
      </c>
      <c r="Z655">
        <f t="shared" ca="1" si="134"/>
        <v>0.46536818369206179</v>
      </c>
      <c r="AB655">
        <v>650</v>
      </c>
      <c r="AC655" s="24">
        <f t="shared" ca="1" si="127"/>
        <v>-0.25739370023442865</v>
      </c>
      <c r="AD655" s="24">
        <f t="shared" ca="1" si="128"/>
        <v>-0.50551167343990944</v>
      </c>
      <c r="AE655" s="24">
        <f t="shared" ca="1" si="129"/>
        <v>-0.13163315080226951</v>
      </c>
      <c r="AF655" s="24"/>
      <c r="AG655">
        <v>650</v>
      </c>
      <c r="AH655">
        <f t="shared" ca="1" si="135"/>
        <v>308.090303421074</v>
      </c>
      <c r="AI655">
        <f t="shared" ca="1" si="136"/>
        <v>162.54356238976524</v>
      </c>
      <c r="AJ655">
        <f t="shared" ca="1" si="137"/>
        <v>52.906482885527424</v>
      </c>
      <c r="AL655">
        <v>650</v>
      </c>
      <c r="AM655" s="4">
        <f t="shared" ca="1" si="130"/>
        <v>-4.3617470581800433E-3</v>
      </c>
      <c r="AN655" s="4">
        <f t="shared" ca="1" si="131"/>
        <v>-1.0449483589860531E-2</v>
      </c>
      <c r="AO655" s="4">
        <f t="shared" ca="1" si="132"/>
        <v>-2.3291702170959994E-3</v>
      </c>
      <c r="AP655" s="4">
        <f t="shared" ca="1" si="133"/>
        <v>-6.1870686185270252E-3</v>
      </c>
    </row>
    <row r="656" spans="20:42" x14ac:dyDescent="0.3">
      <c r="T656">
        <v>650</v>
      </c>
      <c r="U656" s="4">
        <v>6.5429412872245237E-3</v>
      </c>
      <c r="V656" s="4"/>
      <c r="W656">
        <v>651</v>
      </c>
      <c r="X656">
        <f t="shared" ca="1" si="134"/>
        <v>0.8084748422125253</v>
      </c>
      <c r="Y656">
        <f t="shared" ca="1" si="134"/>
        <v>-0.19163258069570846</v>
      </c>
      <c r="Z656">
        <f t="shared" ca="1" si="134"/>
        <v>2.0473464319956221</v>
      </c>
      <c r="AB656">
        <v>651</v>
      </c>
      <c r="AC656" s="24">
        <f t="shared" ca="1" si="127"/>
        <v>0.8084748422125253</v>
      </c>
      <c r="AD656" s="24">
        <f t="shared" ca="1" si="128"/>
        <v>0.60909104922363166</v>
      </c>
      <c r="AE656" s="24">
        <f t="shared" ca="1" si="129"/>
        <v>1.6460593993818935</v>
      </c>
      <c r="AF656" s="24"/>
      <c r="AG656">
        <v>651</v>
      </c>
      <c r="AH656">
        <f t="shared" ca="1" si="135"/>
        <v>313.72523524534938</v>
      </c>
      <c r="AI656">
        <f t="shared" ca="1" si="136"/>
        <v>166.35437700607244</v>
      </c>
      <c r="AJ656">
        <f t="shared" ca="1" si="137"/>
        <v>54.602219270917871</v>
      </c>
      <c r="AL656">
        <v>651</v>
      </c>
      <c r="AM656" s="4">
        <f t="shared" ca="1" si="130"/>
        <v>1.384834788693734E-2</v>
      </c>
      <c r="AN656" s="4">
        <f t="shared" ca="1" si="131"/>
        <v>1.2750411355640701E-2</v>
      </c>
      <c r="AO656" s="4">
        <f t="shared" ca="1" si="132"/>
        <v>2.9647756511638423E-2</v>
      </c>
      <c r="AP656" s="4">
        <f t="shared" ca="1" si="133"/>
        <v>1.8148995861829009E-2</v>
      </c>
    </row>
    <row r="657" spans="20:42" x14ac:dyDescent="0.3">
      <c r="T657">
        <v>651</v>
      </c>
      <c r="U657" s="4">
        <v>6.5587213815749392E-3</v>
      </c>
      <c r="V657" s="4"/>
      <c r="W657">
        <v>652</v>
      </c>
      <c r="X657">
        <f t="shared" ca="1" si="134"/>
        <v>-3.0926992593493557E-2</v>
      </c>
      <c r="Y657">
        <f t="shared" ca="1" si="134"/>
        <v>0.54129382648500135</v>
      </c>
      <c r="Z657">
        <f t="shared" ca="1" si="134"/>
        <v>1.1633145758101873</v>
      </c>
      <c r="AB657">
        <v>652</v>
      </c>
      <c r="AC657" s="24">
        <f t="shared" ca="1" si="127"/>
        <v>-3.0926992593493557E-2</v>
      </c>
      <c r="AD657" s="24">
        <f t="shared" ca="1" si="128"/>
        <v>0.23980499602389305</v>
      </c>
      <c r="AE657" s="24">
        <f t="shared" ca="1" si="129"/>
        <v>0.7145790607130762</v>
      </c>
      <c r="AF657" s="24"/>
      <c r="AG657">
        <v>652</v>
      </c>
      <c r="AH657">
        <f t="shared" ca="1" si="135"/>
        <v>309.27903616685495</v>
      </c>
      <c r="AI657">
        <f t="shared" ca="1" si="136"/>
        <v>165.08199667510794</v>
      </c>
      <c r="AJ657">
        <f t="shared" ca="1" si="137"/>
        <v>53.707012486391889</v>
      </c>
      <c r="AL657">
        <v>652</v>
      </c>
      <c r="AM657" s="4">
        <f t="shared" ca="1" si="130"/>
        <v>-5.2018573319900785E-4</v>
      </c>
      <c r="AN657" s="4">
        <f t="shared" ca="1" si="131"/>
        <v>5.0042749041900869E-3</v>
      </c>
      <c r="AO657" s="4">
        <f t="shared" ca="1" si="132"/>
        <v>1.2766617436910099E-2</v>
      </c>
      <c r="AP657" s="4">
        <f t="shared" ca="1" si="133"/>
        <v>5.675639472789362E-3</v>
      </c>
    </row>
    <row r="658" spans="20:42" x14ac:dyDescent="0.3">
      <c r="T658">
        <v>652</v>
      </c>
      <c r="U658" s="4">
        <v>6.5705811252114938E-3</v>
      </c>
      <c r="V658" s="4"/>
      <c r="W658">
        <v>653</v>
      </c>
      <c r="X658">
        <f t="shared" ca="1" si="134"/>
        <v>6.0667597028043141E-2</v>
      </c>
      <c r="Y658">
        <f t="shared" ca="1" si="134"/>
        <v>-0.99734939621976648</v>
      </c>
      <c r="Z658">
        <f t="shared" ca="1" si="134"/>
        <v>0.81547145510427943</v>
      </c>
      <c r="AB658">
        <v>653</v>
      </c>
      <c r="AC658" s="24">
        <f t="shared" ca="1" si="127"/>
        <v>6.0667597028043141E-2</v>
      </c>
      <c r="AD658" s="24">
        <f t="shared" ca="1" si="128"/>
        <v>-0.43864208816244393</v>
      </c>
      <c r="AE658" s="24">
        <f t="shared" ca="1" si="129"/>
        <v>0.18806800010887442</v>
      </c>
      <c r="AF658" s="24"/>
      <c r="AG658">
        <v>653</v>
      </c>
      <c r="AH658">
        <f t="shared" ca="1" si="135"/>
        <v>309.76112147431354</v>
      </c>
      <c r="AI658">
        <f t="shared" ca="1" si="136"/>
        <v>162.7697070533888</v>
      </c>
      <c r="AJ658">
        <f t="shared" ca="1" si="137"/>
        <v>53.20751289354024</v>
      </c>
      <c r="AL658">
        <v>653</v>
      </c>
      <c r="AM658" s="4">
        <f t="shared" ca="1" si="130"/>
        <v>1.0377424714773653E-3</v>
      </c>
      <c r="AN658" s="4">
        <f t="shared" ca="1" si="131"/>
        <v>-9.072735317692926E-3</v>
      </c>
      <c r="AO658" s="4">
        <f t="shared" ca="1" si="132"/>
        <v>3.3474282166634506E-3</v>
      </c>
      <c r="AP658" s="4">
        <f t="shared" ca="1" si="133"/>
        <v>-2.313542920634926E-3</v>
      </c>
    </row>
    <row r="659" spans="20:42" x14ac:dyDescent="0.3">
      <c r="T659">
        <v>653</v>
      </c>
      <c r="U659" s="4">
        <v>6.6462187939762881E-3</v>
      </c>
      <c r="V659" s="4"/>
      <c r="W659">
        <v>654</v>
      </c>
      <c r="X659">
        <f t="shared" ca="1" si="134"/>
        <v>0.33696101434973486</v>
      </c>
      <c r="Y659">
        <f t="shared" ca="1" si="134"/>
        <v>-0.16472438725534422</v>
      </c>
      <c r="Z659">
        <f t="shared" ca="1" si="134"/>
        <v>-1.017068732956951</v>
      </c>
      <c r="AB659">
        <v>654</v>
      </c>
      <c r="AC659" s="24">
        <f t="shared" ca="1" si="127"/>
        <v>0.33696101434973486</v>
      </c>
      <c r="AD659" s="24">
        <f t="shared" ca="1" si="128"/>
        <v>0.21204940481091111</v>
      </c>
      <c r="AE659" s="24">
        <f t="shared" ca="1" si="129"/>
        <v>-0.28661312199917677</v>
      </c>
      <c r="AF659" s="24"/>
      <c r="AG659">
        <v>654</v>
      </c>
      <c r="AH659">
        <f t="shared" ca="1" si="135"/>
        <v>311.21987994798718</v>
      </c>
      <c r="AI659">
        <f t="shared" ca="1" si="136"/>
        <v>164.98675853803184</v>
      </c>
      <c r="AJ659">
        <f t="shared" ca="1" si="137"/>
        <v>52.761167553036906</v>
      </c>
      <c r="AL659">
        <v>654</v>
      </c>
      <c r="AM659" s="4">
        <f t="shared" ca="1" si="130"/>
        <v>5.7519308833322569E-3</v>
      </c>
      <c r="AN659" s="4">
        <f t="shared" ca="1" si="131"/>
        <v>4.424473733722234E-3</v>
      </c>
      <c r="AO659" s="4">
        <f t="shared" ca="1" si="132"/>
        <v>-5.0694179228388814E-3</v>
      </c>
      <c r="AP659" s="4">
        <f t="shared" ca="1" si="133"/>
        <v>1.9745433816369066E-3</v>
      </c>
    </row>
    <row r="660" spans="20:42" x14ac:dyDescent="0.3">
      <c r="T660">
        <v>654</v>
      </c>
      <c r="U660" s="4">
        <v>6.7635359583034351E-3</v>
      </c>
      <c r="V660" s="4"/>
      <c r="W660">
        <v>655</v>
      </c>
      <c r="X660">
        <f t="shared" ca="1" si="134"/>
        <v>4.7942752447498793E-2</v>
      </c>
      <c r="Y660">
        <f t="shared" ca="1" si="134"/>
        <v>-1.8613841819348147</v>
      </c>
      <c r="Z660">
        <f t="shared" ca="1" si="134"/>
        <v>-0.5047281684085253</v>
      </c>
      <c r="AB660">
        <v>655</v>
      </c>
      <c r="AC660" s="24">
        <f t="shared" ca="1" si="127"/>
        <v>4.7942752447498793E-2</v>
      </c>
      <c r="AD660" s="24">
        <f t="shared" ca="1" si="128"/>
        <v>-0.87545917556121666</v>
      </c>
      <c r="AE660" s="24">
        <f t="shared" ca="1" si="129"/>
        <v>-0.73085400432623104</v>
      </c>
      <c r="AF660" s="24"/>
      <c r="AG660">
        <v>655</v>
      </c>
      <c r="AH660">
        <f t="shared" ca="1" si="135"/>
        <v>309.69410250507838</v>
      </c>
      <c r="AI660">
        <f t="shared" ca="1" si="136"/>
        <v>161.29811123595454</v>
      </c>
      <c r="AJ660">
        <f t="shared" ca="1" si="137"/>
        <v>52.346837767723279</v>
      </c>
      <c r="AL660">
        <v>655</v>
      </c>
      <c r="AM660" s="4">
        <f t="shared" ca="1" si="130"/>
        <v>8.2116100590612362E-4</v>
      </c>
      <c r="AN660" s="4">
        <f t="shared" ca="1" si="131"/>
        <v>-1.8031677644779309E-2</v>
      </c>
      <c r="AO660" s="4">
        <f t="shared" ca="1" si="132"/>
        <v>-1.2882538700721757E-2</v>
      </c>
      <c r="AP660" s="4">
        <f t="shared" ca="1" si="133"/>
        <v>-1.0831084366356415E-2</v>
      </c>
    </row>
    <row r="661" spans="20:42" x14ac:dyDescent="0.3">
      <c r="T661">
        <v>655</v>
      </c>
      <c r="U661" s="4">
        <v>6.7647175578121835E-3</v>
      </c>
      <c r="V661" s="4"/>
      <c r="W661">
        <v>656</v>
      </c>
      <c r="X661">
        <f t="shared" ca="1" si="134"/>
        <v>-0.85914531899978597</v>
      </c>
      <c r="Y661">
        <f t="shared" ca="1" si="134"/>
        <v>-1.1287957146301173</v>
      </c>
      <c r="Z661">
        <f t="shared" ca="1" si="134"/>
        <v>3.3739420089473655</v>
      </c>
      <c r="AB661">
        <v>656</v>
      </c>
      <c r="AC661" s="24">
        <f t="shared" ca="1" si="127"/>
        <v>-0.85914531899978597</v>
      </c>
      <c r="AD661" s="24">
        <f t="shared" ca="1" si="128"/>
        <v>-1.3038107358177684</v>
      </c>
      <c r="AE661" s="24">
        <f t="shared" ca="1" si="129"/>
        <v>0.69947013546116255</v>
      </c>
      <c r="AF661" s="24"/>
      <c r="AG661">
        <v>656</v>
      </c>
      <c r="AH661">
        <f t="shared" ca="1" si="135"/>
        <v>304.95383757082334</v>
      </c>
      <c r="AI661">
        <f t="shared" ca="1" si="136"/>
        <v>159.86795612559274</v>
      </c>
      <c r="AJ661">
        <f t="shared" ca="1" si="137"/>
        <v>53.692613549567753</v>
      </c>
      <c r="AL661">
        <v>656</v>
      </c>
      <c r="AM661" s="4">
        <f t="shared" ca="1" si="130"/>
        <v>-1.4497688841739742E-2</v>
      </c>
      <c r="AN661" s="4">
        <f t="shared" ca="1" si="131"/>
        <v>-2.6738332692806122E-2</v>
      </c>
      <c r="AO661" s="4">
        <f t="shared" ca="1" si="132"/>
        <v>1.2495093070408414E-2</v>
      </c>
      <c r="AP661" s="4">
        <f t="shared" ca="1" si="133"/>
        <v>-1.1296111808521848E-2</v>
      </c>
    </row>
    <row r="662" spans="20:42" x14ac:dyDescent="0.3">
      <c r="T662">
        <v>656</v>
      </c>
      <c r="U662" s="4">
        <v>6.8045587185351138E-3</v>
      </c>
      <c r="V662" s="4"/>
      <c r="W662">
        <v>657</v>
      </c>
      <c r="X662">
        <f t="shared" ca="1" si="134"/>
        <v>-0.61701578300036064</v>
      </c>
      <c r="Y662">
        <f t="shared" ca="1" si="134"/>
        <v>-0.66403002337063144</v>
      </c>
      <c r="Z662">
        <f t="shared" ca="1" si="134"/>
        <v>0.93145479746556359</v>
      </c>
      <c r="AB662">
        <v>657</v>
      </c>
      <c r="AC662" s="24">
        <f t="shared" ca="1" si="127"/>
        <v>-0.61701578300036064</v>
      </c>
      <c r="AD662" s="24">
        <f t="shared" ca="1" si="128"/>
        <v>-0.86410674094458639</v>
      </c>
      <c r="AE662" s="24">
        <f t="shared" ca="1" si="129"/>
        <v>-0.21420034982292535</v>
      </c>
      <c r="AF662" s="24"/>
      <c r="AG662">
        <v>657</v>
      </c>
      <c r="AH662">
        <f t="shared" ca="1" si="135"/>
        <v>306.212014090357</v>
      </c>
      <c r="AI662">
        <f t="shared" ca="1" si="136"/>
        <v>161.3361876068</v>
      </c>
      <c r="AJ662">
        <f t="shared" ca="1" si="137"/>
        <v>52.829014879892732</v>
      </c>
      <c r="AL662">
        <v>657</v>
      </c>
      <c r="AM662" s="4">
        <f t="shared" ca="1" si="130"/>
        <v>-1.0431709945646905E-2</v>
      </c>
      <c r="AN662" s="4">
        <f t="shared" ca="1" si="131"/>
        <v>-1.7799872140585871E-2</v>
      </c>
      <c r="AO662" s="4">
        <f t="shared" ca="1" si="132"/>
        <v>-3.7900038474549813E-3</v>
      </c>
      <c r="AP662" s="4">
        <f t="shared" ca="1" si="133"/>
        <v>-1.1386462994164914E-2</v>
      </c>
    </row>
    <row r="663" spans="20:42" x14ac:dyDescent="0.3">
      <c r="T663">
        <v>657</v>
      </c>
      <c r="U663" s="4">
        <v>6.8330603332440228E-3</v>
      </c>
      <c r="V663" s="4"/>
      <c r="W663">
        <v>658</v>
      </c>
      <c r="X663">
        <f t="shared" ca="1" si="134"/>
        <v>-1.7332636784137885</v>
      </c>
      <c r="Y663">
        <f t="shared" ca="1" si="134"/>
        <v>0.90357783990505502</v>
      </c>
      <c r="Z663">
        <f t="shared" ca="1" si="134"/>
        <v>-0.2668124125965407</v>
      </c>
      <c r="AB663">
        <v>658</v>
      </c>
      <c r="AC663" s="24">
        <f t="shared" ca="1" si="127"/>
        <v>-1.7332636784137885</v>
      </c>
      <c r="AD663" s="24">
        <f t="shared" ca="1" si="128"/>
        <v>-1.0630171314910226</v>
      </c>
      <c r="AE663" s="24">
        <f t="shared" ca="1" si="129"/>
        <v>-1.3007182020806403</v>
      </c>
      <c r="AF663" s="24"/>
      <c r="AG663">
        <v>658</v>
      </c>
      <c r="AH663">
        <f t="shared" ca="1" si="135"/>
        <v>300.454526686831</v>
      </c>
      <c r="AI663">
        <f t="shared" ca="1" si="136"/>
        <v>160.67033588500041</v>
      </c>
      <c r="AJ663">
        <f t="shared" ca="1" si="137"/>
        <v>51.820103382955296</v>
      </c>
      <c r="AL663">
        <v>658</v>
      </c>
      <c r="AM663" s="4">
        <f t="shared" ca="1" si="130"/>
        <v>-2.9037860921929282E-2</v>
      </c>
      <c r="AN663" s="4">
        <f t="shared" ca="1" si="131"/>
        <v>-2.1853517240226217E-2</v>
      </c>
      <c r="AO663" s="4">
        <f t="shared" ca="1" si="132"/>
        <v>-2.2815301229345941E-2</v>
      </c>
      <c r="AP663" s="4">
        <f t="shared" ca="1" si="133"/>
        <v>-2.4297355541473054E-2</v>
      </c>
    </row>
    <row r="664" spans="20:42" x14ac:dyDescent="0.3">
      <c r="T664">
        <v>658</v>
      </c>
      <c r="U664" s="4">
        <v>6.8557870410533963E-3</v>
      </c>
      <c r="V664" s="4"/>
      <c r="W664">
        <v>659</v>
      </c>
      <c r="X664">
        <f t="shared" ca="1" si="134"/>
        <v>-3.4471608394749331E-2</v>
      </c>
      <c r="Y664">
        <f t="shared" ca="1" si="134"/>
        <v>0.75100781118541549</v>
      </c>
      <c r="Z664">
        <f t="shared" ca="1" si="134"/>
        <v>-0.42683411981094516</v>
      </c>
      <c r="AB664">
        <v>659</v>
      </c>
      <c r="AC664" s="24">
        <f t="shared" ca="1" si="127"/>
        <v>-3.4471608394749331E-2</v>
      </c>
      <c r="AD664" s="24">
        <f t="shared" ca="1" si="128"/>
        <v>0.34005495527741891</v>
      </c>
      <c r="AE664" s="24">
        <f t="shared" ca="1" si="129"/>
        <v>-3.7448420391900994E-2</v>
      </c>
      <c r="AF664" s="24"/>
      <c r="AG664">
        <v>659</v>
      </c>
      <c r="AH664">
        <f t="shared" ca="1" si="135"/>
        <v>309.26039505128489</v>
      </c>
      <c r="AI664">
        <f t="shared" ca="1" si="136"/>
        <v>165.42644383518504</v>
      </c>
      <c r="AJ664">
        <f t="shared" ca="1" si="137"/>
        <v>52.994989653927057</v>
      </c>
      <c r="AL664">
        <v>659</v>
      </c>
      <c r="AM664" s="4">
        <f t="shared" ca="1" si="130"/>
        <v>-5.8042718686679429E-4</v>
      </c>
      <c r="AN664" s="4">
        <f t="shared" ca="1" si="131"/>
        <v>7.1012380820547616E-3</v>
      </c>
      <c r="AO664" s="4">
        <f t="shared" ca="1" si="132"/>
        <v>-6.6017586603095424E-4</v>
      </c>
      <c r="AP664" s="4">
        <f t="shared" ca="1" si="133"/>
        <v>2.4683143169525802E-3</v>
      </c>
    </row>
    <row r="665" spans="20:42" x14ac:dyDescent="0.3">
      <c r="T665">
        <v>659</v>
      </c>
      <c r="U665" s="4">
        <v>6.8632419549668816E-3</v>
      </c>
      <c r="V665" s="4"/>
      <c r="W665">
        <v>660</v>
      </c>
      <c r="X665">
        <f t="shared" ca="1" si="134"/>
        <v>2.8557072791697262</v>
      </c>
      <c r="Y665">
        <f t="shared" ca="1" si="134"/>
        <v>0.61951173426177519</v>
      </c>
      <c r="Z665">
        <f t="shared" ca="1" si="134"/>
        <v>-0.91348532592362153</v>
      </c>
      <c r="AB665">
        <v>660</v>
      </c>
      <c r="AC665" s="24">
        <f t="shared" ca="1" si="127"/>
        <v>2.8557072791697262</v>
      </c>
      <c r="AD665" s="24">
        <f t="shared" ca="1" si="128"/>
        <v>2.7902281451907713</v>
      </c>
      <c r="AE665" s="24">
        <f t="shared" ca="1" si="129"/>
        <v>2.0383111433541905</v>
      </c>
      <c r="AF665" s="24"/>
      <c r="AG665">
        <v>660</v>
      </c>
      <c r="AH665">
        <f t="shared" ca="1" si="135"/>
        <v>324.83905280482924</v>
      </c>
      <c r="AI665">
        <f t="shared" ca="1" si="136"/>
        <v>174.07207625035227</v>
      </c>
      <c r="AJ665">
        <f t="shared" ca="1" si="137"/>
        <v>54.983646558636188</v>
      </c>
      <c r="AL665">
        <v>660</v>
      </c>
      <c r="AM665" s="4">
        <f t="shared" ca="1" si="130"/>
        <v>4.9764252333015957E-2</v>
      </c>
      <c r="AN665" s="4">
        <f t="shared" ca="1" si="131"/>
        <v>5.9735066794422531E-2</v>
      </c>
      <c r="AO665" s="4">
        <f t="shared" ca="1" si="132"/>
        <v>3.6840426632295253E-2</v>
      </c>
      <c r="AP665" s="4">
        <f t="shared" ca="1" si="133"/>
        <v>4.9875430407362378E-2</v>
      </c>
    </row>
    <row r="666" spans="20:42" x14ac:dyDescent="0.3">
      <c r="T666">
        <v>660</v>
      </c>
      <c r="U666" s="4">
        <v>6.8688303653966064E-3</v>
      </c>
      <c r="V666" s="4"/>
      <c r="W666">
        <v>661</v>
      </c>
      <c r="X666">
        <f t="shared" ca="1" si="134"/>
        <v>1.3210440235033156</v>
      </c>
      <c r="Y666">
        <f t="shared" ca="1" si="134"/>
        <v>0.10297334260265527</v>
      </c>
      <c r="Z666">
        <f t="shared" ca="1" si="134"/>
        <v>0.46147326155498825</v>
      </c>
      <c r="AB666">
        <v>661</v>
      </c>
      <c r="AC666" s="24">
        <f t="shared" ca="1" si="127"/>
        <v>1.3210440235033156</v>
      </c>
      <c r="AD666" s="24">
        <f t="shared" ca="1" si="128"/>
        <v>1.2002808711999211</v>
      </c>
      <c r="AE666" s="24">
        <f t="shared" ca="1" si="129"/>
        <v>1.3409018898827216</v>
      </c>
      <c r="AF666" s="24"/>
      <c r="AG666">
        <v>661</v>
      </c>
      <c r="AH666">
        <f t="shared" ca="1" si="135"/>
        <v>316.47161956941306</v>
      </c>
      <c r="AI666">
        <f t="shared" ca="1" si="136"/>
        <v>168.41177840704984</v>
      </c>
      <c r="AJ666">
        <f t="shared" ca="1" si="137"/>
        <v>54.307313695653121</v>
      </c>
      <c r="AL666">
        <v>661</v>
      </c>
      <c r="AM666" s="4">
        <f t="shared" ca="1" si="130"/>
        <v>2.272368495517485E-2</v>
      </c>
      <c r="AN666" s="4">
        <f t="shared" ca="1" si="131"/>
        <v>2.5275685127592595E-2</v>
      </c>
      <c r="AO666" s="4">
        <f t="shared" ca="1" si="132"/>
        <v>2.4086648043729397E-2</v>
      </c>
      <c r="AP666" s="4">
        <f t="shared" ca="1" si="133"/>
        <v>2.4153373950708313E-2</v>
      </c>
    </row>
    <row r="667" spans="20:42" x14ac:dyDescent="0.3">
      <c r="T667">
        <v>661</v>
      </c>
      <c r="U667" s="4">
        <v>6.939390497169207E-3</v>
      </c>
      <c r="V667" s="4"/>
      <c r="W667">
        <v>662</v>
      </c>
      <c r="X667">
        <f t="shared" ca="1" si="134"/>
        <v>1.2060729398806138</v>
      </c>
      <c r="Y667">
        <f t="shared" ca="1" si="134"/>
        <v>0.96246201909446139</v>
      </c>
      <c r="Z667">
        <f t="shared" ca="1" si="134"/>
        <v>0.3504348098414653</v>
      </c>
      <c r="AB667">
        <v>662</v>
      </c>
      <c r="AC667" s="24">
        <f t="shared" ca="1" si="127"/>
        <v>1.2060729398806138</v>
      </c>
      <c r="AD667" s="24">
        <f t="shared" ca="1" si="128"/>
        <v>1.5237398800465387</v>
      </c>
      <c r="AE667" s="24">
        <f t="shared" ca="1" si="129"/>
        <v>1.4279646065078062</v>
      </c>
      <c r="AF667" s="24"/>
      <c r="AG667">
        <v>662</v>
      </c>
      <c r="AH667">
        <f t="shared" ca="1" si="135"/>
        <v>315.85351170614587</v>
      </c>
      <c r="AI667">
        <f t="shared" ca="1" si="136"/>
        <v>169.54819846952972</v>
      </c>
      <c r="AJ667">
        <f t="shared" ca="1" si="137"/>
        <v>54.391288727119004</v>
      </c>
      <c r="AL667">
        <v>662</v>
      </c>
      <c r="AM667" s="4">
        <f t="shared" ca="1" si="130"/>
        <v>2.0726180242175651E-2</v>
      </c>
      <c r="AN667" s="4">
        <f t="shared" ca="1" si="131"/>
        <v>3.2194107753209966E-2</v>
      </c>
      <c r="AO667" s="4">
        <f t="shared" ca="1" si="132"/>
        <v>2.5670186293756059E-2</v>
      </c>
      <c r="AP667" s="4">
        <f t="shared" ca="1" si="133"/>
        <v>2.6796553062063501E-2</v>
      </c>
    </row>
    <row r="668" spans="20:42" x14ac:dyDescent="0.3">
      <c r="T668">
        <v>662</v>
      </c>
      <c r="U668" s="4">
        <v>6.9408129605222461E-3</v>
      </c>
      <c r="V668" s="4"/>
      <c r="W668">
        <v>663</v>
      </c>
      <c r="X668">
        <f t="shared" ca="1" si="134"/>
        <v>-1.3599475805129808</v>
      </c>
      <c r="Y668">
        <f t="shared" ca="1" si="134"/>
        <v>7.4595671330433433E-2</v>
      </c>
      <c r="Z668">
        <f t="shared" ca="1" si="134"/>
        <v>-1.352512609404575</v>
      </c>
      <c r="AB668">
        <v>663</v>
      </c>
      <c r="AC668" s="24">
        <f t="shared" ca="1" si="127"/>
        <v>-1.3599475805129808</v>
      </c>
      <c r="AD668" s="24">
        <f t="shared" ca="1" si="128"/>
        <v>-1.1466385437324689</v>
      </c>
      <c r="AE668" s="24">
        <f t="shared" ca="1" si="129"/>
        <v>-1.7758549707145472</v>
      </c>
      <c r="AF668" s="24"/>
      <c r="AG668">
        <v>663</v>
      </c>
      <c r="AH668">
        <f t="shared" ca="1" si="135"/>
        <v>302.36790126914377</v>
      </c>
      <c r="AI668">
        <f t="shared" ca="1" si="136"/>
        <v>160.39123467442707</v>
      </c>
      <c r="AJ668">
        <f t="shared" ca="1" si="137"/>
        <v>51.384981177029701</v>
      </c>
      <c r="AL668">
        <v>663</v>
      </c>
      <c r="AM668" s="4">
        <f t="shared" ca="1" si="130"/>
        <v>-2.2854514983405849E-2</v>
      </c>
      <c r="AN668" s="4">
        <f t="shared" ca="1" si="131"/>
        <v>-2.3552660183773222E-2</v>
      </c>
      <c r="AO668" s="4">
        <f t="shared" ca="1" si="132"/>
        <v>-3.1020509902582205E-2</v>
      </c>
      <c r="AP668" s="4">
        <f t="shared" ca="1" si="133"/>
        <v>-2.5583571539305704E-2</v>
      </c>
    </row>
    <row r="669" spans="20:42" x14ac:dyDescent="0.3">
      <c r="T669">
        <v>663</v>
      </c>
      <c r="U669" s="4">
        <v>6.9807301232665091E-3</v>
      </c>
      <c r="V669" s="4"/>
      <c r="W669">
        <v>664</v>
      </c>
      <c r="X669">
        <f t="shared" ca="1" si="134"/>
        <v>-0.86994384521719925</v>
      </c>
      <c r="Y669">
        <f t="shared" ca="1" si="134"/>
        <v>-0.12326882030123794</v>
      </c>
      <c r="Z669">
        <f t="shared" ca="1" si="134"/>
        <v>1.2068017730068801</v>
      </c>
      <c r="AB669">
        <v>664</v>
      </c>
      <c r="AC669" s="24">
        <f t="shared" ca="1" si="127"/>
        <v>-0.86994384521719925</v>
      </c>
      <c r="AD669" s="24">
        <f t="shared" ca="1" si="128"/>
        <v>-0.81774436297433983</v>
      </c>
      <c r="AE669" s="24">
        <f t="shared" ca="1" si="129"/>
        <v>-0.13162887209907137</v>
      </c>
      <c r="AF669" s="24"/>
      <c r="AG669">
        <v>664</v>
      </c>
      <c r="AH669">
        <f t="shared" ca="1" si="135"/>
        <v>304.89784581945008</v>
      </c>
      <c r="AI669">
        <f t="shared" ca="1" si="136"/>
        <v>161.49178160102892</v>
      </c>
      <c r="AJ669">
        <f t="shared" ca="1" si="137"/>
        <v>52.906486902928137</v>
      </c>
      <c r="AL669">
        <v>664</v>
      </c>
      <c r="AM669" s="4">
        <f t="shared" ca="1" si="130"/>
        <v>-1.4678634262278445E-2</v>
      </c>
      <c r="AN669" s="4">
        <f t="shared" ca="1" si="131"/>
        <v>-1.6852629967005761E-2</v>
      </c>
      <c r="AO669" s="4">
        <f t="shared" ca="1" si="132"/>
        <v>-2.3290944599621E-3</v>
      </c>
      <c r="AP669" s="4">
        <f t="shared" ca="1" si="133"/>
        <v>-1.1843370603474467E-2</v>
      </c>
    </row>
    <row r="670" spans="20:42" x14ac:dyDescent="0.3">
      <c r="T670">
        <v>664</v>
      </c>
      <c r="U670" s="4">
        <v>7.0089739802659421E-3</v>
      </c>
      <c r="V670" s="4"/>
      <c r="W670">
        <v>665</v>
      </c>
      <c r="X670">
        <f t="shared" ca="1" si="134"/>
        <v>-0.52269122089748188</v>
      </c>
      <c r="Y670">
        <f t="shared" ca="1" si="134"/>
        <v>0.19369301137537995</v>
      </c>
      <c r="Z670">
        <f t="shared" ca="1" si="134"/>
        <v>-0.68350891212357145</v>
      </c>
      <c r="AB670">
        <v>665</v>
      </c>
      <c r="AC670" s="24">
        <f t="shared" ca="1" si="127"/>
        <v>-0.52269122089748188</v>
      </c>
      <c r="AD670" s="24">
        <f t="shared" ca="1" si="128"/>
        <v>-0.35939352519246753</v>
      </c>
      <c r="AE670" s="24">
        <f t="shared" ca="1" si="129"/>
        <v>-0.72005767966327849</v>
      </c>
      <c r="AF670" s="24"/>
      <c r="AG670">
        <v>665</v>
      </c>
      <c r="AH670">
        <f t="shared" ca="1" si="135"/>
        <v>306.7035561648234</v>
      </c>
      <c r="AI670">
        <f t="shared" ca="1" si="136"/>
        <v>163.0381233136788</v>
      </c>
      <c r="AJ670">
        <f t="shared" ca="1" si="137"/>
        <v>52.356868487008924</v>
      </c>
      <c r="AL670">
        <v>665</v>
      </c>
      <c r="AM670" s="4">
        <f t="shared" ca="1" si="130"/>
        <v>-8.8432208343870444E-3</v>
      </c>
      <c r="AN670" s="4">
        <f t="shared" ca="1" si="131"/>
        <v>-7.4386413857170375E-3</v>
      </c>
      <c r="AO670" s="4">
        <f t="shared" ca="1" si="132"/>
        <v>-1.2693386908970927E-2</v>
      </c>
      <c r="AP670" s="4">
        <f t="shared" ca="1" si="133"/>
        <v>-9.4364388772942061E-3</v>
      </c>
    </row>
    <row r="671" spans="20:42" x14ac:dyDescent="0.3">
      <c r="T671">
        <v>665</v>
      </c>
      <c r="U671" s="4">
        <v>7.0156117015135917E-3</v>
      </c>
      <c r="V671" s="4"/>
      <c r="W671">
        <v>666</v>
      </c>
      <c r="X671">
        <f t="shared" ca="1" si="134"/>
        <v>-0.7784252680885565</v>
      </c>
      <c r="Y671">
        <f t="shared" ca="1" si="134"/>
        <v>-6.7616892375340742E-2</v>
      </c>
      <c r="Z671">
        <f t="shared" ca="1" si="134"/>
        <v>-0.77271443380899241</v>
      </c>
      <c r="AB671">
        <v>666</v>
      </c>
      <c r="AC671" s="24">
        <f t="shared" ca="1" si="127"/>
        <v>-0.7784252680885565</v>
      </c>
      <c r="AD671" s="24">
        <f t="shared" ca="1" si="128"/>
        <v>-0.71068511015165892</v>
      </c>
      <c r="AE671" s="24">
        <f t="shared" ca="1" si="129"/>
        <v>-1.0462015766994481</v>
      </c>
      <c r="AF671" s="24"/>
      <c r="AG671">
        <v>666</v>
      </c>
      <c r="AH671">
        <f t="shared" ca="1" si="135"/>
        <v>305.37270728204214</v>
      </c>
      <c r="AI671">
        <f t="shared" ca="1" si="136"/>
        <v>161.85165030364166</v>
      </c>
      <c r="AJ671">
        <f t="shared" ca="1" si="137"/>
        <v>52.05469890342971</v>
      </c>
      <c r="AL671">
        <v>666</v>
      </c>
      <c r="AM671" s="4">
        <f t="shared" ca="1" si="130"/>
        <v>-1.3144050954220221E-2</v>
      </c>
      <c r="AN671" s="4">
        <f t="shared" ca="1" si="131"/>
        <v>-1.4661781832052356E-2</v>
      </c>
      <c r="AO671" s="4">
        <f t="shared" ca="1" si="132"/>
        <v>-1.8391474605272795E-2</v>
      </c>
      <c r="AP671" s="4">
        <f t="shared" ca="1" si="133"/>
        <v>-1.5325370400668848E-2</v>
      </c>
    </row>
    <row r="672" spans="20:42" x14ac:dyDescent="0.3">
      <c r="T672">
        <v>666</v>
      </c>
      <c r="U672" s="4">
        <v>7.0362027705317409E-3</v>
      </c>
      <c r="V672" s="4"/>
      <c r="W672">
        <v>667</v>
      </c>
      <c r="X672">
        <f t="shared" ca="1" si="134"/>
        <v>1.0946311555102219</v>
      </c>
      <c r="Y672">
        <f t="shared" ca="1" si="134"/>
        <v>-0.77783441870668124</v>
      </c>
      <c r="Z672">
        <f t="shared" ca="1" si="134"/>
        <v>-0.13754125511896526</v>
      </c>
      <c r="AB672">
        <v>667</v>
      </c>
      <c r="AC672" s="24">
        <f t="shared" ca="1" si="127"/>
        <v>1.0946311555102219</v>
      </c>
      <c r="AD672" s="24">
        <f t="shared" ca="1" si="128"/>
        <v>0.56925271951029832</v>
      </c>
      <c r="AE672" s="24">
        <f t="shared" ca="1" si="129"/>
        <v>0.60894447588904155</v>
      </c>
      <c r="AF672" s="24"/>
      <c r="AG672">
        <v>667</v>
      </c>
      <c r="AH672">
        <f t="shared" ca="1" si="135"/>
        <v>315.25553031522139</v>
      </c>
      <c r="AI672">
        <f t="shared" ca="1" si="136"/>
        <v>166.21664289672918</v>
      </c>
      <c r="AJ672">
        <f t="shared" ca="1" si="137"/>
        <v>53.606422630373977</v>
      </c>
      <c r="AL672">
        <v>667</v>
      </c>
      <c r="AM672" s="4">
        <f t="shared" ca="1" si="130"/>
        <v>1.8793717127495668E-2</v>
      </c>
      <c r="AN672" s="4">
        <f t="shared" ca="1" si="131"/>
        <v>1.1911898546987709E-2</v>
      </c>
      <c r="AO672" s="4">
        <f t="shared" ca="1" si="132"/>
        <v>1.0869769269205021E-2</v>
      </c>
      <c r="AP672" s="4">
        <f t="shared" ca="1" si="133"/>
        <v>1.3663805337805292E-2</v>
      </c>
    </row>
    <row r="673" spans="20:42" x14ac:dyDescent="0.3">
      <c r="T673">
        <v>667</v>
      </c>
      <c r="U673" s="4">
        <v>7.0930385964340431E-3</v>
      </c>
      <c r="V673" s="4"/>
      <c r="W673">
        <v>668</v>
      </c>
      <c r="X673">
        <f t="shared" ca="1" si="134"/>
        <v>-0.95942621874321443</v>
      </c>
      <c r="Y673">
        <f t="shared" ca="1" si="134"/>
        <v>0.97082680874015204</v>
      </c>
      <c r="Z673">
        <f t="shared" ca="1" si="134"/>
        <v>-0.73572070006216783</v>
      </c>
      <c r="AB673">
        <v>668</v>
      </c>
      <c r="AC673" s="24">
        <f t="shared" ca="1" si="127"/>
        <v>-0.95942621874321443</v>
      </c>
      <c r="AD673" s="24">
        <f t="shared" ca="1" si="128"/>
        <v>-0.35650551617014758</v>
      </c>
      <c r="AE673" s="24">
        <f t="shared" ca="1" si="129"/>
        <v>-0.8885056544730916</v>
      </c>
      <c r="AF673" s="24"/>
      <c r="AG673">
        <v>668</v>
      </c>
      <c r="AH673">
        <f t="shared" ca="1" si="135"/>
        <v>304.43426355227911</v>
      </c>
      <c r="AI673">
        <f t="shared" ca="1" si="136"/>
        <v>163.04791340524557</v>
      </c>
      <c r="AJ673">
        <f t="shared" ca="1" si="137"/>
        <v>52.200584474561744</v>
      </c>
      <c r="AL673">
        <v>668</v>
      </c>
      <c r="AM673" s="4">
        <f t="shared" ca="1" si="130"/>
        <v>-1.6176767223477495E-2</v>
      </c>
      <c r="AN673" s="4">
        <f t="shared" ca="1" si="131"/>
        <v>-7.3790401931310701E-3</v>
      </c>
      <c r="AO673" s="4">
        <f t="shared" ca="1" si="132"/>
        <v>-1.564047376631017E-2</v>
      </c>
      <c r="AP673" s="4">
        <f t="shared" ca="1" si="133"/>
        <v>-1.2496788374188727E-2</v>
      </c>
    </row>
    <row r="674" spans="20:42" x14ac:dyDescent="0.3">
      <c r="T674">
        <v>668</v>
      </c>
      <c r="U674" s="4">
        <v>7.1492776216028342E-3</v>
      </c>
      <c r="V674" s="4"/>
      <c r="W674">
        <v>669</v>
      </c>
      <c r="X674">
        <f t="shared" ca="1" si="134"/>
        <v>-0.50568322404856825</v>
      </c>
      <c r="Y674">
        <f t="shared" ca="1" si="134"/>
        <v>-3.2697842743324233E-2</v>
      </c>
      <c r="Z674">
        <f t="shared" ca="1" si="134"/>
        <v>-0.68368269543935245</v>
      </c>
      <c r="AB674">
        <v>669</v>
      </c>
      <c r="AC674" s="24">
        <f t="shared" ca="1" si="127"/>
        <v>-0.50568322404856825</v>
      </c>
      <c r="AD674" s="24">
        <f t="shared" ca="1" si="128"/>
        <v>-0.45614531832297367</v>
      </c>
      <c r="AE674" s="24">
        <f t="shared" ca="1" si="129"/>
        <v>-0.76875792206687421</v>
      </c>
      <c r="AF674" s="24"/>
      <c r="AG674">
        <v>669</v>
      </c>
      <c r="AH674">
        <f t="shared" ca="1" si="135"/>
        <v>306.79227178985929</v>
      </c>
      <c r="AI674">
        <f t="shared" ca="1" si="136"/>
        <v>162.71048291304376</v>
      </c>
      <c r="AJ674">
        <f t="shared" ca="1" si="137"/>
        <v>52.311636964562958</v>
      </c>
      <c r="AL674">
        <v>669</v>
      </c>
      <c r="AM674" s="4">
        <f t="shared" ca="1" si="130"/>
        <v>-8.5565234961763048E-3</v>
      </c>
      <c r="AN674" s="4">
        <f t="shared" ca="1" si="131"/>
        <v>-9.4332865311691494E-3</v>
      </c>
      <c r="AO674" s="4">
        <f t="shared" ca="1" si="132"/>
        <v>-1.354632908296971E-2</v>
      </c>
      <c r="AP674" s="4">
        <f t="shared" ca="1" si="133"/>
        <v>-1.0404170386211463E-2</v>
      </c>
    </row>
    <row r="675" spans="20:42" x14ac:dyDescent="0.3">
      <c r="T675">
        <v>669</v>
      </c>
      <c r="U675" s="4">
        <v>7.183934550781923E-3</v>
      </c>
      <c r="V675" s="4"/>
      <c r="W675">
        <v>670</v>
      </c>
      <c r="X675">
        <f t="shared" ca="1" si="134"/>
        <v>-0.41311939115412954</v>
      </c>
      <c r="Y675">
        <f t="shared" ca="1" si="134"/>
        <v>0.66326911965948543</v>
      </c>
      <c r="Z675">
        <f t="shared" ca="1" si="134"/>
        <v>-0.35681431287833487</v>
      </c>
      <c r="AB675">
        <v>670</v>
      </c>
      <c r="AC675" s="24">
        <f t="shared" ca="1" si="127"/>
        <v>-0.41311939115412954</v>
      </c>
      <c r="AD675" s="24">
        <f t="shared" ca="1" si="128"/>
        <v>-3.2667883443266099E-2</v>
      </c>
      <c r="AE675" s="24">
        <f t="shared" ca="1" si="129"/>
        <v>-0.33519474281147016</v>
      </c>
      <c r="AF675" s="24"/>
      <c r="AG675">
        <v>670</v>
      </c>
      <c r="AH675">
        <f t="shared" ca="1" si="135"/>
        <v>307.27554521704263</v>
      </c>
      <c r="AI675">
        <f t="shared" ca="1" si="136"/>
        <v>164.14943103284631</v>
      </c>
      <c r="AJ675">
        <f t="shared" ca="1" si="137"/>
        <v>52.715697728911756</v>
      </c>
      <c r="AL675">
        <v>670</v>
      </c>
      <c r="AM675" s="4">
        <f t="shared" ca="1" si="130"/>
        <v>-6.9947557112407521E-3</v>
      </c>
      <c r="AN675" s="4">
        <f t="shared" ca="1" si="131"/>
        <v>-6.7310043641877204E-4</v>
      </c>
      <c r="AO675" s="4">
        <f t="shared" ca="1" si="132"/>
        <v>-5.9268538114268798E-3</v>
      </c>
      <c r="AP675" s="4">
        <f t="shared" ca="1" si="133"/>
        <v>-4.1457230313677977E-3</v>
      </c>
    </row>
    <row r="676" spans="20:42" x14ac:dyDescent="0.3">
      <c r="T676">
        <v>670</v>
      </c>
      <c r="U676" s="4">
        <v>7.1857904465004278E-3</v>
      </c>
      <c r="V676" s="4"/>
      <c r="W676">
        <v>671</v>
      </c>
      <c r="X676">
        <f t="shared" ca="1" si="134"/>
        <v>-0.68386267405380086</v>
      </c>
      <c r="Y676">
        <f t="shared" ca="1" si="134"/>
        <v>6.695684630760812E-2</v>
      </c>
      <c r="Z676">
        <f t="shared" ca="1" si="134"/>
        <v>-1.2482287876170661</v>
      </c>
      <c r="AB676">
        <v>671</v>
      </c>
      <c r="AC676" s="24">
        <f t="shared" ca="1" si="127"/>
        <v>-0.68386267405380086</v>
      </c>
      <c r="AD676" s="24">
        <f t="shared" ca="1" si="128"/>
        <v>-0.56208911680811513</v>
      </c>
      <c r="AE676" s="24">
        <f t="shared" ca="1" si="129"/>
        <v>-1.1731993263170426</v>
      </c>
      <c r="AF676" s="24"/>
      <c r="AG676">
        <v>671</v>
      </c>
      <c r="AH676">
        <f t="shared" ca="1" si="135"/>
        <v>305.86414009395622</v>
      </c>
      <c r="AI676">
        <f t="shared" ca="1" si="136"/>
        <v>162.35246987223439</v>
      </c>
      <c r="AJ676">
        <f t="shared" ca="1" si="137"/>
        <v>51.93750885681937</v>
      </c>
      <c r="AL676">
        <v>671</v>
      </c>
      <c r="AM676" s="4">
        <f t="shared" ca="1" si="130"/>
        <v>-1.1555914940657663E-2</v>
      </c>
      <c r="AN676" s="4">
        <f t="shared" ca="1" si="131"/>
        <v>-1.1612837564786593E-2</v>
      </c>
      <c r="AO676" s="4">
        <f t="shared" ca="1" si="132"/>
        <v>-2.0601356734406329E-2</v>
      </c>
      <c r="AP676" s="4">
        <f t="shared" ca="1" si="133"/>
        <v>-1.4292316528433834E-2</v>
      </c>
    </row>
    <row r="677" spans="20:42" x14ac:dyDescent="0.3">
      <c r="T677">
        <v>671</v>
      </c>
      <c r="U677" s="4">
        <v>7.2404934089342005E-3</v>
      </c>
      <c r="V677" s="4"/>
      <c r="W677">
        <v>672</v>
      </c>
      <c r="X677">
        <f t="shared" ca="1" si="134"/>
        <v>0.35501740169790247</v>
      </c>
      <c r="Y677">
        <f t="shared" ca="1" si="134"/>
        <v>-1.311782881619741</v>
      </c>
      <c r="Z677">
        <f t="shared" ca="1" si="134"/>
        <v>-1.016265191922594</v>
      </c>
      <c r="AB677">
        <v>672</v>
      </c>
      <c r="AC677" s="24">
        <f t="shared" ca="1" si="127"/>
        <v>0.35501740169790247</v>
      </c>
      <c r="AD677" s="24">
        <f t="shared" ca="1" si="128"/>
        <v>-0.33743958110742234</v>
      </c>
      <c r="AE677" s="24">
        <f t="shared" ca="1" si="129"/>
        <v>-0.58810881666658554</v>
      </c>
      <c r="AF677" s="24"/>
      <c r="AG677">
        <v>672</v>
      </c>
      <c r="AH677">
        <f t="shared" ca="1" si="135"/>
        <v>311.31545184431366</v>
      </c>
      <c r="AI677">
        <f t="shared" ca="1" si="136"/>
        <v>163.11255996800151</v>
      </c>
      <c r="AJ677">
        <f t="shared" ca="1" si="137"/>
        <v>52.479615798660987</v>
      </c>
      <c r="AL677">
        <v>672</v>
      </c>
      <c r="AM677" s="4">
        <f t="shared" ca="1" si="130"/>
        <v>6.0607852511336269E-3</v>
      </c>
      <c r="AN677" s="4">
        <f t="shared" ca="1" si="131"/>
        <v>-6.985477762120218E-3</v>
      </c>
      <c r="AO677" s="4">
        <f t="shared" ca="1" si="132"/>
        <v>-1.0378710037811323E-2</v>
      </c>
      <c r="AP677" s="4">
        <f t="shared" ca="1" si="133"/>
        <v>-4.0895685408513958E-3</v>
      </c>
    </row>
    <row r="678" spans="20:42" x14ac:dyDescent="0.3">
      <c r="T678">
        <v>672</v>
      </c>
      <c r="U678" s="4">
        <v>7.2820254779359271E-3</v>
      </c>
      <c r="V678" s="4"/>
      <c r="W678">
        <v>673</v>
      </c>
      <c r="X678">
        <f t="shared" ca="1" si="134"/>
        <v>-0.11745887786500354</v>
      </c>
      <c r="Y678">
        <f t="shared" ca="1" si="134"/>
        <v>-2.2201303665136258</v>
      </c>
      <c r="Z678">
        <f t="shared" ca="1" si="134"/>
        <v>0.95669084148448069</v>
      </c>
      <c r="AB678">
        <v>673</v>
      </c>
      <c r="AC678" s="24">
        <f t="shared" ca="1" si="127"/>
        <v>-0.11745887786500354</v>
      </c>
      <c r="AD678" s="24">
        <f t="shared" ca="1" si="128"/>
        <v>-1.1961563116850611</v>
      </c>
      <c r="AE678" s="24">
        <f t="shared" ca="1" si="129"/>
        <v>-0.22319713173403993</v>
      </c>
      <c r="AF678" s="24"/>
      <c r="AG678">
        <v>673</v>
      </c>
      <c r="AH678">
        <f t="shared" ca="1" si="135"/>
        <v>308.82428637930673</v>
      </c>
      <c r="AI678">
        <f t="shared" ca="1" si="136"/>
        <v>160.22618899954125</v>
      </c>
      <c r="AJ678">
        <f t="shared" ca="1" si="137"/>
        <v>52.820580578472196</v>
      </c>
      <c r="AL678">
        <v>673</v>
      </c>
      <c r="AM678" s="4">
        <f t="shared" ca="1" si="130"/>
        <v>-1.9897752625434029E-3</v>
      </c>
      <c r="AN678" s="4">
        <f t="shared" ca="1" si="131"/>
        <v>-2.4557443334907059E-2</v>
      </c>
      <c r="AO678" s="4">
        <f t="shared" ca="1" si="132"/>
        <v>-3.9490515867475207E-3</v>
      </c>
      <c r="AP678" s="4">
        <f t="shared" ca="1" si="133"/>
        <v>-1.1604625388750102E-2</v>
      </c>
    </row>
    <row r="679" spans="20:42" x14ac:dyDescent="0.3">
      <c r="T679">
        <v>673</v>
      </c>
      <c r="U679" s="4">
        <v>7.3455593634404346E-3</v>
      </c>
      <c r="V679" s="4"/>
      <c r="W679">
        <v>674</v>
      </c>
      <c r="X679">
        <f t="shared" ca="1" si="134"/>
        <v>-0.61630841183580376</v>
      </c>
      <c r="Y679">
        <f t="shared" ca="1" si="134"/>
        <v>-0.70864226015920606</v>
      </c>
      <c r="Z679">
        <f t="shared" ca="1" si="134"/>
        <v>-0.16089903810920228</v>
      </c>
      <c r="AB679">
        <v>674</v>
      </c>
      <c r="AC679" s="24">
        <f t="shared" ca="1" si="127"/>
        <v>-0.61630841183580376</v>
      </c>
      <c r="AD679" s="24">
        <f t="shared" ca="1" si="128"/>
        <v>-0.88547342224088521</v>
      </c>
      <c r="AE679" s="24">
        <f t="shared" ca="1" si="129"/>
        <v>-0.78032453121047007</v>
      </c>
      <c r="AF679" s="24"/>
      <c r="AG679">
        <v>674</v>
      </c>
      <c r="AH679">
        <f t="shared" ca="1" si="135"/>
        <v>306.21569739402184</v>
      </c>
      <c r="AI679">
        <f t="shared" ca="1" si="136"/>
        <v>161.26453064327873</v>
      </c>
      <c r="AJ679">
        <f t="shared" ca="1" si="137"/>
        <v>52.30089994165138</v>
      </c>
      <c r="AL679">
        <v>674</v>
      </c>
      <c r="AM679" s="4">
        <f t="shared" ca="1" si="130"/>
        <v>-1.0419806818592336E-2</v>
      </c>
      <c r="AN679" s="4">
        <f t="shared" ca="1" si="131"/>
        <v>-1.8236113257824482E-2</v>
      </c>
      <c r="AO679" s="4">
        <f t="shared" ca="1" si="132"/>
        <v>-1.3748799819510049E-2</v>
      </c>
      <c r="AP679" s="4">
        <f t="shared" ca="1" si="133"/>
        <v>-1.4545027294560506E-2</v>
      </c>
    </row>
    <row r="680" spans="20:42" x14ac:dyDescent="0.3">
      <c r="T680">
        <v>674</v>
      </c>
      <c r="U680" s="4">
        <v>7.3942037750878153E-3</v>
      </c>
      <c r="V680" s="4"/>
      <c r="W680">
        <v>675</v>
      </c>
      <c r="X680">
        <f t="shared" ca="1" si="134"/>
        <v>0.1089344846569809</v>
      </c>
      <c r="Y680">
        <f t="shared" ca="1" si="134"/>
        <v>-0.41155284013490667</v>
      </c>
      <c r="Z680">
        <f t="shared" ca="1" si="134"/>
        <v>-1.4325075979113535</v>
      </c>
      <c r="AB680">
        <v>675</v>
      </c>
      <c r="AC680" s="24">
        <f t="shared" ca="1" si="127"/>
        <v>0.1089344846569809</v>
      </c>
      <c r="AD680" s="24">
        <f t="shared" ca="1" si="128"/>
        <v>-0.1079961566503449</v>
      </c>
      <c r="AE680" s="24">
        <f t="shared" ca="1" si="129"/>
        <v>-0.75171232092818296</v>
      </c>
      <c r="AF680" s="24"/>
      <c r="AG680">
        <v>675</v>
      </c>
      <c r="AH680">
        <f t="shared" ca="1" si="135"/>
        <v>310.01546446614122</v>
      </c>
      <c r="AI680">
        <f t="shared" ca="1" si="136"/>
        <v>163.89254331168129</v>
      </c>
      <c r="AJ680">
        <f t="shared" ca="1" si="137"/>
        <v>52.327464030270519</v>
      </c>
      <c r="AL680">
        <v>675</v>
      </c>
      <c r="AM680" s="4">
        <f t="shared" ca="1" si="130"/>
        <v>1.8596885347561543E-3</v>
      </c>
      <c r="AN680" s="4">
        <f t="shared" ca="1" si="131"/>
        <v>-2.2370096642029269E-3</v>
      </c>
      <c r="AO680" s="4">
        <f t="shared" ca="1" si="132"/>
        <v>-1.3247874131585902E-2</v>
      </c>
      <c r="AP680" s="4">
        <f t="shared" ca="1" si="133"/>
        <v>-4.3112595447300948E-3</v>
      </c>
    </row>
    <row r="681" spans="20:42" x14ac:dyDescent="0.3">
      <c r="T681">
        <v>675</v>
      </c>
      <c r="U681" s="4">
        <v>7.4632274669687027E-3</v>
      </c>
      <c r="V681" s="4"/>
      <c r="W681">
        <v>676</v>
      </c>
      <c r="X681">
        <f t="shared" ca="1" si="134"/>
        <v>-0.6280347277085061</v>
      </c>
      <c r="Y681">
        <f t="shared" ca="1" si="134"/>
        <v>-1.9580657522974863</v>
      </c>
      <c r="Z681">
        <f t="shared" ca="1" si="134"/>
        <v>-0.71762151559948106</v>
      </c>
      <c r="AB681">
        <v>676</v>
      </c>
      <c r="AC681" s="24">
        <f t="shared" ca="1" si="127"/>
        <v>-0.6280347277085061</v>
      </c>
      <c r="AD681" s="24">
        <f t="shared" ca="1" si="128"/>
        <v>-1.5113179207843641</v>
      </c>
      <c r="AE681" s="24">
        <f t="shared" ca="1" si="129"/>
        <v>-1.4173402736005014</v>
      </c>
      <c r="AF681" s="24"/>
      <c r="AG681">
        <v>676</v>
      </c>
      <c r="AH681">
        <f t="shared" ca="1" si="135"/>
        <v>306.15464382243039</v>
      </c>
      <c r="AI681">
        <f t="shared" ca="1" si="136"/>
        <v>159.17970957643539</v>
      </c>
      <c r="AJ681">
        <f t="shared" ca="1" si="137"/>
        <v>51.712962860527774</v>
      </c>
      <c r="AL681">
        <v>676</v>
      </c>
      <c r="AM681" s="4">
        <f t="shared" ca="1" si="130"/>
        <v>-1.0617110241258221E-2</v>
      </c>
      <c r="AN681" s="4">
        <f t="shared" ca="1" si="131"/>
        <v>-3.0928315477255275E-2</v>
      </c>
      <c r="AO681" s="4">
        <f t="shared" ca="1" si="132"/>
        <v>-2.483567695806177E-2</v>
      </c>
      <c r="AP681" s="4">
        <f t="shared" ca="1" si="133"/>
        <v>-2.3007162350698107E-2</v>
      </c>
    </row>
    <row r="682" spans="20:42" x14ac:dyDescent="0.3">
      <c r="T682">
        <v>676</v>
      </c>
      <c r="U682" s="4">
        <v>7.5069917389577459E-3</v>
      </c>
      <c r="V682" s="4"/>
      <c r="W682">
        <v>677</v>
      </c>
      <c r="X682">
        <f t="shared" ca="1" si="134"/>
        <v>0.18933287274674518</v>
      </c>
      <c r="Y682">
        <f t="shared" ca="1" si="134"/>
        <v>-0.49058149315677529</v>
      </c>
      <c r="Z682">
        <f t="shared" ca="1" si="134"/>
        <v>-0.70569288525698792</v>
      </c>
      <c r="AB682">
        <v>677</v>
      </c>
      <c r="AC682" s="24">
        <f t="shared" ca="1" si="127"/>
        <v>0.18933287274674518</v>
      </c>
      <c r="AD682" s="24">
        <f t="shared" ca="1" si="128"/>
        <v>-7.6975900261499641E-2</v>
      </c>
      <c r="AE682" s="24">
        <f t="shared" ca="1" si="129"/>
        <v>-0.33903485887255086</v>
      </c>
      <c r="AF682" s="24"/>
      <c r="AG682">
        <v>677</v>
      </c>
      <c r="AH682">
        <f t="shared" ca="1" si="135"/>
        <v>310.4395885544854</v>
      </c>
      <c r="AI682">
        <f t="shared" ca="1" si="136"/>
        <v>163.99828120116683</v>
      </c>
      <c r="AJ682">
        <f t="shared" ca="1" si="137"/>
        <v>52.712105255243316</v>
      </c>
      <c r="AL682">
        <v>677</v>
      </c>
      <c r="AM682" s="4">
        <f t="shared" ca="1" si="130"/>
        <v>3.2303066998218277E-3</v>
      </c>
      <c r="AN682" s="4">
        <f t="shared" ca="1" si="131"/>
        <v>-1.5932869500813185E-3</v>
      </c>
      <c r="AO682" s="4">
        <f t="shared" ca="1" si="132"/>
        <v>-5.9945979892722656E-3</v>
      </c>
      <c r="AP682" s="4">
        <f t="shared" ca="1" si="133"/>
        <v>-1.4666021668676588E-3</v>
      </c>
    </row>
    <row r="683" spans="20:42" x14ac:dyDescent="0.3">
      <c r="T683">
        <v>677</v>
      </c>
      <c r="U683" s="4">
        <v>7.523503563995804E-3</v>
      </c>
      <c r="V683" s="4"/>
      <c r="W683">
        <v>678</v>
      </c>
      <c r="X683">
        <f t="shared" ca="1" si="134"/>
        <v>0.12852670832402532</v>
      </c>
      <c r="Y683">
        <f t="shared" ca="1" si="134"/>
        <v>-3.4946279713900678E-2</v>
      </c>
      <c r="Z683">
        <f t="shared" ca="1" si="134"/>
        <v>-0.82620649616746145</v>
      </c>
      <c r="AB683">
        <v>678</v>
      </c>
      <c r="AC683" s="24">
        <f t="shared" ca="1" si="127"/>
        <v>0.12852670832402532</v>
      </c>
      <c r="AD683" s="24">
        <f t="shared" ca="1" si="128"/>
        <v>9.4621537051228721E-2</v>
      </c>
      <c r="AE683" s="24">
        <f t="shared" ca="1" si="129"/>
        <v>-0.32405245115518383</v>
      </c>
      <c r="AF683" s="24"/>
      <c r="AG683">
        <v>678</v>
      </c>
      <c r="AH683">
        <f t="shared" ca="1" si="135"/>
        <v>310.11876552411888</v>
      </c>
      <c r="AI683">
        <f t="shared" ca="1" si="136"/>
        <v>164.5844342891869</v>
      </c>
      <c r="AJ683">
        <f t="shared" ca="1" si="137"/>
        <v>52.726122859500315</v>
      </c>
      <c r="AL683">
        <v>678</v>
      </c>
      <c r="AM683" s="4">
        <f t="shared" ca="1" si="130"/>
        <v>2.1935208032497489E-3</v>
      </c>
      <c r="AN683" s="4">
        <f t="shared" ca="1" si="131"/>
        <v>1.9751600706305883E-3</v>
      </c>
      <c r="AO683" s="4">
        <f t="shared" ca="1" si="132"/>
        <v>-5.7302645067214275E-3</v>
      </c>
      <c r="AP683" s="4">
        <f t="shared" ca="1" si="133"/>
        <v>-2.7095908278926837E-4</v>
      </c>
    </row>
    <row r="684" spans="20:42" x14ac:dyDescent="0.3">
      <c r="T684">
        <v>678</v>
      </c>
      <c r="U684" s="4">
        <v>7.5560817770404919E-3</v>
      </c>
      <c r="V684" s="4"/>
      <c r="W684">
        <v>679</v>
      </c>
      <c r="X684">
        <f t="shared" ca="1" si="134"/>
        <v>0.70182169234036584</v>
      </c>
      <c r="Y684">
        <f t="shared" ca="1" si="134"/>
        <v>0.48530268526360226</v>
      </c>
      <c r="Z684">
        <f t="shared" ca="1" si="134"/>
        <v>-0.370803983659794</v>
      </c>
      <c r="AB684">
        <v>679</v>
      </c>
      <c r="AC684" s="24">
        <f t="shared" ca="1" si="127"/>
        <v>0.70182169234036584</v>
      </c>
      <c r="AD684" s="24">
        <f t="shared" ca="1" si="128"/>
        <v>0.84983682181125364</v>
      </c>
      <c r="AE684" s="24">
        <f t="shared" ca="1" si="129"/>
        <v>0.51862311102672143</v>
      </c>
      <c r="AF684" s="24"/>
      <c r="AG684">
        <v>679</v>
      </c>
      <c r="AH684">
        <f t="shared" ca="1" si="135"/>
        <v>313.15678204160628</v>
      </c>
      <c r="AI684">
        <f t="shared" ca="1" si="136"/>
        <v>167.18914594412314</v>
      </c>
      <c r="AJ684">
        <f t="shared" ca="1" si="137"/>
        <v>53.520564114912965</v>
      </c>
      <c r="AL684">
        <v>679</v>
      </c>
      <c r="AM684" s="4">
        <f t="shared" ca="1" si="130"/>
        <v>1.2011309368135326E-2</v>
      </c>
      <c r="AN684" s="4">
        <f t="shared" ca="1" si="131"/>
        <v>1.7832409200319699E-2</v>
      </c>
      <c r="AO684" s="4">
        <f t="shared" ca="1" si="132"/>
        <v>9.2507136886392782E-3</v>
      </c>
      <c r="AP684" s="4">
        <f t="shared" ca="1" si="133"/>
        <v>1.3511570597160261E-2</v>
      </c>
    </row>
    <row r="685" spans="20:42" x14ac:dyDescent="0.3">
      <c r="T685">
        <v>679</v>
      </c>
      <c r="U685" s="4">
        <v>7.5873824842439984E-3</v>
      </c>
      <c r="V685" s="4"/>
      <c r="W685">
        <v>680</v>
      </c>
      <c r="X685">
        <f t="shared" ca="1" si="134"/>
        <v>2.5041454146410125</v>
      </c>
      <c r="Y685">
        <f t="shared" ca="1" si="134"/>
        <v>-1.5309845119011178</v>
      </c>
      <c r="Z685">
        <f t="shared" ca="1" si="134"/>
        <v>-0.60343953440063591</v>
      </c>
      <c r="AB685">
        <v>680</v>
      </c>
      <c r="AC685" s="24">
        <f t="shared" ca="1" si="127"/>
        <v>2.5041454146410125</v>
      </c>
      <c r="AD685" s="24">
        <f t="shared" ca="1" si="128"/>
        <v>1.4246723472141496</v>
      </c>
      <c r="AE685" s="24">
        <f t="shared" ca="1" si="129"/>
        <v>1.3150727449371322</v>
      </c>
      <c r="AF685" s="24"/>
      <c r="AG685">
        <v>680</v>
      </c>
      <c r="AH685">
        <f t="shared" ca="1" si="135"/>
        <v>322.90290799368518</v>
      </c>
      <c r="AI685">
        <f t="shared" ca="1" si="136"/>
        <v>169.19932870393066</v>
      </c>
      <c r="AJ685">
        <f t="shared" ca="1" si="137"/>
        <v>54.28242552940889</v>
      </c>
      <c r="AL685">
        <v>680</v>
      </c>
      <c r="AM685" s="4">
        <f t="shared" ca="1" si="130"/>
        <v>4.3507321115757946E-2</v>
      </c>
      <c r="AN685" s="4">
        <f t="shared" ca="1" si="131"/>
        <v>3.0070220152662586E-2</v>
      </c>
      <c r="AO685" s="4">
        <f t="shared" ca="1" si="132"/>
        <v>2.3617325644764042E-2</v>
      </c>
      <c r="AP685" s="4">
        <f t="shared" ca="1" si="133"/>
        <v>3.2165482089221632E-2</v>
      </c>
    </row>
    <row r="686" spans="20:42" x14ac:dyDescent="0.3">
      <c r="T686">
        <v>680</v>
      </c>
      <c r="U686" s="4">
        <v>7.6443626051953201E-3</v>
      </c>
      <c r="V686" s="4"/>
      <c r="W686">
        <v>681</v>
      </c>
      <c r="X686">
        <f t="shared" ca="1" si="134"/>
        <v>-0.65661231097825412</v>
      </c>
      <c r="Y686">
        <f t="shared" ca="1" si="134"/>
        <v>-0.92615204369406567</v>
      </c>
      <c r="Z686">
        <f t="shared" ca="1" si="134"/>
        <v>0.23945737544977516</v>
      </c>
      <c r="AB686">
        <v>681</v>
      </c>
      <c r="AC686" s="24">
        <f t="shared" ca="1" si="127"/>
        <v>-0.65661231097825412</v>
      </c>
      <c r="AD686" s="24">
        <f t="shared" ca="1" si="128"/>
        <v>-1.0277206399484897</v>
      </c>
      <c r="AE686" s="24">
        <f t="shared" ca="1" si="129"/>
        <v>-0.67007741111681196</v>
      </c>
      <c r="AF686" s="24"/>
      <c r="AG686">
        <v>681</v>
      </c>
      <c r="AH686">
        <f t="shared" ca="1" si="135"/>
        <v>306.00590437392077</v>
      </c>
      <c r="AI686">
        <f t="shared" ca="1" si="136"/>
        <v>160.78828986759979</v>
      </c>
      <c r="AJ686">
        <f t="shared" ca="1" si="137"/>
        <v>52.403329529954966</v>
      </c>
      <c r="AL686">
        <v>681</v>
      </c>
      <c r="AM686" s="4">
        <f t="shared" ca="1" si="130"/>
        <v>-1.1097783222566715E-2</v>
      </c>
      <c r="AN686" s="4">
        <f t="shared" ca="1" si="131"/>
        <v>-2.1135424055373053E-2</v>
      </c>
      <c r="AO686" s="4">
        <f t="shared" ca="1" si="132"/>
        <v>-1.1817259358234855E-2</v>
      </c>
      <c r="AP686" s="4">
        <f t="shared" ca="1" si="133"/>
        <v>-1.5328682396389693E-2</v>
      </c>
    </row>
    <row r="687" spans="20:42" x14ac:dyDescent="0.3">
      <c r="T687">
        <v>681</v>
      </c>
      <c r="U687" s="4">
        <v>7.6494418819484274E-3</v>
      </c>
      <c r="V687" s="4"/>
      <c r="W687">
        <v>682</v>
      </c>
      <c r="X687">
        <f t="shared" ca="1" si="134"/>
        <v>-1.1162180422235943</v>
      </c>
      <c r="Y687">
        <f t="shared" ca="1" si="134"/>
        <v>0.34831622389282996</v>
      </c>
      <c r="Z687">
        <f t="shared" ca="1" si="134"/>
        <v>7.3611853088721521E-2</v>
      </c>
      <c r="AB687">
        <v>682</v>
      </c>
      <c r="AC687" s="24">
        <f t="shared" ca="1" si="127"/>
        <v>-1.1162180422235943</v>
      </c>
      <c r="AD687" s="24">
        <f t="shared" ca="1" si="128"/>
        <v>-0.79967778442044923</v>
      </c>
      <c r="AE687" s="24">
        <f t="shared" ca="1" si="129"/>
        <v>-0.77757647790572215</v>
      </c>
      <c r="AF687" s="24"/>
      <c r="AG687">
        <v>682</v>
      </c>
      <c r="AH687">
        <f t="shared" ca="1" si="135"/>
        <v>303.62366942712117</v>
      </c>
      <c r="AI687">
        <f t="shared" ca="1" si="136"/>
        <v>161.55245438331269</v>
      </c>
      <c r="AJ687">
        <f t="shared" ca="1" si="137"/>
        <v>52.303450698065348</v>
      </c>
      <c r="AL687">
        <v>682</v>
      </c>
      <c r="AM687" s="4">
        <f t="shared" ca="1" si="130"/>
        <v>-1.8796319055052413E-2</v>
      </c>
      <c r="AN687" s="4">
        <f t="shared" ca="1" si="131"/>
        <v>-1.6483259552341201E-2</v>
      </c>
      <c r="AO687" s="4">
        <f t="shared" ca="1" si="132"/>
        <v>-1.3700699565452279E-2</v>
      </c>
      <c r="AP687" s="4">
        <f t="shared" ca="1" si="133"/>
        <v>-1.6342409407087886E-2</v>
      </c>
    </row>
    <row r="688" spans="20:42" x14ac:dyDescent="0.3">
      <c r="T688">
        <v>682</v>
      </c>
      <c r="U688" s="4">
        <v>7.7214845091912229E-3</v>
      </c>
      <c r="V688" s="4"/>
      <c r="W688">
        <v>683</v>
      </c>
      <c r="X688">
        <f t="shared" ca="1" si="134"/>
        <v>-0.22322659685088114</v>
      </c>
      <c r="Y688">
        <f t="shared" ca="1" si="134"/>
        <v>-0.86929293213390391</v>
      </c>
      <c r="Z688">
        <f t="shared" ca="1" si="134"/>
        <v>0.54271543706939862</v>
      </c>
      <c r="AB688">
        <v>683</v>
      </c>
      <c r="AC688" s="24">
        <f t="shared" ca="1" si="127"/>
        <v>-0.22322659685088114</v>
      </c>
      <c r="AD688" s="24">
        <f t="shared" ca="1" si="128"/>
        <v>-0.62258171932791251</v>
      </c>
      <c r="AE688" s="24">
        <f t="shared" ca="1" si="129"/>
        <v>-0.14673241929256975</v>
      </c>
      <c r="AF688" s="24"/>
      <c r="AG688">
        <v>683</v>
      </c>
      <c r="AH688">
        <f t="shared" ca="1" si="135"/>
        <v>308.26935481011901</v>
      </c>
      <c r="AI688">
        <f t="shared" ca="1" si="136"/>
        <v>162.14840225845583</v>
      </c>
      <c r="AJ688">
        <f t="shared" ca="1" si="137"/>
        <v>52.892307636570763</v>
      </c>
      <c r="AL688">
        <v>683</v>
      </c>
      <c r="AM688" s="4">
        <f t="shared" ca="1" si="130"/>
        <v>-3.7831166689855644E-3</v>
      </c>
      <c r="AN688" s="4">
        <f t="shared" ca="1" si="131"/>
        <v>-1.2855182752921079E-2</v>
      </c>
      <c r="AO688" s="4">
        <f t="shared" ca="1" si="132"/>
        <v>-2.5964764453245692E-3</v>
      </c>
      <c r="AP688" s="4">
        <f t="shared" ca="1" si="133"/>
        <v>-7.0559510354614718E-3</v>
      </c>
    </row>
    <row r="689" spans="20:42" x14ac:dyDescent="0.3">
      <c r="T689">
        <v>683</v>
      </c>
      <c r="U689" s="4">
        <v>7.7743071725270511E-3</v>
      </c>
      <c r="V689" s="4"/>
      <c r="W689">
        <v>684</v>
      </c>
      <c r="X689">
        <f t="shared" ca="1" si="134"/>
        <v>-2.0257555928175153</v>
      </c>
      <c r="Y689">
        <f t="shared" ca="1" si="134"/>
        <v>-0.62710160972328255</v>
      </c>
      <c r="Z689">
        <f t="shared" ca="1" si="134"/>
        <v>0.77090752475012414</v>
      </c>
      <c r="AB689">
        <v>684</v>
      </c>
      <c r="AC689" s="24">
        <f t="shared" ca="1" si="127"/>
        <v>-2.0257555928175153</v>
      </c>
      <c r="AD689" s="24">
        <f t="shared" ca="1" si="128"/>
        <v>-2.0717633015724441</v>
      </c>
      <c r="AE689" s="24">
        <f t="shared" ca="1" si="129"/>
        <v>-1.4353378872226767</v>
      </c>
      <c r="AF689" s="24"/>
      <c r="AG689">
        <v>684</v>
      </c>
      <c r="AH689">
        <f t="shared" ca="1" si="135"/>
        <v>298.96386745217779</v>
      </c>
      <c r="AI689">
        <f t="shared" ca="1" si="136"/>
        <v>157.33563215119398</v>
      </c>
      <c r="AJ689">
        <f t="shared" ca="1" si="137"/>
        <v>51.696448222003674</v>
      </c>
      <c r="AL689">
        <v>684</v>
      </c>
      <c r="AM689" s="4">
        <f t="shared" ca="1" si="130"/>
        <v>-3.3855141244099274E-2</v>
      </c>
      <c r="AN689" s="4">
        <f t="shared" ca="1" si="131"/>
        <v>-4.2154892166107349E-2</v>
      </c>
      <c r="AO689" s="4">
        <f t="shared" ca="1" si="132"/>
        <v>-2.5147097642660099E-2</v>
      </c>
      <c r="AP689" s="4">
        <f t="shared" ca="1" si="133"/>
        <v>-3.4562628532470746E-2</v>
      </c>
    </row>
    <row r="690" spans="20:42" x14ac:dyDescent="0.3">
      <c r="T690">
        <v>684</v>
      </c>
      <c r="U690" s="4">
        <v>7.7811883004303747E-3</v>
      </c>
      <c r="V690" s="4"/>
      <c r="W690">
        <v>685</v>
      </c>
      <c r="X690">
        <f t="shared" ca="1" si="134"/>
        <v>2.7389618474503736</v>
      </c>
      <c r="Y690">
        <f t="shared" ca="1" si="134"/>
        <v>0.84678634695494681</v>
      </c>
      <c r="Z690">
        <f t="shared" ca="1" si="134"/>
        <v>-1.3898599897560626</v>
      </c>
      <c r="AB690">
        <v>685</v>
      </c>
      <c r="AC690" s="24">
        <f t="shared" ca="1" si="127"/>
        <v>2.7389618474503736</v>
      </c>
      <c r="AD690" s="24">
        <f t="shared" ca="1" si="128"/>
        <v>2.8006262024664359</v>
      </c>
      <c r="AE690" s="24">
        <f t="shared" ca="1" si="129"/>
        <v>1.7639912489555791</v>
      </c>
      <c r="AF690" s="24"/>
      <c r="AG690">
        <v>685</v>
      </c>
      <c r="AH690">
        <f t="shared" ca="1" si="135"/>
        <v>324.19482056378388</v>
      </c>
      <c r="AI690">
        <f t="shared" ca="1" si="136"/>
        <v>174.10971318652145</v>
      </c>
      <c r="AJ690">
        <f t="shared" ca="1" si="137"/>
        <v>54.716617694778556</v>
      </c>
      <c r="AL690">
        <v>685</v>
      </c>
      <c r="AM690" s="4">
        <f t="shared" ca="1" si="130"/>
        <v>4.7682322925174381E-2</v>
      </c>
      <c r="AN690" s="4">
        <f t="shared" ca="1" si="131"/>
        <v>5.9964197060024871E-2</v>
      </c>
      <c r="AO690" s="4">
        <f t="shared" ca="1" si="132"/>
        <v>3.1804996309753308E-2</v>
      </c>
      <c r="AP690" s="4">
        <f t="shared" ca="1" si="133"/>
        <v>4.7831874594488261E-2</v>
      </c>
    </row>
    <row r="691" spans="20:42" x14ac:dyDescent="0.3">
      <c r="T691">
        <v>685</v>
      </c>
      <c r="U691" s="4">
        <v>7.7988846077332577E-3</v>
      </c>
      <c r="V691" s="4"/>
      <c r="W691">
        <v>686</v>
      </c>
      <c r="X691">
        <f t="shared" ca="1" si="134"/>
        <v>-0.25154443364248841</v>
      </c>
      <c r="Y691">
        <f t="shared" ca="1" si="134"/>
        <v>-0.99673159139784229</v>
      </c>
      <c r="Z691">
        <f t="shared" ca="1" si="134"/>
        <v>0.25384109549896761</v>
      </c>
      <c r="AB691">
        <v>686</v>
      </c>
      <c r="AC691" s="24">
        <f t="shared" ca="1" si="127"/>
        <v>-0.25154443364248841</v>
      </c>
      <c r="AD691" s="24">
        <f t="shared" ca="1" si="128"/>
        <v>-0.71001732714019017</v>
      </c>
      <c r="AE691" s="24">
        <f t="shared" ca="1" si="129"/>
        <v>-0.35163341365146983</v>
      </c>
      <c r="AF691" s="24"/>
      <c r="AG691">
        <v>686</v>
      </c>
      <c r="AH691">
        <f t="shared" ca="1" si="135"/>
        <v>308.12094889761488</v>
      </c>
      <c r="AI691">
        <f t="shared" ca="1" si="136"/>
        <v>161.85389750254788</v>
      </c>
      <c r="AJ691">
        <f t="shared" ca="1" si="137"/>
        <v>52.700320878376274</v>
      </c>
      <c r="AL691">
        <v>686</v>
      </c>
      <c r="AM691" s="4">
        <f t="shared" ca="1" si="130"/>
        <v>-4.2627117805846826E-3</v>
      </c>
      <c r="AN691" s="4">
        <f t="shared" ca="1" si="131"/>
        <v>-1.4648101088223231E-2</v>
      </c>
      <c r="AO691" s="4">
        <f t="shared" ca="1" si="132"/>
        <v>-6.2168189422857623E-3</v>
      </c>
      <c r="AP691" s="4">
        <f t="shared" ca="1" si="133"/>
        <v>-9.0030996521504262E-3</v>
      </c>
    </row>
    <row r="692" spans="20:42" x14ac:dyDescent="0.3">
      <c r="T692">
        <v>686</v>
      </c>
      <c r="U692" s="4">
        <v>7.8201748620170038E-3</v>
      </c>
      <c r="V692" s="4"/>
      <c r="W692">
        <v>687</v>
      </c>
      <c r="X692">
        <f t="shared" ca="1" si="134"/>
        <v>-0.83469452184281601</v>
      </c>
      <c r="Y692">
        <f t="shared" ca="1" si="134"/>
        <v>0.90820951316660314</v>
      </c>
      <c r="Z692">
        <f t="shared" ca="1" si="134"/>
        <v>-1.3349640887150138</v>
      </c>
      <c r="AB692">
        <v>687</v>
      </c>
      <c r="AC692" s="24">
        <f t="shared" ca="1" si="127"/>
        <v>-0.83469452184281601</v>
      </c>
      <c r="AD692" s="24">
        <f t="shared" ca="1" si="128"/>
        <v>-0.27882091737788395</v>
      </c>
      <c r="AE692" s="24">
        <f t="shared" ca="1" si="129"/>
        <v>-1.108106891769306</v>
      </c>
      <c r="AF692" s="24"/>
      <c r="AG692">
        <v>687</v>
      </c>
      <c r="AH692">
        <f t="shared" ca="1" si="135"/>
        <v>305.08065611057009</v>
      </c>
      <c r="AI692">
        <f t="shared" ca="1" si="136"/>
        <v>163.31147792903204</v>
      </c>
      <c r="AJ692">
        <f t="shared" ca="1" si="137"/>
        <v>51.997541378185872</v>
      </c>
      <c r="AL692">
        <v>687</v>
      </c>
      <c r="AM692" s="4">
        <f t="shared" ca="1" si="130"/>
        <v>-1.4087856438863011E-2</v>
      </c>
      <c r="AN692" s="4">
        <f t="shared" ca="1" si="131"/>
        <v>-5.7744831944670505E-3</v>
      </c>
      <c r="AO692" s="4">
        <f t="shared" ca="1" si="132"/>
        <v>-1.9469308408017527E-2</v>
      </c>
      <c r="AP692" s="4">
        <f t="shared" ca="1" si="133"/>
        <v>-1.2376942731850981E-2</v>
      </c>
    </row>
    <row r="693" spans="20:42" x14ac:dyDescent="0.3">
      <c r="T693">
        <v>687</v>
      </c>
      <c r="U693" s="4">
        <v>7.8316076706794746E-3</v>
      </c>
      <c r="V693" s="4"/>
      <c r="W693">
        <v>688</v>
      </c>
      <c r="X693">
        <f t="shared" ca="1" si="134"/>
        <v>0.68462202275835415</v>
      </c>
      <c r="Y693">
        <f t="shared" ca="1" si="134"/>
        <v>0.36386754377109315</v>
      </c>
      <c r="Z693">
        <f t="shared" ca="1" si="134"/>
        <v>2.000397542010679</v>
      </c>
      <c r="AB693">
        <v>688</v>
      </c>
      <c r="AC693" s="24">
        <f t="shared" ca="1" si="127"/>
        <v>0.68462202275835415</v>
      </c>
      <c r="AD693" s="24">
        <f t="shared" ca="1" si="128"/>
        <v>0.77503415623445482</v>
      </c>
      <c r="AE693" s="24">
        <f t="shared" ca="1" si="129"/>
        <v>1.6744840401857277</v>
      </c>
      <c r="AF693" s="24"/>
      <c r="AG693">
        <v>688</v>
      </c>
      <c r="AH693">
        <f t="shared" ca="1" si="135"/>
        <v>313.06520560246787</v>
      </c>
      <c r="AI693">
        <f t="shared" ca="1" si="136"/>
        <v>166.9293254057973</v>
      </c>
      <c r="AJ693">
        <f t="shared" ca="1" si="137"/>
        <v>54.629770368657312</v>
      </c>
      <c r="AL693">
        <v>688</v>
      </c>
      <c r="AM693" s="4">
        <f t="shared" ca="1" si="130"/>
        <v>1.1715366896522417E-2</v>
      </c>
      <c r="AN693" s="4">
        <f t="shared" ca="1" si="131"/>
        <v>1.6250645246741691E-2</v>
      </c>
      <c r="AO693" s="4">
        <f t="shared" ca="1" si="132"/>
        <v>3.0167294478329776E-2</v>
      </c>
      <c r="AP693" s="4">
        <f t="shared" ca="1" si="133"/>
        <v>1.9065056511152333E-2</v>
      </c>
    </row>
    <row r="694" spans="20:42" x14ac:dyDescent="0.3">
      <c r="T694">
        <v>688</v>
      </c>
      <c r="U694" s="4">
        <v>7.8540464451864796E-3</v>
      </c>
      <c r="V694" s="4"/>
      <c r="W694">
        <v>689</v>
      </c>
      <c r="X694">
        <f t="shared" ca="1" si="134"/>
        <v>-0.40864916969013526</v>
      </c>
      <c r="Y694">
        <f t="shared" ca="1" si="134"/>
        <v>0.21183594771908126</v>
      </c>
      <c r="Z694">
        <f t="shared" ca="1" si="134"/>
        <v>-0.57501673271353537</v>
      </c>
      <c r="AB694">
        <v>689</v>
      </c>
      <c r="AC694" s="24">
        <f t="shared" ca="1" si="127"/>
        <v>-0.40864916969013526</v>
      </c>
      <c r="AD694" s="24">
        <f t="shared" ca="1" si="128"/>
        <v>-0.25121703696620484</v>
      </c>
      <c r="AE694" s="24">
        <f t="shared" ca="1" si="129"/>
        <v>-0.56690373576449593</v>
      </c>
      <c r="AF694" s="24"/>
      <c r="AG694">
        <v>689</v>
      </c>
      <c r="AH694">
        <f t="shared" ca="1" si="135"/>
        <v>307.29890339047859</v>
      </c>
      <c r="AI694">
        <f t="shared" ca="1" si="136"/>
        <v>163.40523358578469</v>
      </c>
      <c r="AJ694">
        <f t="shared" ca="1" si="137"/>
        <v>52.49936894967891</v>
      </c>
      <c r="AL694">
        <v>689</v>
      </c>
      <c r="AM694" s="4">
        <f t="shared" ca="1" si="130"/>
        <v>-6.9192704047139619E-3</v>
      </c>
      <c r="AN694" s="4">
        <f t="shared" ca="1" si="131"/>
        <v>-5.2037072302151266E-3</v>
      </c>
      <c r="AO694" s="4">
        <f t="shared" ca="1" si="132"/>
        <v>-1.0006219910098313E-2</v>
      </c>
      <c r="AP694" s="4">
        <f t="shared" ca="1" si="133"/>
        <v>-7.1591299865297331E-3</v>
      </c>
    </row>
    <row r="695" spans="20:42" x14ac:dyDescent="0.3">
      <c r="T695">
        <v>689</v>
      </c>
      <c r="U695" s="4">
        <v>7.9542354284468549E-3</v>
      </c>
      <c r="V695" s="4"/>
      <c r="W695">
        <v>690</v>
      </c>
      <c r="X695">
        <f t="shared" ca="1" si="134"/>
        <v>0.55819964044939907</v>
      </c>
      <c r="Y695">
        <f t="shared" ca="1" si="134"/>
        <v>0.52377199731912272</v>
      </c>
      <c r="Z695">
        <f t="shared" ca="1" si="134"/>
        <v>-0.20083389162701665</v>
      </c>
      <c r="AB695">
        <v>690</v>
      </c>
      <c r="AC695" s="24">
        <f t="shared" ca="1" si="127"/>
        <v>0.55819964044939907</v>
      </c>
      <c r="AD695" s="24">
        <f t="shared" ca="1" si="128"/>
        <v>0.74381560530229529</v>
      </c>
      <c r="AE695" s="24">
        <f t="shared" ca="1" si="129"/>
        <v>0.49827671359087761</v>
      </c>
      <c r="AF695" s="24"/>
      <c r="AG695">
        <v>690</v>
      </c>
      <c r="AH695">
        <f t="shared" ca="1" si="135"/>
        <v>312.39291447896767</v>
      </c>
      <c r="AI695">
        <f t="shared" ca="1" si="136"/>
        <v>166.82100994740196</v>
      </c>
      <c r="AJ695">
        <f t="shared" ca="1" si="137"/>
        <v>53.501242034645891</v>
      </c>
      <c r="AL695">
        <v>690</v>
      </c>
      <c r="AM695" s="4">
        <f t="shared" ca="1" si="130"/>
        <v>9.5427611629521625E-3</v>
      </c>
      <c r="AN695" s="4">
        <f t="shared" ca="1" si="131"/>
        <v>1.5591230526069477E-2</v>
      </c>
      <c r="AO695" s="4">
        <f t="shared" ca="1" si="132"/>
        <v>8.8863523702940039E-3</v>
      </c>
      <c r="AP695" s="4">
        <f t="shared" ca="1" si="133"/>
        <v>1.1765226270401642E-2</v>
      </c>
    </row>
    <row r="696" spans="20:42" x14ac:dyDescent="0.3">
      <c r="T696">
        <v>690</v>
      </c>
      <c r="U696" s="4">
        <v>7.9665718888955583E-3</v>
      </c>
      <c r="V696" s="4"/>
      <c r="W696">
        <v>691</v>
      </c>
      <c r="X696">
        <f t="shared" ca="1" si="134"/>
        <v>-0.13457403322012396</v>
      </c>
      <c r="Y696">
        <f t="shared" ca="1" si="134"/>
        <v>0.17120906251267873</v>
      </c>
      <c r="Z696">
        <f t="shared" ca="1" si="134"/>
        <v>-2.5755889768085565</v>
      </c>
      <c r="AB696">
        <v>691</v>
      </c>
      <c r="AC696" s="24">
        <f t="shared" ca="1" si="127"/>
        <v>-0.13457403322012396</v>
      </c>
      <c r="AD696" s="24">
        <f t="shared" ca="1" si="128"/>
        <v>-3.2741698783326376E-2</v>
      </c>
      <c r="AE696" s="24">
        <f t="shared" ca="1" si="129"/>
        <v>-1.3697325786171586</v>
      </c>
      <c r="AF696" s="24"/>
      <c r="AG696">
        <v>691</v>
      </c>
      <c r="AH696">
        <f t="shared" ca="1" si="135"/>
        <v>308.73442058215596</v>
      </c>
      <c r="AI696">
        <f t="shared" ca="1" si="136"/>
        <v>164.14917910760983</v>
      </c>
      <c r="AJ696">
        <f t="shared" ca="1" si="137"/>
        <v>51.756673195782902</v>
      </c>
      <c r="AL696">
        <v>691</v>
      </c>
      <c r="AM696" s="4">
        <f t="shared" ca="1" si="130"/>
        <v>-2.2801895478385958E-3</v>
      </c>
      <c r="AN696" s="4">
        <f t="shared" ca="1" si="131"/>
        <v>-6.7463413448831666E-4</v>
      </c>
      <c r="AO696" s="4">
        <f t="shared" ca="1" si="132"/>
        <v>-2.4011420192809996E-2</v>
      </c>
      <c r="AP696" s="4">
        <f t="shared" ca="1" si="133"/>
        <v>-8.1573365759899045E-3</v>
      </c>
    </row>
    <row r="697" spans="20:42" x14ac:dyDescent="0.3">
      <c r="T697">
        <v>691</v>
      </c>
      <c r="U697" s="4">
        <v>7.9953737738149844E-3</v>
      </c>
      <c r="V697" s="4"/>
      <c r="W697">
        <v>692</v>
      </c>
      <c r="X697">
        <f t="shared" ca="1" si="134"/>
        <v>4.2861788453471383E-2</v>
      </c>
      <c r="Y697">
        <f t="shared" ca="1" si="134"/>
        <v>-0.9679919641446264</v>
      </c>
      <c r="Z697">
        <f t="shared" ca="1" si="134"/>
        <v>-0.80707850916173229</v>
      </c>
      <c r="AB697">
        <v>692</v>
      </c>
      <c r="AC697" s="24">
        <f t="shared" ca="1" si="127"/>
        <v>4.2861788453471383E-2</v>
      </c>
      <c r="AD697" s="24">
        <f t="shared" ca="1" si="128"/>
        <v>-0.43967071746062508</v>
      </c>
      <c r="AE697" s="24">
        <f t="shared" ca="1" si="129"/>
        <v>-0.64183081108728557</v>
      </c>
      <c r="AF697" s="24"/>
      <c r="AG697">
        <v>692</v>
      </c>
      <c r="AH697">
        <f t="shared" ca="1" si="135"/>
        <v>309.66734623160585</v>
      </c>
      <c r="AI697">
        <f t="shared" ca="1" si="136"/>
        <v>162.76622597478885</v>
      </c>
      <c r="AJ697">
        <f t="shared" ca="1" si="137"/>
        <v>52.42960545432436</v>
      </c>
      <c r="AL697">
        <v>692</v>
      </c>
      <c r="AM697" s="4">
        <f t="shared" ca="1" si="130"/>
        <v>7.3469424898564561E-4</v>
      </c>
      <c r="AN697" s="4">
        <f t="shared" ca="1" si="131"/>
        <v>-9.093927809573854E-3</v>
      </c>
      <c r="AO697" s="4">
        <f t="shared" ca="1" si="132"/>
        <v>-1.1321767655910864E-2</v>
      </c>
      <c r="AP697" s="4">
        <f t="shared" ca="1" si="133"/>
        <v>-6.8136931459071067E-3</v>
      </c>
    </row>
    <row r="698" spans="20:42" x14ac:dyDescent="0.3">
      <c r="T698">
        <v>692</v>
      </c>
      <c r="U698" s="4">
        <v>8.0108537852184199E-3</v>
      </c>
      <c r="V698" s="4"/>
      <c r="W698">
        <v>693</v>
      </c>
      <c r="X698">
        <f t="shared" ca="1" si="134"/>
        <v>1.1436049706740558E-3</v>
      </c>
      <c r="Y698">
        <f t="shared" ca="1" si="134"/>
        <v>-4.7198630053409171E-2</v>
      </c>
      <c r="Z698">
        <f t="shared" ca="1" si="134"/>
        <v>0.68555879646644347</v>
      </c>
      <c r="AB698">
        <v>693</v>
      </c>
      <c r="AC698" s="24">
        <f t="shared" ca="1" si="127"/>
        <v>1.1436049706740558E-3</v>
      </c>
      <c r="AD698" s="24">
        <f t="shared" ca="1" si="128"/>
        <v>-2.2261499360585774E-2</v>
      </c>
      <c r="AE698" s="24">
        <f t="shared" ca="1" si="129"/>
        <v>0.3358361324911503</v>
      </c>
      <c r="AF698" s="24"/>
      <c r="AG698">
        <v>693</v>
      </c>
      <c r="AH698">
        <f t="shared" ca="1" si="135"/>
        <v>309.44774634972401</v>
      </c>
      <c r="AI698">
        <f t="shared" ca="1" si="136"/>
        <v>164.18495097240015</v>
      </c>
      <c r="AJ698">
        <f t="shared" ca="1" si="137"/>
        <v>53.347229299431859</v>
      </c>
      <c r="AL698">
        <v>693</v>
      </c>
      <c r="AM698" s="4">
        <f t="shared" ca="1" si="130"/>
        <v>2.5025556672941818E-5</v>
      </c>
      <c r="AN698" s="4">
        <f t="shared" ca="1" si="131"/>
        <v>-4.568582548669653E-4</v>
      </c>
      <c r="AO698" s="4">
        <f t="shared" ca="1" si="132"/>
        <v>5.9820955579374946E-3</v>
      </c>
      <c r="AP698" s="4">
        <f t="shared" ca="1" si="133"/>
        <v>1.6193930324363446E-3</v>
      </c>
    </row>
    <row r="699" spans="20:42" x14ac:dyDescent="0.3">
      <c r="T699">
        <v>693</v>
      </c>
      <c r="U699" s="4">
        <v>8.1306063728650239E-3</v>
      </c>
      <c r="V699" s="4"/>
      <c r="W699">
        <v>694</v>
      </c>
      <c r="X699">
        <f t="shared" ca="1" si="134"/>
        <v>-1.2768389297255764</v>
      </c>
      <c r="Y699">
        <f t="shared" ca="1" si="134"/>
        <v>-0.92666419196139516</v>
      </c>
      <c r="Z699">
        <f t="shared" ca="1" si="134"/>
        <v>1.3928609639847962</v>
      </c>
      <c r="AB699">
        <v>694</v>
      </c>
      <c r="AC699" s="24">
        <f t="shared" ca="1" si="127"/>
        <v>-1.2768389297255764</v>
      </c>
      <c r="AD699" s="24">
        <f t="shared" ca="1" si="128"/>
        <v>-1.5676797905446447</v>
      </c>
      <c r="AE699" s="24">
        <f t="shared" ca="1" si="129"/>
        <v>-0.59109421805112217</v>
      </c>
      <c r="AF699" s="24"/>
      <c r="AG699">
        <v>694</v>
      </c>
      <c r="AH699">
        <f t="shared" ca="1" si="135"/>
        <v>302.79551748562193</v>
      </c>
      <c r="AI699">
        <f t="shared" ca="1" si="136"/>
        <v>158.99328435705144</v>
      </c>
      <c r="AJ699">
        <f t="shared" ca="1" si="137"/>
        <v>52.476835407144478</v>
      </c>
      <c r="AL699">
        <v>694</v>
      </c>
      <c r="AM699" s="4">
        <f t="shared" ca="1" si="130"/>
        <v>-2.1472611502587724E-2</v>
      </c>
      <c r="AN699" s="4">
        <f t="shared" ca="1" si="131"/>
        <v>-3.2063255362914322E-2</v>
      </c>
      <c r="AO699" s="4">
        <f t="shared" ca="1" si="132"/>
        <v>-1.0431140578646914E-2</v>
      </c>
      <c r="AP699" s="4">
        <f t="shared" ca="1" si="133"/>
        <v>-2.2396427769536122E-2</v>
      </c>
    </row>
    <row r="700" spans="20:42" x14ac:dyDescent="0.3">
      <c r="T700">
        <v>694</v>
      </c>
      <c r="U700" s="4">
        <v>8.1981795291088174E-3</v>
      </c>
      <c r="V700" s="4"/>
      <c r="W700">
        <v>695</v>
      </c>
      <c r="X700">
        <f t="shared" ca="1" si="134"/>
        <v>-0.8922716381167739</v>
      </c>
      <c r="Y700">
        <f t="shared" ca="1" si="134"/>
        <v>1.0728546046232106</v>
      </c>
      <c r="Z700">
        <f t="shared" ca="1" si="134"/>
        <v>-0.21660629143119539</v>
      </c>
      <c r="AB700">
        <v>695</v>
      </c>
      <c r="AC700" s="24">
        <f t="shared" ca="1" si="127"/>
        <v>-0.8922716381167739</v>
      </c>
      <c r="AD700" s="24">
        <f t="shared" ca="1" si="128"/>
        <v>-0.24779601678397634</v>
      </c>
      <c r="AE700" s="24">
        <f t="shared" ca="1" si="129"/>
        <v>-0.5420692473198504</v>
      </c>
      <c r="AF700" s="24"/>
      <c r="AG700">
        <v>695</v>
      </c>
      <c r="AH700">
        <f t="shared" ca="1" si="135"/>
        <v>304.78210593523738</v>
      </c>
      <c r="AI700">
        <f t="shared" ca="1" si="136"/>
        <v>163.41685671444986</v>
      </c>
      <c r="AJ700">
        <f t="shared" ca="1" si="137"/>
        <v>52.522512452590107</v>
      </c>
      <c r="AL700">
        <v>695</v>
      </c>
      <c r="AM700" s="4">
        <f t="shared" ca="1" si="130"/>
        <v>-1.5052664391865922E-2</v>
      </c>
      <c r="AN700" s="4">
        <f t="shared" ca="1" si="131"/>
        <v>-5.13294667345221E-3</v>
      </c>
      <c r="AO700" s="4">
        <f t="shared" ca="1" si="132"/>
        <v>-9.5697970655963527E-3</v>
      </c>
      <c r="AP700" s="4">
        <f t="shared" ca="1" si="133"/>
        <v>-9.4399171066195664E-3</v>
      </c>
    </row>
    <row r="701" spans="20:42" x14ac:dyDescent="0.3">
      <c r="T701">
        <v>695</v>
      </c>
      <c r="U701" s="4">
        <v>8.2740370082444725E-3</v>
      </c>
      <c r="V701" s="4"/>
      <c r="W701">
        <v>696</v>
      </c>
      <c r="X701">
        <f t="shared" ca="1" si="134"/>
        <v>1.707393346229451</v>
      </c>
      <c r="Y701">
        <f t="shared" ca="1" si="134"/>
        <v>-1.4326572070092096</v>
      </c>
      <c r="Z701">
        <f t="shared" ca="1" si="134"/>
        <v>0.93817174355707289</v>
      </c>
      <c r="AB701">
        <v>696</v>
      </c>
      <c r="AC701" s="24">
        <f t="shared" ca="1" si="127"/>
        <v>1.707393346229451</v>
      </c>
      <c r="AD701" s="24">
        <f t="shared" ca="1" si="128"/>
        <v>0.77980697173276403</v>
      </c>
      <c r="AE701" s="24">
        <f t="shared" ca="1" si="129"/>
        <v>1.474276839222799</v>
      </c>
      <c r="AF701" s="24"/>
      <c r="AG701">
        <v>696</v>
      </c>
      <c r="AH701">
        <f t="shared" ca="1" si="135"/>
        <v>318.55758752669163</v>
      </c>
      <c r="AI701">
        <f t="shared" ca="1" si="136"/>
        <v>166.94589129814199</v>
      </c>
      <c r="AJ701">
        <f t="shared" ca="1" si="137"/>
        <v>54.436011388140727</v>
      </c>
      <c r="AL701">
        <v>696</v>
      </c>
      <c r="AM701" s="4">
        <f t="shared" ca="1" si="130"/>
        <v>2.946479127892343E-2</v>
      </c>
      <c r="AN701" s="4">
        <f t="shared" ca="1" si="131"/>
        <v>1.6351496902036189E-2</v>
      </c>
      <c r="AO701" s="4">
        <f t="shared" ca="1" si="132"/>
        <v>2.6513532740129797E-2</v>
      </c>
      <c r="AP701" s="4">
        <f t="shared" ca="1" si="133"/>
        <v>2.3334095966530442E-2</v>
      </c>
    </row>
    <row r="702" spans="20:42" x14ac:dyDescent="0.3">
      <c r="T702">
        <v>696</v>
      </c>
      <c r="U702" s="4">
        <v>8.2923912974572685E-3</v>
      </c>
      <c r="V702" s="4"/>
      <c r="W702">
        <v>697</v>
      </c>
      <c r="X702">
        <f t="shared" ca="1" si="134"/>
        <v>-0.63751172789678423</v>
      </c>
      <c r="Y702">
        <f t="shared" ca="1" si="134"/>
        <v>-1.0693741172599971</v>
      </c>
      <c r="Z702">
        <f t="shared" ca="1" si="134"/>
        <v>0.48861566226668612</v>
      </c>
      <c r="AB702">
        <v>697</v>
      </c>
      <c r="AC702" s="24">
        <f t="shared" ca="1" si="127"/>
        <v>-0.63751172789678423</v>
      </c>
      <c r="AD702" s="24">
        <f t="shared" ca="1" si="128"/>
        <v>-1.0816709548917141</v>
      </c>
      <c r="AE702" s="24">
        <f t="shared" ca="1" si="129"/>
        <v>-0.56757127871807733</v>
      </c>
      <c r="AF702" s="24"/>
      <c r="AG702">
        <v>697</v>
      </c>
      <c r="AH702">
        <f t="shared" ca="1" si="135"/>
        <v>306.10531030489744</v>
      </c>
      <c r="AI702">
        <f t="shared" ca="1" si="136"/>
        <v>160.60803340303494</v>
      </c>
      <c r="AJ702">
        <f t="shared" ca="1" si="137"/>
        <v>52.498747000628164</v>
      </c>
      <c r="AL702">
        <v>697</v>
      </c>
      <c r="AM702" s="4">
        <f t="shared" ca="1" si="130"/>
        <v>-1.077653861879091E-2</v>
      </c>
      <c r="AN702" s="4">
        <f t="shared" ca="1" si="131"/>
        <v>-2.2232809119253294E-2</v>
      </c>
      <c r="AO702" s="4">
        <f t="shared" ca="1" si="132"/>
        <v>-1.0017948159486645E-2</v>
      </c>
      <c r="AP702" s="4">
        <f t="shared" ca="1" si="133"/>
        <v>-1.5131469681184583E-2</v>
      </c>
    </row>
    <row r="703" spans="20:42" x14ac:dyDescent="0.3">
      <c r="T703">
        <v>697</v>
      </c>
      <c r="U703" s="4">
        <v>8.3333163417946172E-3</v>
      </c>
      <c r="V703" s="4"/>
      <c r="W703">
        <v>698</v>
      </c>
      <c r="X703">
        <f t="shared" ca="1" si="134"/>
        <v>-0.76450010174670435</v>
      </c>
      <c r="Y703">
        <f t="shared" ca="1" si="134"/>
        <v>0.38979173335504042</v>
      </c>
      <c r="Z703">
        <f t="shared" ca="1" si="134"/>
        <v>2.0632425389223057</v>
      </c>
      <c r="AB703">
        <v>698</v>
      </c>
      <c r="AC703" s="24">
        <f t="shared" ca="1" si="127"/>
        <v>-0.76450010174670435</v>
      </c>
      <c r="AD703" s="24">
        <f t="shared" ca="1" si="128"/>
        <v>-0.47318437432854488</v>
      </c>
      <c r="AE703" s="24">
        <f t="shared" ca="1" si="129"/>
        <v>0.53072273283658256</v>
      </c>
      <c r="AF703" s="24"/>
      <c r="AG703">
        <v>698</v>
      </c>
      <c r="AH703">
        <f t="shared" ca="1" si="135"/>
        <v>305.44502544167551</v>
      </c>
      <c r="AI703">
        <f t="shared" ca="1" si="136"/>
        <v>162.65285005725391</v>
      </c>
      <c r="AJ703">
        <f t="shared" ca="1" si="137"/>
        <v>53.532057903121192</v>
      </c>
      <c r="AL703">
        <v>698</v>
      </c>
      <c r="AM703" s="4">
        <f t="shared" ca="1" si="130"/>
        <v>-1.2910344390547834E-2</v>
      </c>
      <c r="AN703" s="4">
        <f t="shared" ca="1" si="131"/>
        <v>-9.7841501481007453E-3</v>
      </c>
      <c r="AO703" s="4">
        <f t="shared" ca="1" si="132"/>
        <v>9.4674549383622075E-3</v>
      </c>
      <c r="AP703" s="4">
        <f t="shared" ca="1" si="133"/>
        <v>-4.9465268948959869E-3</v>
      </c>
    </row>
    <row r="704" spans="20:42" x14ac:dyDescent="0.3">
      <c r="T704">
        <v>698</v>
      </c>
      <c r="U704" s="4">
        <v>8.3590041014878873E-3</v>
      </c>
      <c r="V704" s="4"/>
      <c r="W704">
        <v>699</v>
      </c>
      <c r="X704">
        <f t="shared" ca="1" si="134"/>
        <v>-0.36543476051577173</v>
      </c>
      <c r="Y704">
        <f t="shared" ca="1" si="134"/>
        <v>-1.4989299567929335</v>
      </c>
      <c r="Z704">
        <f t="shared" ca="1" si="134"/>
        <v>-1.8845808292018893</v>
      </c>
      <c r="AB704">
        <v>699</v>
      </c>
      <c r="AC704" s="24">
        <f t="shared" ca="1" si="127"/>
        <v>-0.36543476051577173</v>
      </c>
      <c r="AD704" s="24">
        <f t="shared" ca="1" si="128"/>
        <v>-1.0565751052751899</v>
      </c>
      <c r="AE704" s="24">
        <f t="shared" ca="1" si="129"/>
        <v>-1.6685061816156215</v>
      </c>
      <c r="AF704" s="24"/>
      <c r="AG704">
        <v>699</v>
      </c>
      <c r="AH704">
        <f t="shared" ca="1" si="135"/>
        <v>307.52480249211624</v>
      </c>
      <c r="AI704">
        <f t="shared" ca="1" si="136"/>
        <v>160.69185742159755</v>
      </c>
      <c r="AJ704">
        <f t="shared" ca="1" si="137"/>
        <v>51.482968792806773</v>
      </c>
      <c r="AL704">
        <v>699</v>
      </c>
      <c r="AM704" s="4">
        <f t="shared" ca="1" si="130"/>
        <v>-6.1892448751916795E-3</v>
      </c>
      <c r="AN704" s="4">
        <f t="shared" ca="1" si="131"/>
        <v>-2.1722496070636255E-2</v>
      </c>
      <c r="AO704" s="4">
        <f t="shared" ca="1" si="132"/>
        <v>-2.9172732832383086E-2</v>
      </c>
      <c r="AP704" s="4">
        <f t="shared" ca="1" si="133"/>
        <v>-1.9297591740526934E-2</v>
      </c>
    </row>
    <row r="705" spans="20:42" x14ac:dyDescent="0.3">
      <c r="T705">
        <v>699</v>
      </c>
      <c r="U705" s="4">
        <v>8.4036668928819669E-3</v>
      </c>
      <c r="V705" s="4"/>
      <c r="W705">
        <v>700</v>
      </c>
      <c r="X705">
        <f t="shared" ca="1" si="134"/>
        <v>2.0599852784571135</v>
      </c>
      <c r="Y705">
        <f t="shared" ca="1" si="134"/>
        <v>2.0609080629220151</v>
      </c>
      <c r="Z705">
        <f t="shared" ca="1" si="134"/>
        <v>-0.76217091494308786</v>
      </c>
      <c r="AB705">
        <v>700</v>
      </c>
      <c r="AC705" s="24">
        <f t="shared" ca="1" si="127"/>
        <v>2.0599852784571135</v>
      </c>
      <c r="AD705" s="24">
        <f t="shared" ca="1" si="128"/>
        <v>2.808042510810385</v>
      </c>
      <c r="AE705" s="24">
        <f t="shared" ca="1" si="129"/>
        <v>1.8635084563685034</v>
      </c>
      <c r="AF705" s="24"/>
      <c r="AG705">
        <v>700</v>
      </c>
      <c r="AH705">
        <f t="shared" ca="1" si="135"/>
        <v>320.47329085243115</v>
      </c>
      <c r="AI705">
        <f t="shared" ca="1" si="136"/>
        <v>174.13656231934252</v>
      </c>
      <c r="AJ705">
        <f t="shared" ca="1" si="137"/>
        <v>54.813339651377326</v>
      </c>
      <c r="AL705">
        <v>700</v>
      </c>
      <c r="AM705" s="4">
        <f t="shared" ca="1" si="130"/>
        <v>3.5655662887717154E-2</v>
      </c>
      <c r="AN705" s="4">
        <f t="shared" ca="1" si="131"/>
        <v>6.012765215389404E-2</v>
      </c>
      <c r="AO705" s="4">
        <f t="shared" ca="1" si="132"/>
        <v>3.3628906527087388E-2</v>
      </c>
      <c r="AP705" s="4">
        <f t="shared" ca="1" si="133"/>
        <v>4.4836431685998983E-2</v>
      </c>
    </row>
    <row r="706" spans="20:42" x14ac:dyDescent="0.3">
      <c r="T706">
        <v>700</v>
      </c>
      <c r="U706" s="4">
        <v>8.4043667210043759E-3</v>
      </c>
      <c r="V706" s="4"/>
      <c r="W706">
        <v>701</v>
      </c>
      <c r="X706">
        <f t="shared" ca="1" si="134"/>
        <v>0.67705541244356315</v>
      </c>
      <c r="Y706">
        <f t="shared" ca="1" si="134"/>
        <v>-0.80547205735802674</v>
      </c>
      <c r="Z706">
        <f t="shared" ca="1" si="134"/>
        <v>0.8570993990483502</v>
      </c>
      <c r="AB706">
        <v>701</v>
      </c>
      <c r="AC706" s="24">
        <f t="shared" ca="1" si="127"/>
        <v>0.67705541244356315</v>
      </c>
      <c r="AD706" s="24">
        <f t="shared" ca="1" si="128"/>
        <v>0.1922698476082893</v>
      </c>
      <c r="AE706" s="24">
        <f t="shared" ca="1" si="129"/>
        <v>0.76527420764878085</v>
      </c>
      <c r="AF706" s="24"/>
      <c r="AG706">
        <v>701</v>
      </c>
      <c r="AH706">
        <f t="shared" ca="1" si="135"/>
        <v>313.02492707674816</v>
      </c>
      <c r="AI706">
        <f t="shared" ca="1" si="136"/>
        <v>164.91892220577964</v>
      </c>
      <c r="AJ706">
        <f t="shared" ca="1" si="137"/>
        <v>53.755353621344327</v>
      </c>
      <c r="AL706">
        <v>701</v>
      </c>
      <c r="AM706" s="4">
        <f t="shared" ca="1" si="130"/>
        <v>1.1585201031081738E-2</v>
      </c>
      <c r="AN706" s="4">
        <f t="shared" ca="1" si="131"/>
        <v>4.0114922743237358E-3</v>
      </c>
      <c r="AO706" s="4">
        <f t="shared" ca="1" si="132"/>
        <v>1.3678198354602156E-2</v>
      </c>
      <c r="AP706" s="4">
        <f t="shared" ca="1" si="133"/>
        <v>9.1836167254346623E-3</v>
      </c>
    </row>
    <row r="707" spans="20:42" x14ac:dyDescent="0.3">
      <c r="T707">
        <v>701</v>
      </c>
      <c r="U707" s="4">
        <v>8.4287454075459671E-3</v>
      </c>
      <c r="V707" s="4"/>
      <c r="W707">
        <v>702</v>
      </c>
      <c r="X707">
        <f t="shared" ca="1" si="134"/>
        <v>-0.39591242008979594</v>
      </c>
      <c r="Y707">
        <f t="shared" ca="1" si="134"/>
        <v>0.82037411235492264</v>
      </c>
      <c r="Z707">
        <f t="shared" ca="1" si="134"/>
        <v>1.1160567238283166</v>
      </c>
      <c r="AB707">
        <v>702</v>
      </c>
      <c r="AC707" s="24">
        <f t="shared" ca="1" si="127"/>
        <v>-0.39591242008979594</v>
      </c>
      <c r="AD707" s="24">
        <f t="shared" ca="1" si="128"/>
        <v>5.9717086758094395E-2</v>
      </c>
      <c r="AE707" s="24">
        <f t="shared" ca="1" si="129"/>
        <v>0.46972322665300265</v>
      </c>
      <c r="AF707" s="24"/>
      <c r="AG707">
        <v>702</v>
      </c>
      <c r="AH707">
        <f t="shared" ca="1" si="135"/>
        <v>307.36546625254545</v>
      </c>
      <c r="AI707">
        <f t="shared" ca="1" si="136"/>
        <v>164.46503603254484</v>
      </c>
      <c r="AJ707">
        <f t="shared" ca="1" si="137"/>
        <v>53.474137805105492</v>
      </c>
      <c r="AL707">
        <v>702</v>
      </c>
      <c r="AM707" s="4">
        <f t="shared" ca="1" si="130"/>
        <v>-6.7041629152436721E-3</v>
      </c>
      <c r="AN707" s="4">
        <f t="shared" ca="1" si="131"/>
        <v>1.2482742759456489E-3</v>
      </c>
      <c r="AO707" s="4">
        <f t="shared" ca="1" si="132"/>
        <v>8.3752411094168977E-3</v>
      </c>
      <c r="AP707" s="4">
        <f t="shared" ca="1" si="133"/>
        <v>1.0006331686302273E-3</v>
      </c>
    </row>
    <row r="708" spans="20:42" x14ac:dyDescent="0.3">
      <c r="T708">
        <v>702</v>
      </c>
      <c r="U708" s="4">
        <v>8.448922151830263E-3</v>
      </c>
      <c r="V708" s="4"/>
      <c r="W708">
        <v>703</v>
      </c>
      <c r="X708">
        <f t="shared" ca="1" si="134"/>
        <v>-0.60476084193616897</v>
      </c>
      <c r="Y708">
        <f t="shared" ca="1" si="134"/>
        <v>1.7826717676230186</v>
      </c>
      <c r="Z708">
        <f t="shared" ca="1" si="134"/>
        <v>-1.4583906246228724</v>
      </c>
      <c r="AB708">
        <v>703</v>
      </c>
      <c r="AC708" s="24">
        <f t="shared" ca="1" si="127"/>
        <v>-0.60476084193616897</v>
      </c>
      <c r="AD708" s="24">
        <f t="shared" ca="1" si="128"/>
        <v>0.3521442800330441</v>
      </c>
      <c r="AE708" s="24">
        <f t="shared" ca="1" si="129"/>
        <v>-0.7416773821156466</v>
      </c>
      <c r="AF708" s="24"/>
      <c r="AG708">
        <v>703</v>
      </c>
      <c r="AH708">
        <f t="shared" ca="1" si="135"/>
        <v>306.27583221532313</v>
      </c>
      <c r="AI708">
        <f t="shared" ca="1" si="136"/>
        <v>165.46802987469556</v>
      </c>
      <c r="AJ708">
        <f t="shared" ca="1" si="137"/>
        <v>52.336783842694075</v>
      </c>
      <c r="AL708">
        <v>703</v>
      </c>
      <c r="AM708" s="4">
        <f t="shared" ca="1" si="130"/>
        <v>-1.0225472470005048E-2</v>
      </c>
      <c r="AN708" s="4">
        <f t="shared" ca="1" si="131"/>
        <v>7.3544101318614441E-3</v>
      </c>
      <c r="AO708" s="4">
        <f t="shared" ca="1" si="132"/>
        <v>-1.3072128089004487E-2</v>
      </c>
      <c r="AP708" s="4">
        <f t="shared" ca="1" si="133"/>
        <v>-4.0475161149582826E-3</v>
      </c>
    </row>
    <row r="709" spans="20:42" x14ac:dyDescent="0.3">
      <c r="T709">
        <v>703</v>
      </c>
      <c r="U709" s="4">
        <v>8.5364607257555347E-3</v>
      </c>
      <c r="V709" s="4"/>
      <c r="W709">
        <v>704</v>
      </c>
      <c r="X709">
        <f t="shared" ca="1" si="134"/>
        <v>-0.17782706632566264</v>
      </c>
      <c r="Y709">
        <f t="shared" ca="1" si="134"/>
        <v>1.9335984654821272</v>
      </c>
      <c r="Z709">
        <f t="shared" ca="1" si="134"/>
        <v>1.0234746231586851</v>
      </c>
      <c r="AB709">
        <v>704</v>
      </c>
      <c r="AC709" s="24">
        <f t="shared" ca="1" si="127"/>
        <v>-0.17782706632566264</v>
      </c>
      <c r="AD709" s="24">
        <f t="shared" ca="1" si="128"/>
        <v>0.79801970595499538</v>
      </c>
      <c r="AE709" s="24">
        <f t="shared" ca="1" si="129"/>
        <v>0.90804531184784287</v>
      </c>
      <c r="AF709" s="24"/>
      <c r="AG709">
        <v>704</v>
      </c>
      <c r="AH709">
        <f t="shared" ca="1" si="135"/>
        <v>308.50743030651</v>
      </c>
      <c r="AI709">
        <f t="shared" ca="1" si="136"/>
        <v>167.00912070625989</v>
      </c>
      <c r="AJ709">
        <f t="shared" ca="1" si="137"/>
        <v>53.891729147147686</v>
      </c>
      <c r="AL709">
        <v>704</v>
      </c>
      <c r="AM709" s="4">
        <f t="shared" ca="1" si="130"/>
        <v>-3.0137413635543675E-3</v>
      </c>
      <c r="AN709" s="4">
        <f t="shared" ca="1" si="131"/>
        <v>1.6736431823699549E-2</v>
      </c>
      <c r="AO709" s="4">
        <f t="shared" ca="1" si="132"/>
        <v>1.6249865881334147E-2</v>
      </c>
      <c r="AP709" s="4">
        <f t="shared" ca="1" si="133"/>
        <v>1.0665410084813753E-2</v>
      </c>
    </row>
    <row r="710" spans="20:42" x14ac:dyDescent="0.3">
      <c r="T710">
        <v>704</v>
      </c>
      <c r="U710" s="4">
        <v>8.5424481430436128E-3</v>
      </c>
      <c r="V710" s="4"/>
      <c r="W710">
        <v>705</v>
      </c>
      <c r="X710">
        <f t="shared" ca="1" si="134"/>
        <v>1.0590178119606457</v>
      </c>
      <c r="Y710">
        <f t="shared" ca="1" si="134"/>
        <v>-0.51831308965697986</v>
      </c>
      <c r="Z710">
        <f t="shared" ca="1" si="134"/>
        <v>-0.55241968746954617</v>
      </c>
      <c r="AB710">
        <v>705</v>
      </c>
      <c r="AC710" s="24">
        <f t="shared" ref="AC710:AC773" ca="1" si="138">SUMPRODUCT($Q$24:$S$24,X710:Z710)</f>
        <v>1.0590178119606457</v>
      </c>
      <c r="AD710" s="24">
        <f t="shared" ref="AD710:AD773" ca="1" si="139">SUMPRODUCT($Q$25:$S$25,X710:Z710)</f>
        <v>0.66613927176676691</v>
      </c>
      <c r="AE710" s="24">
        <f t="shared" ref="AE710:AE773" ca="1" si="140">SUMPRODUCT($Q$26:$S$26,X710:Z710)</f>
        <v>0.44095865841761894</v>
      </c>
      <c r="AF710" s="24"/>
      <c r="AG710">
        <v>705</v>
      </c>
      <c r="AH710">
        <f t="shared" ca="1" si="135"/>
        <v>315.06467278364698</v>
      </c>
      <c r="AI710">
        <f t="shared" ca="1" si="136"/>
        <v>166.55181009451857</v>
      </c>
      <c r="AJ710">
        <f t="shared" ca="1" si="137"/>
        <v>53.446847091761121</v>
      </c>
      <c r="AL710">
        <v>705</v>
      </c>
      <c r="AM710" s="4">
        <f t="shared" ref="AM710:AM773" ca="1" si="141">AH710/$AH$2-1</f>
        <v>1.817693348585725E-2</v>
      </c>
      <c r="AN710" s="4">
        <f t="shared" ref="AN710:AN773" ca="1" si="142">AI710/$AI$2-1</f>
        <v>1.3952366153209717E-2</v>
      </c>
      <c r="AO710" s="4">
        <f t="shared" ref="AO710:AO773" ca="1" si="143">AJ710/$AJ$2-1</f>
        <v>7.8606132766321224E-3</v>
      </c>
      <c r="AP710" s="4">
        <f t="shared" ref="AP710:AP773" ca="1" si="144">SUMPRODUCT($P$6:$R$6,AM710:AO710)</f>
        <v>1.3392210490030698E-2</v>
      </c>
    </row>
    <row r="711" spans="20:42" x14ac:dyDescent="0.3">
      <c r="T711">
        <v>705</v>
      </c>
      <c r="U711" s="4">
        <v>8.7839068198624741E-3</v>
      </c>
      <c r="V711" s="4"/>
      <c r="W711">
        <v>706</v>
      </c>
      <c r="X711">
        <f t="shared" ref="X711:Z774" ca="1" si="145">_xlfn.NORM.S.INV(RAND())</f>
        <v>0.78716723246457621</v>
      </c>
      <c r="Y711">
        <f t="shared" ca="1" si="145"/>
        <v>0.37774462224503796</v>
      </c>
      <c r="Z711">
        <f t="shared" ca="1" si="145"/>
        <v>-0.74195819655346107</v>
      </c>
      <c r="AB711">
        <v>706</v>
      </c>
      <c r="AC711" s="24">
        <f t="shared" ca="1" si="138"/>
        <v>0.78716723246457621</v>
      </c>
      <c r="AD711" s="24">
        <f t="shared" ca="1" si="139"/>
        <v>0.87110440263670497</v>
      </c>
      <c r="AE711" s="24">
        <f t="shared" ca="1" si="140"/>
        <v>0.37022687941089027</v>
      </c>
      <c r="AF711" s="24"/>
      <c r="AG711">
        <v>706</v>
      </c>
      <c r="AH711">
        <f t="shared" ref="AH711:AH774" ca="1" si="146">$L$21*EXP(($L$19-(($L$20^2)/2))*(1/252)+$L$20*AC711)</f>
        <v>313.61158487722383</v>
      </c>
      <c r="AI711">
        <f t="shared" ref="AI711:AI774" ca="1" si="147">$M$21*EXP(($M$19-(($M$20^2)/2))*(1/252)+$M$20*AD711)</f>
        <v>167.26309083895759</v>
      </c>
      <c r="AJ711">
        <f t="shared" ref="AJ711:AJ774" ca="1" si="148">$N$21*EXP(($N$19-(($N$20^2)/2))*(1/252)+$N$20*AE711)</f>
        <v>53.379798724914558</v>
      </c>
      <c r="AL711">
        <v>706</v>
      </c>
      <c r="AM711" s="4">
        <f t="shared" ca="1" si="141"/>
        <v>1.348107032996726E-2</v>
      </c>
      <c r="AN711" s="4">
        <f t="shared" ca="1" si="142"/>
        <v>1.8282579036599467E-2</v>
      </c>
      <c r="AO711" s="4">
        <f t="shared" ca="1" si="143"/>
        <v>6.5962653907192248E-3</v>
      </c>
      <c r="AP711" s="4">
        <f t="shared" ca="1" si="144"/>
        <v>1.3336232330845733E-2</v>
      </c>
    </row>
    <row r="712" spans="20:42" x14ac:dyDescent="0.3">
      <c r="T712">
        <v>706</v>
      </c>
      <c r="U712" s="4">
        <v>8.797595043462848E-3</v>
      </c>
      <c r="V712" s="4"/>
      <c r="W712">
        <v>707</v>
      </c>
      <c r="X712">
        <f t="shared" ca="1" si="145"/>
        <v>-1.2776728253790477</v>
      </c>
      <c r="Y712">
        <f t="shared" ca="1" si="145"/>
        <v>-1.4053001830607625</v>
      </c>
      <c r="Z712">
        <f t="shared" ca="1" si="145"/>
        <v>-0.59525882108596717</v>
      </c>
      <c r="AB712">
        <v>707</v>
      </c>
      <c r="AC712" s="24">
        <f t="shared" ca="1" si="138"/>
        <v>-1.2776728253790477</v>
      </c>
      <c r="AD712" s="24">
        <f t="shared" ca="1" si="139"/>
        <v>-1.8042483719503295</v>
      </c>
      <c r="AE712" s="24">
        <f t="shared" ca="1" si="140"/>
        <v>-1.7329023113877973</v>
      </c>
      <c r="AF712" s="24"/>
      <c r="AG712">
        <v>707</v>
      </c>
      <c r="AH712">
        <f t="shared" ca="1" si="146"/>
        <v>302.79122386757552</v>
      </c>
      <c r="AI712">
        <f t="shared" ca="1" si="147"/>
        <v>158.21317727342893</v>
      </c>
      <c r="AJ712">
        <f t="shared" ca="1" si="148"/>
        <v>51.424165818669515</v>
      </c>
      <c r="AL712">
        <v>707</v>
      </c>
      <c r="AM712" s="4">
        <f t="shared" ca="1" si="141"/>
        <v>-2.1486486948595118E-2</v>
      </c>
      <c r="AN712" s="4">
        <f t="shared" ca="1" si="142"/>
        <v>-3.6812476778418812E-2</v>
      </c>
      <c r="AO712" s="4">
        <f t="shared" ca="1" si="143"/>
        <v>-3.0281595277995899E-2</v>
      </c>
      <c r="AP712" s="4">
        <f t="shared" ca="1" si="144"/>
        <v>-3.0255415379344827E-2</v>
      </c>
    </row>
    <row r="713" spans="20:42" x14ac:dyDescent="0.3">
      <c r="T713">
        <v>707</v>
      </c>
      <c r="U713" s="4">
        <v>8.8237642166322915E-3</v>
      </c>
      <c r="V713" s="4"/>
      <c r="W713">
        <v>708</v>
      </c>
      <c r="X713">
        <f t="shared" ca="1" si="145"/>
        <v>-6.328527615585447E-2</v>
      </c>
      <c r="Y713">
        <f t="shared" ca="1" si="145"/>
        <v>-3.096365476897929E-2</v>
      </c>
      <c r="Z713">
        <f t="shared" ca="1" si="145"/>
        <v>0.4730489568147766</v>
      </c>
      <c r="AB713">
        <v>708</v>
      </c>
      <c r="AC713" s="24">
        <f t="shared" ca="1" si="138"/>
        <v>-6.328527615585447E-2</v>
      </c>
      <c r="AD713" s="24">
        <f t="shared" ca="1" si="139"/>
        <v>-7.0326398419726793E-2</v>
      </c>
      <c r="AE713" s="24">
        <f t="shared" ca="1" si="140"/>
        <v>0.17987712217033519</v>
      </c>
      <c r="AF713" s="24"/>
      <c r="AG713">
        <v>708</v>
      </c>
      <c r="AH713">
        <f t="shared" ca="1" si="146"/>
        <v>309.1089058082303</v>
      </c>
      <c r="AI713">
        <f t="shared" ca="1" si="147"/>
        <v>164.02095605155793</v>
      </c>
      <c r="AJ713">
        <f t="shared" ca="1" si="148"/>
        <v>53.199779040222239</v>
      </c>
      <c r="AL713">
        <v>708</v>
      </c>
      <c r="AM713" s="4">
        <f t="shared" ca="1" si="141"/>
        <v>-1.0699865258643193E-3</v>
      </c>
      <c r="AN713" s="4">
        <f t="shared" ca="1" si="142"/>
        <v>-1.4552445103552802E-3</v>
      </c>
      <c r="AO713" s="4">
        <f t="shared" ca="1" si="143"/>
        <v>3.2015890030856475E-3</v>
      </c>
      <c r="AP713" s="4">
        <f t="shared" ca="1" si="144"/>
        <v>5.7382939024286416E-5</v>
      </c>
    </row>
    <row r="714" spans="20:42" x14ac:dyDescent="0.3">
      <c r="T714">
        <v>708</v>
      </c>
      <c r="U714" s="4">
        <v>8.8327132127336005E-3</v>
      </c>
      <c r="V714" s="4"/>
      <c r="W714">
        <v>709</v>
      </c>
      <c r="X714">
        <f t="shared" ca="1" si="145"/>
        <v>1.7348114588268166</v>
      </c>
      <c r="Y714">
        <f t="shared" ca="1" si="145"/>
        <v>1.0052159985702485</v>
      </c>
      <c r="Z714">
        <f t="shared" ca="1" si="145"/>
        <v>-1.6207742689708402</v>
      </c>
      <c r="AB714">
        <v>709</v>
      </c>
      <c r="AC714" s="24">
        <f t="shared" ca="1" si="138"/>
        <v>1.7348114588268166</v>
      </c>
      <c r="AD714" s="24">
        <f t="shared" ca="1" si="139"/>
        <v>2.0049024379688274</v>
      </c>
      <c r="AE714" s="24">
        <f t="shared" ca="1" si="140"/>
        <v>0.8709181235053296</v>
      </c>
      <c r="AF714" s="24"/>
      <c r="AG714">
        <v>709</v>
      </c>
      <c r="AH714">
        <f t="shared" ca="1" si="146"/>
        <v>318.70614417397383</v>
      </c>
      <c r="AI714">
        <f t="shared" ca="1" si="147"/>
        <v>171.25288754849498</v>
      </c>
      <c r="AJ714">
        <f t="shared" ca="1" si="148"/>
        <v>53.856231857611185</v>
      </c>
      <c r="AL714">
        <v>709</v>
      </c>
      <c r="AM714" s="4">
        <f t="shared" ca="1" si="141"/>
        <v>2.9944873511699166E-2</v>
      </c>
      <c r="AN714" s="4">
        <f t="shared" ca="1" si="142"/>
        <v>4.257210078847895E-2</v>
      </c>
      <c r="AO714" s="4">
        <f t="shared" ca="1" si="143"/>
        <v>1.558048458105854E-2</v>
      </c>
      <c r="AP714" s="4">
        <f t="shared" ca="1" si="144"/>
        <v>3.0686447743218891E-2</v>
      </c>
    </row>
    <row r="715" spans="20:42" x14ac:dyDescent="0.3">
      <c r="T715">
        <v>709</v>
      </c>
      <c r="U715" s="4">
        <v>8.8424857469099009E-3</v>
      </c>
      <c r="V715" s="4"/>
      <c r="W715">
        <v>710</v>
      </c>
      <c r="X715">
        <f t="shared" ca="1" si="145"/>
        <v>0.29080266507563757</v>
      </c>
      <c r="Y715">
        <f t="shared" ca="1" si="145"/>
        <v>0.98492009001229508</v>
      </c>
      <c r="Z715">
        <f t="shared" ca="1" si="145"/>
        <v>-1.0640817465319095</v>
      </c>
      <c r="AB715">
        <v>710</v>
      </c>
      <c r="AC715" s="24">
        <f t="shared" ca="1" si="138"/>
        <v>0.29080266507563757</v>
      </c>
      <c r="AD715" s="24">
        <f t="shared" ca="1" si="139"/>
        <v>0.73835893269931208</v>
      </c>
      <c r="AE715" s="24">
        <f t="shared" ca="1" si="140"/>
        <v>-3.0793175088234204E-2</v>
      </c>
      <c r="AF715" s="24"/>
      <c r="AG715">
        <v>710</v>
      </c>
      <c r="AH715">
        <f t="shared" ca="1" si="146"/>
        <v>310.97569858888164</v>
      </c>
      <c r="AI715">
        <f t="shared" ca="1" si="147"/>
        <v>166.80208476782178</v>
      </c>
      <c r="AJ715">
        <f t="shared" ca="1" si="148"/>
        <v>53.001249283153932</v>
      </c>
      <c r="AL715">
        <v>710</v>
      </c>
      <c r="AM715" s="4">
        <f t="shared" ca="1" si="141"/>
        <v>4.9628236018592897E-3</v>
      </c>
      <c r="AN715" s="4">
        <f t="shared" ca="1" si="142"/>
        <v>1.5476015743328242E-2</v>
      </c>
      <c r="AO715" s="4">
        <f t="shared" ca="1" si="143"/>
        <v>-5.4213646623901823E-4</v>
      </c>
      <c r="AP715" s="4">
        <f t="shared" ca="1" si="144"/>
        <v>7.5166124380173791E-3</v>
      </c>
    </row>
    <row r="716" spans="20:42" x14ac:dyDescent="0.3">
      <c r="T716">
        <v>710</v>
      </c>
      <c r="U716" s="4">
        <v>8.8539427869266159E-3</v>
      </c>
      <c r="V716" s="4"/>
      <c r="W716">
        <v>711</v>
      </c>
      <c r="X716">
        <f t="shared" ca="1" si="145"/>
        <v>0.45165038390377582</v>
      </c>
      <c r="Y716">
        <f t="shared" ca="1" si="145"/>
        <v>1.7285872052182891</v>
      </c>
      <c r="Z716">
        <f t="shared" ca="1" si="145"/>
        <v>1.1247750707053434</v>
      </c>
      <c r="AB716">
        <v>711</v>
      </c>
      <c r="AC716" s="24">
        <f t="shared" ca="1" si="138"/>
        <v>0.45165038390377582</v>
      </c>
      <c r="AD716" s="24">
        <f t="shared" ca="1" si="139"/>
        <v>1.2447591767769466</v>
      </c>
      <c r="AE716" s="24">
        <f t="shared" ca="1" si="140"/>
        <v>1.416660597623959</v>
      </c>
      <c r="AF716" s="24"/>
      <c r="AG716">
        <v>711</v>
      </c>
      <c r="AH716">
        <f t="shared" ca="1" si="146"/>
        <v>311.82742626115544</v>
      </c>
      <c r="AI716">
        <f t="shared" ca="1" si="147"/>
        <v>168.56759278303548</v>
      </c>
      <c r="AJ716">
        <f t="shared" ca="1" si="148"/>
        <v>54.380378284734554</v>
      </c>
      <c r="AL716">
        <v>711</v>
      </c>
      <c r="AM716" s="4">
        <f t="shared" ca="1" si="141"/>
        <v>7.7153044238404966E-3</v>
      </c>
      <c r="AN716" s="4">
        <f t="shared" ca="1" si="142"/>
        <v>2.6224268965388431E-2</v>
      </c>
      <c r="AO716" s="4">
        <f t="shared" ca="1" si="143"/>
        <v>2.5464445342679332E-2</v>
      </c>
      <c r="AP716" s="4">
        <f t="shared" ca="1" si="144"/>
        <v>2.044363251611132E-2</v>
      </c>
    </row>
    <row r="717" spans="20:42" x14ac:dyDescent="0.3">
      <c r="T717">
        <v>711</v>
      </c>
      <c r="U717" s="4">
        <v>8.8642276734704813E-3</v>
      </c>
      <c r="V717" s="4"/>
      <c r="W717">
        <v>712</v>
      </c>
      <c r="X717">
        <f t="shared" ca="1" si="145"/>
        <v>0.81936838130561551</v>
      </c>
      <c r="Y717">
        <f t="shared" ca="1" si="145"/>
        <v>-1.065052637724011</v>
      </c>
      <c r="Z717">
        <f t="shared" ca="1" si="145"/>
        <v>0.99128245065207587</v>
      </c>
      <c r="AB717">
        <v>712</v>
      </c>
      <c r="AC717" s="24">
        <f t="shared" ca="1" si="138"/>
        <v>0.81936838130561551</v>
      </c>
      <c r="AD717" s="24">
        <f t="shared" ca="1" si="139"/>
        <v>0.18820163502903664</v>
      </c>
      <c r="AE717" s="24">
        <f t="shared" ca="1" si="140"/>
        <v>0.87787751347296727</v>
      </c>
      <c r="AF717" s="24"/>
      <c r="AG717">
        <v>712</v>
      </c>
      <c r="AH717">
        <f t="shared" ca="1" si="146"/>
        <v>313.78335503178641</v>
      </c>
      <c r="AI717">
        <f t="shared" ca="1" si="147"/>
        <v>164.90497324797005</v>
      </c>
      <c r="AJ717">
        <f t="shared" ca="1" si="148"/>
        <v>53.862883946428028</v>
      </c>
      <c r="AL717">
        <v>712</v>
      </c>
      <c r="AM717" s="4">
        <f t="shared" ca="1" si="141"/>
        <v>1.4036170359722044E-2</v>
      </c>
      <c r="AN717" s="4">
        <f t="shared" ca="1" si="142"/>
        <v>3.9265722799486369E-3</v>
      </c>
      <c r="AO717" s="4">
        <f t="shared" ca="1" si="143"/>
        <v>1.5705924689864315E-2</v>
      </c>
      <c r="AP717" s="4">
        <f t="shared" ca="1" si="144"/>
        <v>1.0493257426855362E-2</v>
      </c>
    </row>
    <row r="718" spans="20:42" x14ac:dyDescent="0.3">
      <c r="T718">
        <v>712</v>
      </c>
      <c r="U718" s="4">
        <v>8.921902383189028E-3</v>
      </c>
      <c r="V718" s="4"/>
      <c r="W718">
        <v>713</v>
      </c>
      <c r="X718">
        <f t="shared" ca="1" si="145"/>
        <v>-1.02136411938084</v>
      </c>
      <c r="Y718">
        <f t="shared" ca="1" si="145"/>
        <v>-0.41438774818181534</v>
      </c>
      <c r="Z718">
        <f t="shared" ca="1" si="145"/>
        <v>-6.350178120205914E-2</v>
      </c>
      <c r="AB718">
        <v>713</v>
      </c>
      <c r="AC718" s="24">
        <f t="shared" ca="1" si="138"/>
        <v>-1.02136411938084</v>
      </c>
      <c r="AD718" s="24">
        <f t="shared" ca="1" si="139"/>
        <v>-1.0929526150047297</v>
      </c>
      <c r="AE718" s="24">
        <f t="shared" ca="1" si="140"/>
        <v>-0.98028330092803528</v>
      </c>
      <c r="AF718" s="24"/>
      <c r="AG718">
        <v>713</v>
      </c>
      <c r="AH718">
        <f t="shared" ca="1" si="146"/>
        <v>304.11379408328577</v>
      </c>
      <c r="AI718">
        <f t="shared" ca="1" si="147"/>
        <v>160.57036516174801</v>
      </c>
      <c r="AJ718">
        <f t="shared" ca="1" si="148"/>
        <v>52.115630690360376</v>
      </c>
      <c r="AL718">
        <v>713</v>
      </c>
      <c r="AM718" s="4">
        <f t="shared" ca="1" si="141"/>
        <v>-1.7212410535476286E-2</v>
      </c>
      <c r="AN718" s="4">
        <f t="shared" ca="1" si="142"/>
        <v>-2.24621299675829E-2</v>
      </c>
      <c r="AO718" s="4">
        <f t="shared" ca="1" si="143"/>
        <v>-1.7242468602382766E-2</v>
      </c>
      <c r="AP718" s="4">
        <f t="shared" ca="1" si="144"/>
        <v>-1.9321315728390874E-2</v>
      </c>
    </row>
    <row r="719" spans="20:42" x14ac:dyDescent="0.3">
      <c r="T719">
        <v>713</v>
      </c>
      <c r="U719" s="4">
        <v>8.9444869444778689E-3</v>
      </c>
      <c r="V719" s="4"/>
      <c r="W719">
        <v>714</v>
      </c>
      <c r="X719">
        <f t="shared" ca="1" si="145"/>
        <v>-0.4257772789890133</v>
      </c>
      <c r="Y719">
        <f t="shared" ca="1" si="145"/>
        <v>0.85411260241966125</v>
      </c>
      <c r="Z719">
        <f t="shared" ca="1" si="145"/>
        <v>0.88099569465926886</v>
      </c>
      <c r="AB719">
        <v>714</v>
      </c>
      <c r="AC719" s="24">
        <f t="shared" ca="1" si="138"/>
        <v>-0.4257772789890133</v>
      </c>
      <c r="AD719" s="24">
        <f t="shared" ca="1" si="139"/>
        <v>5.035367312656519E-2</v>
      </c>
      <c r="AE719" s="24">
        <f t="shared" ca="1" si="140"/>
        <v>0.33536300749238035</v>
      </c>
      <c r="AF719" s="24"/>
      <c r="AG719">
        <v>714</v>
      </c>
      <c r="AH719">
        <f t="shared" ca="1" si="146"/>
        <v>307.20941379865894</v>
      </c>
      <c r="AI719">
        <f t="shared" ca="1" si="147"/>
        <v>164.43302117884426</v>
      </c>
      <c r="AJ719">
        <f t="shared" ca="1" si="148"/>
        <v>53.346781369562535</v>
      </c>
      <c r="AL719">
        <v>714</v>
      </c>
      <c r="AM719" s="4">
        <f t="shared" ca="1" si="141"/>
        <v>-7.2084689282195802E-3</v>
      </c>
      <c r="AN719" s="4">
        <f t="shared" ca="1" si="142"/>
        <v>1.0533707402629044E-3</v>
      </c>
      <c r="AO719" s="4">
        <f t="shared" ca="1" si="143"/>
        <v>5.9736488319401815E-3</v>
      </c>
      <c r="AP719" s="4">
        <f t="shared" ca="1" si="144"/>
        <v>5.0902267221342298E-5</v>
      </c>
    </row>
    <row r="720" spans="20:42" x14ac:dyDescent="0.3">
      <c r="T720">
        <v>714</v>
      </c>
      <c r="U720" s="4">
        <v>9.0018147747966022E-3</v>
      </c>
      <c r="V720" s="4"/>
      <c r="W720">
        <v>715</v>
      </c>
      <c r="X720">
        <f t="shared" ca="1" si="145"/>
        <v>0.42791471168922163</v>
      </c>
      <c r="Y720">
        <f t="shared" ca="1" si="145"/>
        <v>-1.6350577612366537</v>
      </c>
      <c r="Z720">
        <f t="shared" ca="1" si="145"/>
        <v>-6.518033618590334E-2</v>
      </c>
      <c r="AB720">
        <v>715</v>
      </c>
      <c r="AC720" s="24">
        <f t="shared" ca="1" si="138"/>
        <v>0.42791471168922163</v>
      </c>
      <c r="AD720" s="24">
        <f t="shared" ca="1" si="139"/>
        <v>-0.43329639599376907</v>
      </c>
      <c r="AE720" s="24">
        <f t="shared" ca="1" si="140"/>
        <v>-0.13515670653434445</v>
      </c>
      <c r="AF720" s="24"/>
      <c r="AG720">
        <v>715</v>
      </c>
      <c r="AH720">
        <f t="shared" ca="1" si="146"/>
        <v>311.70159355399107</v>
      </c>
      <c r="AI720">
        <f t="shared" ca="1" si="147"/>
        <v>162.78779909861845</v>
      </c>
      <c r="AJ720">
        <f t="shared" ca="1" si="148"/>
        <v>52.903174618620461</v>
      </c>
      <c r="AL720">
        <v>715</v>
      </c>
      <c r="AM720" s="4">
        <f t="shared" ca="1" si="141"/>
        <v>7.3086578811454306E-3</v>
      </c>
      <c r="AN720" s="4">
        <f t="shared" ca="1" si="142"/>
        <v>-8.9625925815752794E-3</v>
      </c>
      <c r="AO720" s="4">
        <f t="shared" ca="1" si="143"/>
        <v>-2.3915550366908622E-3</v>
      </c>
      <c r="AP720" s="4">
        <f t="shared" ca="1" si="144"/>
        <v>-2.1099061792937412E-3</v>
      </c>
    </row>
    <row r="721" spans="20:42" x14ac:dyDescent="0.3">
      <c r="T721">
        <v>715</v>
      </c>
      <c r="U721" s="4">
        <v>9.0703960978683607E-3</v>
      </c>
      <c r="V721" s="4"/>
      <c r="W721">
        <v>716</v>
      </c>
      <c r="X721">
        <f t="shared" ca="1" si="145"/>
        <v>-0.22884593690303118</v>
      </c>
      <c r="Y721">
        <f t="shared" ca="1" si="145"/>
        <v>0.4815063098214335</v>
      </c>
      <c r="Z721">
        <f t="shared" ca="1" si="145"/>
        <v>-1.9671936322771217</v>
      </c>
      <c r="AB721">
        <v>716</v>
      </c>
      <c r="AC721" s="24">
        <f t="shared" ca="1" si="138"/>
        <v>-0.22884593690303118</v>
      </c>
      <c r="AD721" s="24">
        <f t="shared" ca="1" si="139"/>
        <v>3.812084685475664E-2</v>
      </c>
      <c r="AE721" s="24">
        <f t="shared" ca="1" si="140"/>
        <v>-1.0522532686572685</v>
      </c>
      <c r="AF721" s="24"/>
      <c r="AG721">
        <v>716</v>
      </c>
      <c r="AH721">
        <f t="shared" ca="1" si="146"/>
        <v>308.23989972695449</v>
      </c>
      <c r="AI721">
        <f t="shared" ca="1" si="147"/>
        <v>164.39120478109336</v>
      </c>
      <c r="AJ721">
        <f t="shared" ca="1" si="148"/>
        <v>52.049108572547802</v>
      </c>
      <c r="AL721">
        <v>716</v>
      </c>
      <c r="AM721" s="4">
        <f t="shared" ca="1" si="141"/>
        <v>-3.878305018688688E-3</v>
      </c>
      <c r="AN721" s="4">
        <f t="shared" ca="1" si="142"/>
        <v>7.9879629030976673E-4</v>
      </c>
      <c r="AO721" s="4">
        <f t="shared" ca="1" si="143"/>
        <v>-1.8496892878148485E-2</v>
      </c>
      <c r="AP721" s="4">
        <f t="shared" ca="1" si="144"/>
        <v>-6.3930408529272453E-3</v>
      </c>
    </row>
    <row r="722" spans="20:42" x14ac:dyDescent="0.3">
      <c r="T722">
        <v>716</v>
      </c>
      <c r="U722" s="4">
        <v>9.09828081228874E-3</v>
      </c>
      <c r="V722" s="4"/>
      <c r="W722">
        <v>717</v>
      </c>
      <c r="X722">
        <f t="shared" ca="1" si="145"/>
        <v>1.4657920536089487E-2</v>
      </c>
      <c r="Y722">
        <f t="shared" ca="1" si="145"/>
        <v>-0.12189563340858478</v>
      </c>
      <c r="Z722">
        <f t="shared" ca="1" si="145"/>
        <v>-2.2034931621486002</v>
      </c>
      <c r="AB722">
        <v>717</v>
      </c>
      <c r="AC722" s="24">
        <f t="shared" ca="1" si="138"/>
        <v>1.4657920536089487E-2</v>
      </c>
      <c r="AD722" s="24">
        <f t="shared" ca="1" si="139"/>
        <v>-4.7307833395530061E-2</v>
      </c>
      <c r="AE722" s="24">
        <f t="shared" ca="1" si="140"/>
        <v>-1.1399916158306014</v>
      </c>
      <c r="AF722" s="24"/>
      <c r="AG722">
        <v>717</v>
      </c>
      <c r="AH722">
        <f t="shared" ca="1" si="146"/>
        <v>309.51886714712515</v>
      </c>
      <c r="AI722">
        <f t="shared" ca="1" si="147"/>
        <v>164.09947374182704</v>
      </c>
      <c r="AJ722">
        <f t="shared" ca="1" si="148"/>
        <v>51.968126524922937</v>
      </c>
      <c r="AL722">
        <v>717</v>
      </c>
      <c r="AM722" s="4">
        <f t="shared" ca="1" si="141"/>
        <v>2.5486267159036124E-4</v>
      </c>
      <c r="AN722" s="4">
        <f t="shared" ca="1" si="142"/>
        <v>-9.7723590877918376E-4</v>
      </c>
      <c r="AO722" s="4">
        <f t="shared" ca="1" si="143"/>
        <v>-2.0023991680505615E-2</v>
      </c>
      <c r="AP722" s="4">
        <f t="shared" ca="1" si="144"/>
        <v>-6.3216330661862493E-3</v>
      </c>
    </row>
    <row r="723" spans="20:42" x14ac:dyDescent="0.3">
      <c r="T723">
        <v>717</v>
      </c>
      <c r="U723" s="4">
        <v>9.1671752308153612E-3</v>
      </c>
      <c r="V723" s="4"/>
      <c r="W723">
        <v>718</v>
      </c>
      <c r="X723">
        <f t="shared" ca="1" si="145"/>
        <v>-1.0566260874759001</v>
      </c>
      <c r="Y723">
        <f t="shared" ca="1" si="145"/>
        <v>-0.93999861212754343</v>
      </c>
      <c r="Z723">
        <f t="shared" ca="1" si="145"/>
        <v>0.43790932892561396</v>
      </c>
      <c r="AB723">
        <v>718</v>
      </c>
      <c r="AC723" s="24">
        <f t="shared" ca="1" si="138"/>
        <v>-1.0566260874759001</v>
      </c>
      <c r="AD723" s="24">
        <f t="shared" ca="1" si="139"/>
        <v>-1.3826260890163509</v>
      </c>
      <c r="AE723" s="24">
        <f t="shared" ca="1" si="140"/>
        <v>-0.8996842565041212</v>
      </c>
      <c r="AF723" s="24"/>
      <c r="AG723">
        <v>718</v>
      </c>
      <c r="AH723">
        <f t="shared" ca="1" si="146"/>
        <v>303.9314978040739</v>
      </c>
      <c r="AI723">
        <f t="shared" ca="1" si="147"/>
        <v>159.60619661988909</v>
      </c>
      <c r="AJ723">
        <f t="shared" ca="1" si="148"/>
        <v>52.190229623295245</v>
      </c>
      <c r="AL723">
        <v>718</v>
      </c>
      <c r="AM723" s="4">
        <f t="shared" ca="1" si="141"/>
        <v>-1.7801527255271954E-2</v>
      </c>
      <c r="AN723" s="4">
        <f t="shared" ca="1" si="142"/>
        <v>-2.833190090452764E-2</v>
      </c>
      <c r="AO723" s="4">
        <f t="shared" ca="1" si="143"/>
        <v>-1.5835737796196292E-2</v>
      </c>
      <c r="AP723" s="4">
        <f t="shared" ca="1" si="144"/>
        <v>-2.1423939877251531E-2</v>
      </c>
    </row>
    <row r="724" spans="20:42" x14ac:dyDescent="0.3">
      <c r="T724">
        <v>718</v>
      </c>
      <c r="U724" s="4">
        <v>9.2129049980985943E-3</v>
      </c>
      <c r="V724" s="4"/>
      <c r="W724">
        <v>719</v>
      </c>
      <c r="X724">
        <f t="shared" ca="1" si="145"/>
        <v>0.4485592589798349</v>
      </c>
      <c r="Y724">
        <f t="shared" ca="1" si="145"/>
        <v>0.32546266741782542</v>
      </c>
      <c r="Z724">
        <f t="shared" ca="1" si="145"/>
        <v>0.83560259540298054</v>
      </c>
      <c r="AB724">
        <v>719</v>
      </c>
      <c r="AC724" s="24">
        <f t="shared" ca="1" si="138"/>
        <v>0.4485592589798349</v>
      </c>
      <c r="AD724" s="24">
        <f t="shared" ca="1" si="139"/>
        <v>0.55069421683274222</v>
      </c>
      <c r="AE724" s="24">
        <f t="shared" ca="1" si="140"/>
        <v>0.88005024928146258</v>
      </c>
      <c r="AF724" s="24"/>
      <c r="AG724">
        <v>719</v>
      </c>
      <c r="AH724">
        <f t="shared" ca="1" si="146"/>
        <v>311.8110360409616</v>
      </c>
      <c r="AI724">
        <f t="shared" ca="1" si="147"/>
        <v>166.15251903685217</v>
      </c>
      <c r="AJ724">
        <f t="shared" ca="1" si="148"/>
        <v>53.864960910483738</v>
      </c>
      <c r="AL724">
        <v>719</v>
      </c>
      <c r="AM724" s="4">
        <f t="shared" ca="1" si="141"/>
        <v>7.6623370632391552E-3</v>
      </c>
      <c r="AN724" s="4">
        <f t="shared" ca="1" si="142"/>
        <v>1.15215182838595E-2</v>
      </c>
      <c r="AO724" s="4">
        <f t="shared" ca="1" si="143"/>
        <v>1.57450905224783E-2</v>
      </c>
      <c r="AP724" s="4">
        <f t="shared" ca="1" si="144"/>
        <v>1.1630835589259036E-2</v>
      </c>
    </row>
    <row r="725" spans="20:42" x14ac:dyDescent="0.3">
      <c r="T725">
        <v>719</v>
      </c>
      <c r="U725" s="4">
        <v>9.2795055847848754E-3</v>
      </c>
      <c r="V725" s="4"/>
      <c r="W725">
        <v>720</v>
      </c>
      <c r="X725">
        <f t="shared" ca="1" si="145"/>
        <v>-0.25940545305879303</v>
      </c>
      <c r="Y725">
        <f t="shared" ca="1" si="145"/>
        <v>0.43648173919897881</v>
      </c>
      <c r="Z725">
        <f t="shared" ca="1" si="145"/>
        <v>0.35493694987733276</v>
      </c>
      <c r="AB725">
        <v>720</v>
      </c>
      <c r="AC725" s="24">
        <f t="shared" ca="1" si="138"/>
        <v>-0.25940545305879303</v>
      </c>
      <c r="AD725" s="24">
        <f t="shared" ca="1" si="139"/>
        <v>-1.0656726651271403E-2</v>
      </c>
      <c r="AE725" s="24">
        <f t="shared" ca="1" si="140"/>
        <v>8.8891609890976511E-2</v>
      </c>
      <c r="AF725" s="24"/>
      <c r="AG725">
        <v>720</v>
      </c>
      <c r="AH725">
        <f t="shared" ca="1" si="146"/>
        <v>308.07976415045238</v>
      </c>
      <c r="AI725">
        <f t="shared" ca="1" si="147"/>
        <v>164.22457041693903</v>
      </c>
      <c r="AJ725">
        <f t="shared" ca="1" si="148"/>
        <v>53.113945787304644</v>
      </c>
      <c r="AL725">
        <v>720</v>
      </c>
      <c r="AM725" s="4">
        <f t="shared" ca="1" si="141"/>
        <v>-4.3958062313266266E-3</v>
      </c>
      <c r="AN725" s="4">
        <f t="shared" ca="1" si="142"/>
        <v>-2.1565865749795243E-4</v>
      </c>
      <c r="AO725" s="4">
        <f t="shared" ca="1" si="143"/>
        <v>1.5830098046432095E-3</v>
      </c>
      <c r="AP725" s="4">
        <f t="shared" ca="1" si="144"/>
        <v>-9.3010239100420593E-4</v>
      </c>
    </row>
    <row r="726" spans="20:42" x14ac:dyDescent="0.3">
      <c r="T726">
        <v>720</v>
      </c>
      <c r="U726" s="4">
        <v>9.3495448381923918E-3</v>
      </c>
      <c r="V726" s="4"/>
      <c r="W726">
        <v>721</v>
      </c>
      <c r="X726">
        <f t="shared" ca="1" si="145"/>
        <v>-0.49580871996865966</v>
      </c>
      <c r="Y726">
        <f t="shared" ca="1" si="145"/>
        <v>-1.0113666547932707</v>
      </c>
      <c r="Z726">
        <f t="shared" ca="1" si="145"/>
        <v>0.28801240755546215</v>
      </c>
      <c r="AB726">
        <v>721</v>
      </c>
      <c r="AC726" s="24">
        <f t="shared" ca="1" si="138"/>
        <v>-0.49580871996865966</v>
      </c>
      <c r="AD726" s="24">
        <f t="shared" ca="1" si="139"/>
        <v>-0.92978171091387929</v>
      </c>
      <c r="AE726" s="24">
        <f t="shared" ca="1" si="140"/>
        <v>-0.53770597443252965</v>
      </c>
      <c r="AF726" s="24"/>
      <c r="AG726">
        <v>721</v>
      </c>
      <c r="AH726">
        <f t="shared" ca="1" si="146"/>
        <v>306.84379008775102</v>
      </c>
      <c r="AI726">
        <f t="shared" ca="1" si="147"/>
        <v>161.11603633540676</v>
      </c>
      <c r="AJ726">
        <f t="shared" ca="1" si="148"/>
        <v>52.526579682903545</v>
      </c>
      <c r="AL726">
        <v>721</v>
      </c>
      <c r="AM726" s="4">
        <f t="shared" ca="1" si="141"/>
        <v>-8.390034685792136E-3</v>
      </c>
      <c r="AN726" s="4">
        <f t="shared" ca="1" si="142"/>
        <v>-1.9140133182565133E-2</v>
      </c>
      <c r="AO726" s="4">
        <f t="shared" ca="1" si="143"/>
        <v>-9.4931002825100474E-3</v>
      </c>
      <c r="AP726" s="4">
        <f t="shared" ca="1" si="144"/>
        <v>-1.3020993763516708E-2</v>
      </c>
    </row>
    <row r="727" spans="20:42" x14ac:dyDescent="0.3">
      <c r="T727">
        <v>721</v>
      </c>
      <c r="U727" s="4">
        <v>9.3591937128130638E-3</v>
      </c>
      <c r="V727" s="4"/>
      <c r="W727">
        <v>722</v>
      </c>
      <c r="X727">
        <f t="shared" ca="1" si="145"/>
        <v>0.7825676764887477</v>
      </c>
      <c r="Y727">
        <f t="shared" ca="1" si="145"/>
        <v>-0.74783215409846426</v>
      </c>
      <c r="Z727">
        <f t="shared" ca="1" si="145"/>
        <v>-0.3483370991466726</v>
      </c>
      <c r="AB727">
        <v>722</v>
      </c>
      <c r="AC727" s="24">
        <f t="shared" ca="1" si="138"/>
        <v>0.7825676764887477</v>
      </c>
      <c r="AD727" s="24">
        <f t="shared" ca="1" si="139"/>
        <v>0.3124856360195144</v>
      </c>
      <c r="AE727" s="24">
        <f t="shared" ca="1" si="140"/>
        <v>0.25552974814959373</v>
      </c>
      <c r="AF727" s="24"/>
      <c r="AG727">
        <v>722</v>
      </c>
      <c r="AH727">
        <f t="shared" ca="1" si="146"/>
        <v>313.5870572036921</v>
      </c>
      <c r="AI727">
        <f t="shared" ca="1" si="147"/>
        <v>165.33164728922938</v>
      </c>
      <c r="AJ727">
        <f t="shared" ca="1" si="148"/>
        <v>53.271253271663724</v>
      </c>
      <c r="AL727">
        <v>722</v>
      </c>
      <c r="AM727" s="4">
        <f t="shared" ca="1" si="141"/>
        <v>1.3401805615197881E-2</v>
      </c>
      <c r="AN727" s="4">
        <f t="shared" ca="1" si="142"/>
        <v>6.5241252784151715E-3</v>
      </c>
      <c r="AO727" s="4">
        <f t="shared" ca="1" si="143"/>
        <v>4.5493965287646265E-3</v>
      </c>
      <c r="AP727" s="4">
        <f t="shared" ca="1" si="144"/>
        <v>7.9950107545548217E-3</v>
      </c>
    </row>
    <row r="728" spans="20:42" x14ac:dyDescent="0.3">
      <c r="T728">
        <v>722</v>
      </c>
      <c r="U728" s="4">
        <v>9.3600843845286653E-3</v>
      </c>
      <c r="V728" s="4"/>
      <c r="W728">
        <v>723</v>
      </c>
      <c r="X728">
        <f t="shared" ca="1" si="145"/>
        <v>0.50287117989175567</v>
      </c>
      <c r="Y728">
        <f t="shared" ca="1" si="145"/>
        <v>0.88555169763209041</v>
      </c>
      <c r="Z728">
        <f t="shared" ca="1" si="145"/>
        <v>-2.2497056676111002</v>
      </c>
      <c r="AB728">
        <v>723</v>
      </c>
      <c r="AC728" s="24">
        <f t="shared" ca="1" si="138"/>
        <v>0.50287117989175567</v>
      </c>
      <c r="AD728" s="24">
        <f t="shared" ca="1" si="139"/>
        <v>0.8739332778179314</v>
      </c>
      <c r="AE728" s="24">
        <f t="shared" ca="1" si="140"/>
        <v>-0.4868499789084888</v>
      </c>
      <c r="AF728" s="24"/>
      <c r="AG728">
        <v>723</v>
      </c>
      <c r="AH728">
        <f t="shared" ca="1" si="146"/>
        <v>312.09914219980766</v>
      </c>
      <c r="AI728">
        <f t="shared" ca="1" si="147"/>
        <v>167.27292897167078</v>
      </c>
      <c r="AJ728">
        <f t="shared" ca="1" si="148"/>
        <v>52.574008398505676</v>
      </c>
      <c r="AL728">
        <v>723</v>
      </c>
      <c r="AM728" s="4">
        <f t="shared" ca="1" si="141"/>
        <v>8.5933936705715475E-3</v>
      </c>
      <c r="AN728" s="4">
        <f t="shared" ca="1" si="142"/>
        <v>1.8342472699342638E-2</v>
      </c>
      <c r="AO728" s="4">
        <f t="shared" ca="1" si="143"/>
        <v>-8.5987250855669162E-3</v>
      </c>
      <c r="AP728" s="4">
        <f t="shared" ca="1" si="144"/>
        <v>7.3353896552384463E-3</v>
      </c>
    </row>
    <row r="729" spans="20:42" x14ac:dyDescent="0.3">
      <c r="T729">
        <v>723</v>
      </c>
      <c r="U729" s="4">
        <v>9.4257874059094464E-3</v>
      </c>
      <c r="V729" s="4"/>
      <c r="W729">
        <v>724</v>
      </c>
      <c r="X729">
        <f t="shared" ca="1" si="145"/>
        <v>-0.72152132164166549</v>
      </c>
      <c r="Y729">
        <f t="shared" ca="1" si="145"/>
        <v>0.66926533821933454</v>
      </c>
      <c r="Z729">
        <f t="shared" ca="1" si="145"/>
        <v>-0.5448726953905646</v>
      </c>
      <c r="AB729">
        <v>724</v>
      </c>
      <c r="AC729" s="24">
        <f t="shared" ca="1" si="138"/>
        <v>-0.72152132164166549</v>
      </c>
      <c r="AD729" s="24">
        <f t="shared" ca="1" si="139"/>
        <v>-0.29807750389556253</v>
      </c>
      <c r="AE729" s="24">
        <f t="shared" ca="1" si="140"/>
        <v>-0.68070798991229187</v>
      </c>
      <c r="AF729" s="24"/>
      <c r="AG729">
        <v>724</v>
      </c>
      <c r="AH729">
        <f t="shared" ca="1" si="146"/>
        <v>305.66833699086322</v>
      </c>
      <c r="AI729">
        <f t="shared" ca="1" si="147"/>
        <v>163.24610543128406</v>
      </c>
      <c r="AJ729">
        <f t="shared" ca="1" si="148"/>
        <v>52.393444023851281</v>
      </c>
      <c r="AL729">
        <v>724</v>
      </c>
      <c r="AM729" s="4">
        <f t="shared" ca="1" si="141"/>
        <v>-1.2188680909983485E-2</v>
      </c>
      <c r="AN729" s="4">
        <f t="shared" ca="1" si="142"/>
        <v>-6.1724650520961211E-3</v>
      </c>
      <c r="AO729" s="4">
        <f t="shared" ca="1" si="143"/>
        <v>-1.2003672828558187E-2</v>
      </c>
      <c r="AP729" s="4">
        <f t="shared" ca="1" si="144"/>
        <v>-9.7266921424009507E-3</v>
      </c>
    </row>
    <row r="730" spans="20:42" x14ac:dyDescent="0.3">
      <c r="T730">
        <v>724</v>
      </c>
      <c r="U730" s="4">
        <v>9.4858484811645612E-3</v>
      </c>
      <c r="V730" s="4"/>
      <c r="W730">
        <v>725</v>
      </c>
      <c r="X730">
        <f t="shared" ca="1" si="145"/>
        <v>0.13619983230355115</v>
      </c>
      <c r="Y730">
        <f t="shared" ca="1" si="145"/>
        <v>9.0154882265411476E-2</v>
      </c>
      <c r="Z730">
        <f t="shared" ca="1" si="145"/>
        <v>-2.3362002870173093</v>
      </c>
      <c r="AB730">
        <v>725</v>
      </c>
      <c r="AC730" s="24">
        <f t="shared" ca="1" si="138"/>
        <v>0.13619983230355115</v>
      </c>
      <c r="AD730" s="24">
        <f t="shared" ca="1" si="139"/>
        <v>0.16294081772010141</v>
      </c>
      <c r="AE730" s="24">
        <f t="shared" ca="1" si="140"/>
        <v>-1.0496009385479572</v>
      </c>
      <c r="AF730" s="24"/>
      <c r="AG730">
        <v>725</v>
      </c>
      <c r="AH730">
        <f t="shared" ca="1" si="146"/>
        <v>310.1592318644926</v>
      </c>
      <c r="AI730">
        <f t="shared" ca="1" si="147"/>
        <v>164.81838616480763</v>
      </c>
      <c r="AJ730">
        <f t="shared" ca="1" si="148"/>
        <v>52.051558623833799</v>
      </c>
      <c r="AL730">
        <v>725</v>
      </c>
      <c r="AM730" s="4">
        <f t="shared" ca="1" si="141"/>
        <v>2.3242936188341279E-3</v>
      </c>
      <c r="AN730" s="4">
        <f t="shared" ca="1" si="142"/>
        <v>3.3994379437860545E-3</v>
      </c>
      <c r="AO730" s="4">
        <f t="shared" ca="1" si="143"/>
        <v>-1.8450691645970463E-2</v>
      </c>
      <c r="AP730" s="4">
        <f t="shared" ca="1" si="144"/>
        <v>-3.4781442306264783E-3</v>
      </c>
    </row>
    <row r="731" spans="20:42" x14ac:dyDescent="0.3">
      <c r="T731">
        <v>725</v>
      </c>
      <c r="U731" s="4">
        <v>9.4899312890493141E-3</v>
      </c>
      <c r="V731" s="4"/>
      <c r="W731">
        <v>726</v>
      </c>
      <c r="X731">
        <f t="shared" ca="1" si="145"/>
        <v>0.78902630914217942</v>
      </c>
      <c r="Y731">
        <f t="shared" ca="1" si="145"/>
        <v>-0.32648282586111738</v>
      </c>
      <c r="Z731">
        <f t="shared" ca="1" si="145"/>
        <v>2.3041571292548979</v>
      </c>
      <c r="AB731">
        <v>726</v>
      </c>
      <c r="AC731" s="24">
        <f t="shared" ca="1" si="138"/>
        <v>0.78902630914217942</v>
      </c>
      <c r="AD731" s="24">
        <f t="shared" ca="1" si="139"/>
        <v>0.52572132100155444</v>
      </c>
      <c r="AE731" s="24">
        <f t="shared" ca="1" si="140"/>
        <v>1.7232954395013209</v>
      </c>
      <c r="AF731" s="24"/>
      <c r="AG731">
        <v>726</v>
      </c>
      <c r="AH731">
        <f t="shared" ca="1" si="146"/>
        <v>313.62149916679664</v>
      </c>
      <c r="AI731">
        <f t="shared" ca="1" si="147"/>
        <v>166.06627102475278</v>
      </c>
      <c r="AJ731">
        <f t="shared" ca="1" si="148"/>
        <v>54.677114138233783</v>
      </c>
      <c r="AL731">
        <v>726</v>
      </c>
      <c r="AM731" s="4">
        <f t="shared" ca="1" si="141"/>
        <v>1.3513109786710276E-2</v>
      </c>
      <c r="AN731" s="4">
        <f t="shared" ca="1" si="142"/>
        <v>1.0996448181681995E-2</v>
      </c>
      <c r="AO731" s="4">
        <f t="shared" ca="1" si="143"/>
        <v>3.1060067826741644E-2</v>
      </c>
      <c r="AP731" s="4">
        <f t="shared" ca="1" si="144"/>
        <v>1.7770532556708372E-2</v>
      </c>
    </row>
    <row r="732" spans="20:42" x14ac:dyDescent="0.3">
      <c r="T732">
        <v>726</v>
      </c>
      <c r="U732" s="4">
        <v>9.4902555640814963E-3</v>
      </c>
      <c r="V732" s="4"/>
      <c r="W732">
        <v>727</v>
      </c>
      <c r="X732">
        <f t="shared" ca="1" si="145"/>
        <v>1.6818724507381826</v>
      </c>
      <c r="Y732">
        <f t="shared" ca="1" si="145"/>
        <v>1.1290649220192115</v>
      </c>
      <c r="Z732">
        <f t="shared" ca="1" si="145"/>
        <v>-0.52222155749406951</v>
      </c>
      <c r="AB732">
        <v>727</v>
      </c>
      <c r="AC732" s="24">
        <f t="shared" ca="1" si="138"/>
        <v>1.6818724507381826</v>
      </c>
      <c r="AD732" s="24">
        <f t="shared" ca="1" si="139"/>
        <v>2.01986142181239</v>
      </c>
      <c r="AE732" s="24">
        <f t="shared" ca="1" si="140"/>
        <v>1.419428484457177</v>
      </c>
      <c r="AF732" s="24"/>
      <c r="AG732">
        <v>727</v>
      </c>
      <c r="AH732">
        <f t="shared" ca="1" si="146"/>
        <v>318.41937259435883</v>
      </c>
      <c r="AI732">
        <f t="shared" ca="1" si="147"/>
        <v>171.30615887810166</v>
      </c>
      <c r="AJ732">
        <f t="shared" ca="1" si="148"/>
        <v>54.383049600968683</v>
      </c>
      <c r="AL732">
        <v>727</v>
      </c>
      <c r="AM732" s="4">
        <f t="shared" ca="1" si="141"/>
        <v>2.901812978964502E-2</v>
      </c>
      <c r="AN732" s="4">
        <f t="shared" ca="1" si="142"/>
        <v>4.2896411828221792E-2</v>
      </c>
      <c r="AO732" s="4">
        <f t="shared" ca="1" si="143"/>
        <v>2.5514819023532143E-2</v>
      </c>
      <c r="AP732" s="4">
        <f t="shared" ca="1" si="144"/>
        <v>3.3518449375241864E-2</v>
      </c>
    </row>
    <row r="733" spans="20:42" x14ac:dyDescent="0.3">
      <c r="T733">
        <v>727</v>
      </c>
      <c r="U733" s="4">
        <v>9.7202461258593317E-3</v>
      </c>
      <c r="V733" s="4"/>
      <c r="W733">
        <v>728</v>
      </c>
      <c r="X733">
        <f t="shared" ca="1" si="145"/>
        <v>1.1824304707322684</v>
      </c>
      <c r="Y733">
        <f t="shared" ca="1" si="145"/>
        <v>0.93603275927284535</v>
      </c>
      <c r="Z733">
        <f t="shared" ca="1" si="145"/>
        <v>-0.11685590110718165</v>
      </c>
      <c r="AB733">
        <v>728</v>
      </c>
      <c r="AC733" s="24">
        <f t="shared" ca="1" si="138"/>
        <v>1.1824304707322684</v>
      </c>
      <c r="AD733" s="24">
        <f t="shared" ca="1" si="139"/>
        <v>1.4901440076342662</v>
      </c>
      <c r="AE733" s="24">
        <f t="shared" ca="1" si="140"/>
        <v>1.1642140030283412</v>
      </c>
      <c r="AF733" s="24"/>
      <c r="AG733">
        <v>728</v>
      </c>
      <c r="AH733">
        <f t="shared" ca="1" si="146"/>
        <v>315.72655472731969</v>
      </c>
      <c r="AI733">
        <f t="shared" ca="1" si="147"/>
        <v>169.42980890204748</v>
      </c>
      <c r="AJ733">
        <f t="shared" ca="1" si="148"/>
        <v>54.137290390064976</v>
      </c>
      <c r="AL733">
        <v>728</v>
      </c>
      <c r="AM733" s="4">
        <f t="shared" ca="1" si="141"/>
        <v>2.031590045344589E-2</v>
      </c>
      <c r="AN733" s="4">
        <f t="shared" ca="1" si="142"/>
        <v>3.1473362766960111E-2</v>
      </c>
      <c r="AO733" s="4">
        <f t="shared" ca="1" si="143"/>
        <v>2.0880475886423611E-2</v>
      </c>
      <c r="AP733" s="4">
        <f t="shared" ca="1" si="144"/>
        <v>2.4948258008744895E-2</v>
      </c>
    </row>
    <row r="734" spans="20:42" x14ac:dyDescent="0.3">
      <c r="T734">
        <v>728</v>
      </c>
      <c r="U734" s="4">
        <v>9.74901279780367E-3</v>
      </c>
      <c r="V734" s="4"/>
      <c r="W734">
        <v>729</v>
      </c>
      <c r="X734">
        <f t="shared" ca="1" si="145"/>
        <v>-0.11877895310276458</v>
      </c>
      <c r="Y734">
        <f t="shared" ca="1" si="145"/>
        <v>0.79631370587409711</v>
      </c>
      <c r="Z734">
        <f t="shared" ca="1" si="145"/>
        <v>9.9639275636375976E-3</v>
      </c>
      <c r="AB734">
        <v>729</v>
      </c>
      <c r="AC734" s="24">
        <f t="shared" ca="1" si="138"/>
        <v>-0.11877895310276458</v>
      </c>
      <c r="AD734" s="24">
        <f t="shared" ca="1" si="139"/>
        <v>0.28901667452243401</v>
      </c>
      <c r="AE734" s="24">
        <f t="shared" ca="1" si="140"/>
        <v>0.12792597726241556</v>
      </c>
      <c r="AF734" s="24"/>
      <c r="AG734">
        <v>729</v>
      </c>
      <c r="AH734">
        <f t="shared" ca="1" si="146"/>
        <v>308.81735418716482</v>
      </c>
      <c r="AI734">
        <f t="shared" ca="1" si="147"/>
        <v>165.25099254596472</v>
      </c>
      <c r="AJ734">
        <f t="shared" ca="1" si="148"/>
        <v>53.150752771053916</v>
      </c>
      <c r="AL734">
        <v>729</v>
      </c>
      <c r="AM734" s="4">
        <f t="shared" ca="1" si="141"/>
        <v>-2.0121776413154491E-3</v>
      </c>
      <c r="AN734" s="4">
        <f t="shared" ca="1" si="142"/>
        <v>6.0331064913585752E-3</v>
      </c>
      <c r="AO734" s="4">
        <f t="shared" ca="1" si="143"/>
        <v>2.2770883374838569E-3</v>
      </c>
      <c r="AP734" s="4">
        <f t="shared" ca="1" si="144"/>
        <v>2.4927158053939529E-3</v>
      </c>
    </row>
    <row r="735" spans="20:42" x14ac:dyDescent="0.3">
      <c r="T735">
        <v>729</v>
      </c>
      <c r="U735" s="4">
        <v>9.7574885865652668E-3</v>
      </c>
      <c r="V735" s="4"/>
      <c r="W735">
        <v>730</v>
      </c>
      <c r="X735">
        <f t="shared" ca="1" si="145"/>
        <v>1.6745874315764318</v>
      </c>
      <c r="Y735">
        <f t="shared" ca="1" si="145"/>
        <v>1.3072538885776392</v>
      </c>
      <c r="Z735">
        <f t="shared" ca="1" si="145"/>
        <v>-1.2003345613872096</v>
      </c>
      <c r="AB735">
        <v>730</v>
      </c>
      <c r="AC735" s="24">
        <f t="shared" ca="1" si="138"/>
        <v>1.6745874315764318</v>
      </c>
      <c r="AD735" s="24">
        <f t="shared" ca="1" si="139"/>
        <v>2.1013229416260373</v>
      </c>
      <c r="AE735" s="24">
        <f t="shared" ca="1" si="140"/>
        <v>1.1185178586202906</v>
      </c>
      <c r="AF735" s="24"/>
      <c r="AG735">
        <v>730</v>
      </c>
      <c r="AH735">
        <f t="shared" ca="1" si="146"/>
        <v>318.37992971456009</v>
      </c>
      <c r="AI735">
        <f t="shared" ca="1" si="147"/>
        <v>171.59654731770271</v>
      </c>
      <c r="AJ735">
        <f t="shared" ca="1" si="148"/>
        <v>54.093404585109013</v>
      </c>
      <c r="AL735">
        <v>730</v>
      </c>
      <c r="AM735" s="4">
        <f t="shared" ca="1" si="141"/>
        <v>2.8890664434527702E-2</v>
      </c>
      <c r="AN735" s="4">
        <f t="shared" ca="1" si="142"/>
        <v>4.4664270401898909E-2</v>
      </c>
      <c r="AO735" s="4">
        <f t="shared" ca="1" si="143"/>
        <v>2.0052910244972022E-2</v>
      </c>
      <c r="AP735" s="4">
        <f t="shared" ca="1" si="144"/>
        <v>3.2548780564609484E-2</v>
      </c>
    </row>
    <row r="736" spans="20:42" x14ac:dyDescent="0.3">
      <c r="T736">
        <v>730</v>
      </c>
      <c r="U736" s="4">
        <v>9.7764459877382141E-3</v>
      </c>
      <c r="V736" s="4"/>
      <c r="W736">
        <v>731</v>
      </c>
      <c r="X736">
        <f t="shared" ca="1" si="145"/>
        <v>-1.2543440406027337</v>
      </c>
      <c r="Y736">
        <f t="shared" ca="1" si="145"/>
        <v>1.727322624058875</v>
      </c>
      <c r="Z736">
        <f t="shared" ca="1" si="145"/>
        <v>-0.89202517184790397</v>
      </c>
      <c r="AB736">
        <v>731</v>
      </c>
      <c r="AC736" s="24">
        <f t="shared" ca="1" si="138"/>
        <v>-1.2543440406027337</v>
      </c>
      <c r="AD736" s="24">
        <f t="shared" ca="1" si="139"/>
        <v>-0.24038064788987501</v>
      </c>
      <c r="AE736" s="24">
        <f t="shared" ca="1" si="140"/>
        <v>-0.99972433621932422</v>
      </c>
      <c r="AF736" s="24"/>
      <c r="AG736">
        <v>731</v>
      </c>
      <c r="AH736">
        <f t="shared" ca="1" si="146"/>
        <v>302.91136366049352</v>
      </c>
      <c r="AI736">
        <f t="shared" ca="1" si="147"/>
        <v>163.44205372945359</v>
      </c>
      <c r="AJ736">
        <f t="shared" ca="1" si="148"/>
        <v>52.097652890083218</v>
      </c>
      <c r="AL736">
        <v>731</v>
      </c>
      <c r="AM736" s="4">
        <f t="shared" ca="1" si="141"/>
        <v>-2.1098237879405124E-2</v>
      </c>
      <c r="AN736" s="4">
        <f t="shared" ca="1" si="142"/>
        <v>-4.979549523529192E-3</v>
      </c>
      <c r="AO736" s="4">
        <f t="shared" ca="1" si="143"/>
        <v>-1.7581480495480806E-2</v>
      </c>
      <c r="AP736" s="4">
        <f t="shared" ca="1" si="144"/>
        <v>-1.3595735321877456E-2</v>
      </c>
    </row>
    <row r="737" spans="20:42" x14ac:dyDescent="0.3">
      <c r="T737">
        <v>731</v>
      </c>
      <c r="U737" s="4">
        <v>9.8179561397804035E-3</v>
      </c>
      <c r="V737" s="4"/>
      <c r="W737">
        <v>732</v>
      </c>
      <c r="X737">
        <f t="shared" ca="1" si="145"/>
        <v>-1.6106865764402414</v>
      </c>
      <c r="Y737">
        <f t="shared" ca="1" si="145"/>
        <v>-0.858106534912212</v>
      </c>
      <c r="Z737">
        <f t="shared" ca="1" si="145"/>
        <v>-0.13091451411316898</v>
      </c>
      <c r="AB737">
        <v>732</v>
      </c>
      <c r="AC737" s="24">
        <f t="shared" ca="1" si="138"/>
        <v>-1.6106865764402414</v>
      </c>
      <c r="AD737" s="24">
        <f t="shared" ca="1" si="139"/>
        <v>-1.8244051789739277</v>
      </c>
      <c r="AE737" s="24">
        <f t="shared" ca="1" si="140"/>
        <v>-1.6180041947386901</v>
      </c>
      <c r="AF737" s="24"/>
      <c r="AG737">
        <v>732</v>
      </c>
      <c r="AH737">
        <f t="shared" ca="1" si="146"/>
        <v>301.08143803230473</v>
      </c>
      <c r="AI737">
        <f t="shared" ca="1" si="147"/>
        <v>158.14688553766035</v>
      </c>
      <c r="AJ737">
        <f t="shared" ca="1" si="148"/>
        <v>51.529131446272984</v>
      </c>
      <c r="AL737">
        <v>732</v>
      </c>
      <c r="AM737" s="4">
        <f t="shared" ca="1" si="141"/>
        <v>-2.7011906486408499E-2</v>
      </c>
      <c r="AN737" s="4">
        <f t="shared" ca="1" si="142"/>
        <v>-3.7216054874032456E-2</v>
      </c>
      <c r="AO737" s="4">
        <f t="shared" ca="1" si="143"/>
        <v>-2.8302232086977908E-2</v>
      </c>
      <c r="AP737" s="4">
        <f t="shared" ca="1" si="144"/>
        <v>-3.1480663521628906E-2</v>
      </c>
    </row>
    <row r="738" spans="20:42" x14ac:dyDescent="0.3">
      <c r="T738">
        <v>732</v>
      </c>
      <c r="U738" s="4">
        <v>9.8939582417737482E-3</v>
      </c>
      <c r="V738" s="4"/>
      <c r="W738">
        <v>733</v>
      </c>
      <c r="X738">
        <f t="shared" ca="1" si="145"/>
        <v>0.30151238306301398</v>
      </c>
      <c r="Y738">
        <f t="shared" ca="1" si="145"/>
        <v>0.43182012137669851</v>
      </c>
      <c r="Z738">
        <f t="shared" ca="1" si="145"/>
        <v>-1.378678354654973</v>
      </c>
      <c r="AB738">
        <v>733</v>
      </c>
      <c r="AC738" s="24">
        <f t="shared" ca="1" si="138"/>
        <v>0.30151238306301398</v>
      </c>
      <c r="AD738" s="24">
        <f t="shared" ca="1" si="139"/>
        <v>0.47514397929364538</v>
      </c>
      <c r="AE738" s="24">
        <f t="shared" ca="1" si="140"/>
        <v>-0.33439564267515709</v>
      </c>
      <c r="AF738" s="24"/>
      <c r="AG738">
        <v>733</v>
      </c>
      <c r="AH738">
        <f t="shared" ca="1" si="146"/>
        <v>311.03233677916097</v>
      </c>
      <c r="AI738">
        <f t="shared" ca="1" si="147"/>
        <v>165.8917309701892</v>
      </c>
      <c r="AJ738">
        <f t="shared" ca="1" si="148"/>
        <v>52.716445327247726</v>
      </c>
      <c r="AL738">
        <v>733</v>
      </c>
      <c r="AM738" s="4">
        <f t="shared" ca="1" si="141"/>
        <v>5.1458580829621958E-3</v>
      </c>
      <c r="AN738" s="4">
        <f t="shared" ca="1" si="142"/>
        <v>9.9338641052146848E-3</v>
      </c>
      <c r="AO738" s="4">
        <f t="shared" ca="1" si="143"/>
        <v>-5.9127561619233271E-3</v>
      </c>
      <c r="AP738" s="4">
        <f t="shared" ca="1" si="144"/>
        <v>3.7434762183975352E-3</v>
      </c>
    </row>
    <row r="739" spans="20:42" x14ac:dyDescent="0.3">
      <c r="T739">
        <v>733</v>
      </c>
      <c r="U739" s="4">
        <v>9.9838538223605104E-3</v>
      </c>
      <c r="V739" s="4"/>
      <c r="W739">
        <v>734</v>
      </c>
      <c r="X739">
        <f t="shared" ca="1" si="145"/>
        <v>2.6085853643254091</v>
      </c>
      <c r="Y739">
        <f t="shared" ca="1" si="145"/>
        <v>-0.81577319376504587</v>
      </c>
      <c r="Z739">
        <f t="shared" ca="1" si="145"/>
        <v>-0.89531402893537548</v>
      </c>
      <c r="AB739">
        <v>734</v>
      </c>
      <c r="AC739" s="24">
        <f t="shared" ca="1" si="138"/>
        <v>2.6085853643254091</v>
      </c>
      <c r="AD739" s="24">
        <f t="shared" ca="1" si="139"/>
        <v>1.8679665606975095</v>
      </c>
      <c r="AE739" s="24">
        <f t="shared" ca="1" si="140"/>
        <v>1.4496202700979177</v>
      </c>
      <c r="AF739" s="24"/>
      <c r="AG739">
        <v>734</v>
      </c>
      <c r="AH739">
        <f t="shared" ca="1" si="146"/>
        <v>323.47687859161937</v>
      </c>
      <c r="AI739">
        <f t="shared" ca="1" si="147"/>
        <v>170.76600628839913</v>
      </c>
      <c r="AJ739">
        <f t="shared" ca="1" si="148"/>
        <v>54.412196529432649</v>
      </c>
      <c r="AL739">
        <v>734</v>
      </c>
      <c r="AM739" s="4">
        <f t="shared" ca="1" si="141"/>
        <v>4.5362189889690541E-2</v>
      </c>
      <c r="AN739" s="4">
        <f t="shared" ca="1" si="142"/>
        <v>3.9608011683535116E-2</v>
      </c>
      <c r="AO739" s="4">
        <f t="shared" ca="1" si="143"/>
        <v>2.6064449970824244E-2</v>
      </c>
      <c r="AP739" s="4">
        <f t="shared" ca="1" si="144"/>
        <v>3.7271196631568485E-2</v>
      </c>
    </row>
    <row r="740" spans="20:42" x14ac:dyDescent="0.3">
      <c r="T740">
        <v>734</v>
      </c>
      <c r="U740" s="4">
        <v>1.0108037577122819E-2</v>
      </c>
      <c r="V740" s="4"/>
      <c r="W740">
        <v>735</v>
      </c>
      <c r="X740">
        <f t="shared" ca="1" si="145"/>
        <v>0.95709328118941384</v>
      </c>
      <c r="Y740">
        <f t="shared" ca="1" si="145"/>
        <v>-1.324488377789335</v>
      </c>
      <c r="Z740">
        <f t="shared" ca="1" si="145"/>
        <v>0.24750554963939544</v>
      </c>
      <c r="AB740">
        <v>735</v>
      </c>
      <c r="AC740" s="24">
        <f t="shared" ca="1" si="138"/>
        <v>0.95709328118941384</v>
      </c>
      <c r="AD740" s="24">
        <f t="shared" ca="1" si="139"/>
        <v>0.18021235997605545</v>
      </c>
      <c r="AE740" s="24">
        <f t="shared" ca="1" si="140"/>
        <v>0.54119761505871966</v>
      </c>
      <c r="AF740" s="24"/>
      <c r="AG740">
        <v>735</v>
      </c>
      <c r="AH740">
        <f t="shared" ca="1" si="146"/>
        <v>314.51908144861881</v>
      </c>
      <c r="AI740">
        <f t="shared" ca="1" si="147"/>
        <v>164.87758330937891</v>
      </c>
      <c r="AJ740">
        <f t="shared" ca="1" si="148"/>
        <v>53.542010296600338</v>
      </c>
      <c r="AL740">
        <v>735</v>
      </c>
      <c r="AM740" s="4">
        <f t="shared" ca="1" si="141"/>
        <v>1.6413776393291446E-2</v>
      </c>
      <c r="AN740" s="4">
        <f t="shared" ca="1" si="142"/>
        <v>3.759824809431711E-3</v>
      </c>
      <c r="AO740" s="4">
        <f t="shared" ca="1" si="143"/>
        <v>9.65512972071636E-3</v>
      </c>
      <c r="AP740" s="4">
        <f t="shared" ca="1" si="144"/>
        <v>9.3246017579750266E-3</v>
      </c>
    </row>
    <row r="741" spans="20:42" x14ac:dyDescent="0.3">
      <c r="T741">
        <v>735</v>
      </c>
      <c r="U741" s="4">
        <v>1.011564365908595E-2</v>
      </c>
      <c r="V741" s="4"/>
      <c r="W741">
        <v>736</v>
      </c>
      <c r="X741">
        <f t="shared" ca="1" si="145"/>
        <v>-0.54910502791390048</v>
      </c>
      <c r="Y741">
        <f t="shared" ca="1" si="145"/>
        <v>1.5704031458851935</v>
      </c>
      <c r="Z741">
        <f t="shared" ca="1" si="145"/>
        <v>0.50727685265303124</v>
      </c>
      <c r="AB741">
        <v>736</v>
      </c>
      <c r="AC741" s="24">
        <f t="shared" ca="1" si="138"/>
        <v>-0.54910502791390048</v>
      </c>
      <c r="AD741" s="24">
        <f t="shared" ca="1" si="139"/>
        <v>0.29598150381411475</v>
      </c>
      <c r="AE741" s="24">
        <f t="shared" ca="1" si="140"/>
        <v>0.24276106093704702</v>
      </c>
      <c r="AF741" s="24"/>
      <c r="AG741">
        <v>736</v>
      </c>
      <c r="AH741">
        <f t="shared" ca="1" si="146"/>
        <v>306.56582963094047</v>
      </c>
      <c r="AI741">
        <f t="shared" ca="1" si="147"/>
        <v>165.27492416054332</v>
      </c>
      <c r="AJ741">
        <f t="shared" ca="1" si="148"/>
        <v>53.259183083524661</v>
      </c>
      <c r="AL741">
        <v>736</v>
      </c>
      <c r="AM741" s="4">
        <f t="shared" ca="1" si="141"/>
        <v>-9.2883039936305645E-3</v>
      </c>
      <c r="AN741" s="4">
        <f t="shared" ca="1" si="142"/>
        <v>6.1787999978661912E-3</v>
      </c>
      <c r="AO741" s="4">
        <f t="shared" ca="1" si="143"/>
        <v>4.3217859608426501E-3</v>
      </c>
      <c r="AP741" s="4">
        <f t="shared" ca="1" si="144"/>
        <v>9.8156458931010254E-4</v>
      </c>
    </row>
    <row r="742" spans="20:42" x14ac:dyDescent="0.3">
      <c r="T742">
        <v>736</v>
      </c>
      <c r="U742" s="4">
        <v>1.013511338275952E-2</v>
      </c>
      <c r="V742" s="4"/>
      <c r="W742">
        <v>737</v>
      </c>
      <c r="X742">
        <f t="shared" ca="1" si="145"/>
        <v>-1.6079671832118023</v>
      </c>
      <c r="Y742">
        <f t="shared" ca="1" si="145"/>
        <v>1.1063164668963485</v>
      </c>
      <c r="Z742">
        <f t="shared" ca="1" si="145"/>
        <v>0.48453920591141558</v>
      </c>
      <c r="AB742">
        <v>737</v>
      </c>
      <c r="AC742" s="24">
        <f t="shared" ca="1" si="138"/>
        <v>-1.6079671832118023</v>
      </c>
      <c r="AD742" s="24">
        <f t="shared" ca="1" si="139"/>
        <v>-0.85408966613904835</v>
      </c>
      <c r="AE742" s="24">
        <f t="shared" ca="1" si="140"/>
        <v>-0.76115993568293094</v>
      </c>
      <c r="AF742" s="24"/>
      <c r="AG742">
        <v>737</v>
      </c>
      <c r="AH742">
        <f t="shared" ca="1" si="146"/>
        <v>301.09536098571158</v>
      </c>
      <c r="AI742">
        <f t="shared" ca="1" si="147"/>
        <v>161.36979260952381</v>
      </c>
      <c r="AJ742">
        <f t="shared" ca="1" si="148"/>
        <v>52.31869120380933</v>
      </c>
      <c r="AL742">
        <v>737</v>
      </c>
      <c r="AM742" s="4">
        <f t="shared" ca="1" si="141"/>
        <v>-2.6966912454295722E-2</v>
      </c>
      <c r="AN742" s="4">
        <f t="shared" ca="1" si="142"/>
        <v>-1.7595287921374658E-2</v>
      </c>
      <c r="AO742" s="4">
        <f t="shared" ca="1" si="143"/>
        <v>-1.3413305522555818E-2</v>
      </c>
      <c r="AP742" s="4">
        <f t="shared" ca="1" si="144"/>
        <v>-1.9152180561605326E-2</v>
      </c>
    </row>
    <row r="743" spans="20:42" x14ac:dyDescent="0.3">
      <c r="T743">
        <v>737</v>
      </c>
      <c r="U743" s="4">
        <v>1.0155836876873003E-2</v>
      </c>
      <c r="V743" s="4"/>
      <c r="W743">
        <v>738</v>
      </c>
      <c r="X743">
        <f t="shared" ca="1" si="145"/>
        <v>-0.27022625110078602</v>
      </c>
      <c r="Y743">
        <f t="shared" ca="1" si="145"/>
        <v>0.37751729829166769</v>
      </c>
      <c r="Z743">
        <f t="shared" ca="1" si="145"/>
        <v>-0.39097910774568018</v>
      </c>
      <c r="AB743">
        <v>738</v>
      </c>
      <c r="AC743" s="24">
        <f t="shared" ca="1" si="138"/>
        <v>-0.27022625110078602</v>
      </c>
      <c r="AD743" s="24">
        <f t="shared" ca="1" si="139"/>
        <v>-4.9126853429610678E-2</v>
      </c>
      <c r="AE743" s="24">
        <f t="shared" ca="1" si="140"/>
        <v>-0.31478150910552538</v>
      </c>
      <c r="AF743" s="24"/>
      <c r="AG743">
        <v>738</v>
      </c>
      <c r="AH743">
        <f t="shared" ca="1" si="146"/>
        <v>308.02308180083304</v>
      </c>
      <c r="AI743">
        <f t="shared" ca="1" si="147"/>
        <v>164.09326758909017</v>
      </c>
      <c r="AJ743">
        <f t="shared" ca="1" si="148"/>
        <v>52.734798659151501</v>
      </c>
      <c r="AL743">
        <v>738</v>
      </c>
      <c r="AM743" s="4">
        <f t="shared" ca="1" si="141"/>
        <v>-4.5789834197059731E-3</v>
      </c>
      <c r="AN743" s="4">
        <f t="shared" ca="1" si="142"/>
        <v>-1.0150184057012845E-3</v>
      </c>
      <c r="AO743" s="4">
        <f t="shared" ca="1" si="143"/>
        <v>-5.566662774665998E-3</v>
      </c>
      <c r="AP743" s="4">
        <f t="shared" ca="1" si="144"/>
        <v>-3.4497012205921048E-3</v>
      </c>
    </row>
    <row r="744" spans="20:42" x14ac:dyDescent="0.3">
      <c r="T744">
        <v>738</v>
      </c>
      <c r="U744" s="4">
        <v>1.0180646769507674E-2</v>
      </c>
      <c r="V744" s="4"/>
      <c r="W744">
        <v>739</v>
      </c>
      <c r="X744">
        <f t="shared" ca="1" si="145"/>
        <v>-2.6371907823428118</v>
      </c>
      <c r="Y744">
        <f t="shared" ca="1" si="145"/>
        <v>-1.1484344534279882</v>
      </c>
      <c r="Z744">
        <f t="shared" ca="1" si="145"/>
        <v>-0.7123009396205795</v>
      </c>
      <c r="AB744">
        <v>739</v>
      </c>
      <c r="AC744" s="24">
        <f t="shared" ca="1" si="138"/>
        <v>-2.6371907823428118</v>
      </c>
      <c r="AD744" s="24">
        <f t="shared" ca="1" si="139"/>
        <v>-2.860701377167687</v>
      </c>
      <c r="AE744" s="24">
        <f t="shared" ca="1" si="140"/>
        <v>-2.831071159221723</v>
      </c>
      <c r="AF744" s="24"/>
      <c r="AG744">
        <v>739</v>
      </c>
      <c r="AH744">
        <f t="shared" ca="1" si="146"/>
        <v>295.87158821880655</v>
      </c>
      <c r="AI744">
        <f t="shared" ca="1" si="147"/>
        <v>154.77587382757699</v>
      </c>
      <c r="AJ744">
        <f t="shared" ca="1" si="148"/>
        <v>50.431654854624263</v>
      </c>
      <c r="AL744">
        <v>739</v>
      </c>
      <c r="AM744" s="4">
        <f t="shared" ca="1" si="141"/>
        <v>-4.3848287601951919E-2</v>
      </c>
      <c r="AN744" s="4">
        <f t="shared" ca="1" si="142"/>
        <v>-5.7738469477809251E-2</v>
      </c>
      <c r="AO744" s="4">
        <f t="shared" ca="1" si="143"/>
        <v>-4.8997623693835424E-2</v>
      </c>
      <c r="AP744" s="4">
        <f t="shared" ca="1" si="144"/>
        <v>-5.0949161179859905E-2</v>
      </c>
    </row>
    <row r="745" spans="20:42" x14ac:dyDescent="0.3">
      <c r="T745">
        <v>739</v>
      </c>
      <c r="U745" s="4">
        <v>1.0227272528032261E-2</v>
      </c>
      <c r="V745" s="4"/>
      <c r="W745">
        <v>740</v>
      </c>
      <c r="X745">
        <f t="shared" ca="1" si="145"/>
        <v>-1.7991196081645806</v>
      </c>
      <c r="Y745">
        <f t="shared" ca="1" si="145"/>
        <v>-1.2922744137944677</v>
      </c>
      <c r="Z745">
        <f t="shared" ca="1" si="145"/>
        <v>0.53353859076637078</v>
      </c>
      <c r="AB745">
        <v>740</v>
      </c>
      <c r="AC745" s="24">
        <f t="shared" ca="1" si="138"/>
        <v>-1.7991196081645806</v>
      </c>
      <c r="AD745" s="24">
        <f t="shared" ca="1" si="139"/>
        <v>-2.2023069670190285</v>
      </c>
      <c r="AE745" s="24">
        <f t="shared" ca="1" si="140"/>
        <v>-1.5544386213321708</v>
      </c>
      <c r="AF745" s="24"/>
      <c r="AG745">
        <v>740</v>
      </c>
      <c r="AH745">
        <f t="shared" ca="1" si="146"/>
        <v>300.11825072610145</v>
      </c>
      <c r="AI745">
        <f t="shared" ca="1" si="147"/>
        <v>156.90917083192232</v>
      </c>
      <c r="AJ745">
        <f t="shared" ca="1" si="148"/>
        <v>51.587294052655672</v>
      </c>
      <c r="AL745">
        <v>740</v>
      </c>
      <c r="AM745" s="4">
        <f t="shared" ca="1" si="141"/>
        <v>-3.0124585191824704E-2</v>
      </c>
      <c r="AN745" s="4">
        <f t="shared" ca="1" si="142"/>
        <v>-4.4751150132339768E-2</v>
      </c>
      <c r="AO745" s="4">
        <f t="shared" ca="1" si="143"/>
        <v>-2.720544521687529E-2</v>
      </c>
      <c r="AP745" s="4">
        <f t="shared" ca="1" si="144"/>
        <v>-3.5099469175545905E-2</v>
      </c>
    </row>
    <row r="746" spans="20:42" x14ac:dyDescent="0.3">
      <c r="T746">
        <v>740</v>
      </c>
      <c r="U746" s="4">
        <v>1.0295268604129193E-2</v>
      </c>
      <c r="V746" s="4"/>
      <c r="W746">
        <v>741</v>
      </c>
      <c r="X746">
        <f t="shared" ca="1" si="145"/>
        <v>1.4196145273238656</v>
      </c>
      <c r="Y746">
        <f t="shared" ca="1" si="145"/>
        <v>-1.9310636309784117</v>
      </c>
      <c r="Z746">
        <f t="shared" ca="1" si="145"/>
        <v>-0.81870069094905185</v>
      </c>
      <c r="AB746">
        <v>741</v>
      </c>
      <c r="AC746" s="24">
        <f t="shared" ca="1" si="138"/>
        <v>1.4196145273238656</v>
      </c>
      <c r="AD746" s="24">
        <f t="shared" ca="1" si="139"/>
        <v>0.28380390752858486</v>
      </c>
      <c r="AE746" s="24">
        <f t="shared" ca="1" si="140"/>
        <v>0.21016064512630606</v>
      </c>
      <c r="AF746" s="24"/>
      <c r="AG746">
        <v>741</v>
      </c>
      <c r="AH746">
        <f t="shared" ca="1" si="146"/>
        <v>317.00251758573586</v>
      </c>
      <c r="AI746">
        <f t="shared" ca="1" si="147"/>
        <v>165.23308340080726</v>
      </c>
      <c r="AJ746">
        <f t="shared" ca="1" si="148"/>
        <v>53.228378446446989</v>
      </c>
      <c r="AL746">
        <v>741</v>
      </c>
      <c r="AM746" s="4">
        <f t="shared" ca="1" si="141"/>
        <v>2.4439358469051875E-2</v>
      </c>
      <c r="AN746" s="4">
        <f t="shared" ca="1" si="142"/>
        <v>5.9240772343491788E-3</v>
      </c>
      <c r="AO746" s="4">
        <f t="shared" ca="1" si="143"/>
        <v>3.7408951860591344E-3</v>
      </c>
      <c r="AP746" s="4">
        <f t="shared" ca="1" si="144"/>
        <v>1.0823706990272974E-2</v>
      </c>
    </row>
    <row r="747" spans="20:42" x14ac:dyDescent="0.3">
      <c r="T747">
        <v>741</v>
      </c>
      <c r="U747" s="4">
        <v>1.0347087944734001E-2</v>
      </c>
      <c r="V747" s="4"/>
      <c r="W747">
        <v>742</v>
      </c>
      <c r="X747">
        <f t="shared" ca="1" si="145"/>
        <v>-0.12179348656276837</v>
      </c>
      <c r="Y747">
        <f t="shared" ca="1" si="145"/>
        <v>-1.1108600274893052</v>
      </c>
      <c r="Z747">
        <f t="shared" ca="1" si="145"/>
        <v>-0.21073741672572682</v>
      </c>
      <c r="AB747">
        <v>742</v>
      </c>
      <c r="AC747" s="24">
        <f t="shared" ca="1" si="138"/>
        <v>-0.12179348656276837</v>
      </c>
      <c r="AD747" s="24">
        <f t="shared" ca="1" si="139"/>
        <v>-0.65334667630858256</v>
      </c>
      <c r="AE747" s="24">
        <f t="shared" ca="1" si="140"/>
        <v>-0.5130127683155189</v>
      </c>
      <c r="AF747" s="24"/>
      <c r="AG747">
        <v>742</v>
      </c>
      <c r="AH747">
        <f t="shared" ca="1" si="146"/>
        <v>308.80152436593181</v>
      </c>
      <c r="AI747">
        <f t="shared" ca="1" si="147"/>
        <v>162.04471721916417</v>
      </c>
      <c r="AJ747">
        <f t="shared" ca="1" si="148"/>
        <v>52.54960342173721</v>
      </c>
      <c r="AL747">
        <v>742</v>
      </c>
      <c r="AM747" s="4">
        <f t="shared" ca="1" si="141"/>
        <v>-2.0633339918458837E-3</v>
      </c>
      <c r="AN747" s="4">
        <f t="shared" ca="1" si="142"/>
        <v>-1.3486407900608177E-2</v>
      </c>
      <c r="AO747" s="4">
        <f t="shared" ca="1" si="143"/>
        <v>-9.0589358592845226E-3</v>
      </c>
      <c r="AP747" s="4">
        <f t="shared" ca="1" si="144"/>
        <v>-8.7312441155823935E-3</v>
      </c>
    </row>
    <row r="748" spans="20:42" x14ac:dyDescent="0.3">
      <c r="T748">
        <v>742</v>
      </c>
      <c r="U748" s="4">
        <v>1.037924841661173E-2</v>
      </c>
      <c r="V748" s="4"/>
      <c r="W748">
        <v>743</v>
      </c>
      <c r="X748">
        <f t="shared" ca="1" si="145"/>
        <v>0.18213324242123602</v>
      </c>
      <c r="Y748">
        <f t="shared" ca="1" si="145"/>
        <v>-1.2551877440816051</v>
      </c>
      <c r="Z748">
        <f t="shared" ca="1" si="145"/>
        <v>-0.10611501557629442</v>
      </c>
      <c r="AB748">
        <v>743</v>
      </c>
      <c r="AC748" s="24">
        <f t="shared" ca="1" si="138"/>
        <v>0.18213324242123602</v>
      </c>
      <c r="AD748" s="24">
        <f t="shared" ca="1" si="139"/>
        <v>-0.45999269022371225</v>
      </c>
      <c r="AE748" s="24">
        <f t="shared" ca="1" si="140"/>
        <v>-0.25168329597896838</v>
      </c>
      <c r="AF748" s="24"/>
      <c r="AG748">
        <v>743</v>
      </c>
      <c r="AH748">
        <f t="shared" ca="1" si="146"/>
        <v>310.40158483993525</v>
      </c>
      <c r="AI748">
        <f t="shared" ca="1" si="147"/>
        <v>162.69746778831936</v>
      </c>
      <c r="AJ748">
        <f t="shared" ca="1" si="148"/>
        <v>52.793884255084237</v>
      </c>
      <c r="AL748">
        <v>743</v>
      </c>
      <c r="AM748" s="4">
        <f t="shared" ca="1" si="141"/>
        <v>3.1074922147833473E-3</v>
      </c>
      <c r="AN748" s="4">
        <f t="shared" ca="1" si="142"/>
        <v>-9.5125214341257314E-3</v>
      </c>
      <c r="AO748" s="4">
        <f t="shared" ca="1" si="143"/>
        <v>-4.4524708589045447E-3</v>
      </c>
      <c r="AP748" s="4">
        <f t="shared" ca="1" si="144"/>
        <v>-4.2085021668866514E-3</v>
      </c>
    </row>
    <row r="749" spans="20:42" x14ac:dyDescent="0.3">
      <c r="T749">
        <v>743</v>
      </c>
      <c r="U749" s="4">
        <v>1.0520012635101916E-2</v>
      </c>
      <c r="V749" s="4"/>
      <c r="W749">
        <v>744</v>
      </c>
      <c r="X749">
        <f t="shared" ca="1" si="145"/>
        <v>0.60321840275999483</v>
      </c>
      <c r="Y749">
        <f t="shared" ca="1" si="145"/>
        <v>1.3662225171419748</v>
      </c>
      <c r="Z749">
        <f t="shared" ca="1" si="145"/>
        <v>1.2781925687832956</v>
      </c>
      <c r="AB749">
        <v>744</v>
      </c>
      <c r="AC749" s="24">
        <f t="shared" ca="1" si="138"/>
        <v>0.60321840275999483</v>
      </c>
      <c r="AD749" s="24">
        <f t="shared" ca="1" si="139"/>
        <v>1.1980986854179985</v>
      </c>
      <c r="AE749" s="24">
        <f t="shared" ca="1" si="140"/>
        <v>1.5182066986831591</v>
      </c>
      <c r="AF749" s="24"/>
      <c r="AG749">
        <v>744</v>
      </c>
      <c r="AH749">
        <f t="shared" ca="1" si="146"/>
        <v>312.63215035246299</v>
      </c>
      <c r="AI749">
        <f t="shared" ca="1" si="147"/>
        <v>168.40413758063931</v>
      </c>
      <c r="AJ749">
        <f t="shared" ca="1" si="148"/>
        <v>54.478467429387052</v>
      </c>
      <c r="AL749">
        <v>744</v>
      </c>
      <c r="AM749" s="4">
        <f t="shared" ca="1" si="141"/>
        <v>1.0315886394363094E-2</v>
      </c>
      <c r="AN749" s="4">
        <f t="shared" ca="1" si="142"/>
        <v>2.5229168467017615E-2</v>
      </c>
      <c r="AO749" s="4">
        <f t="shared" ca="1" si="143"/>
        <v>2.7314136968370928E-2</v>
      </c>
      <c r="AP749" s="4">
        <f t="shared" ca="1" si="144"/>
        <v>2.1380674395627255E-2</v>
      </c>
    </row>
    <row r="750" spans="20:42" x14ac:dyDescent="0.3">
      <c r="T750">
        <v>744</v>
      </c>
      <c r="U750" s="4">
        <v>1.0526010239222549E-2</v>
      </c>
      <c r="V750" s="4"/>
      <c r="W750">
        <v>745</v>
      </c>
      <c r="X750">
        <f t="shared" ca="1" si="145"/>
        <v>-0.9606485376269519</v>
      </c>
      <c r="Y750">
        <f t="shared" ca="1" si="145"/>
        <v>1.6289360528857963</v>
      </c>
      <c r="Z750">
        <f t="shared" ca="1" si="145"/>
        <v>0.10385597680251483</v>
      </c>
      <c r="AB750">
        <v>745</v>
      </c>
      <c r="AC750" s="24">
        <f t="shared" ca="1" si="138"/>
        <v>-0.9606485376269519</v>
      </c>
      <c r="AD750" s="24">
        <f t="shared" ca="1" si="139"/>
        <v>-3.32926117274297E-2</v>
      </c>
      <c r="AE750" s="24">
        <f t="shared" ca="1" si="140"/>
        <v>-0.28173634149159132</v>
      </c>
      <c r="AF750" s="24"/>
      <c r="AG750">
        <v>745</v>
      </c>
      <c r="AH750">
        <f t="shared" ca="1" si="146"/>
        <v>304.42793595438576</v>
      </c>
      <c r="AI750">
        <f t="shared" ca="1" si="147"/>
        <v>164.1472989025977</v>
      </c>
      <c r="AJ750">
        <f t="shared" ca="1" si="148"/>
        <v>52.765734126866683</v>
      </c>
      <c r="AL750">
        <v>745</v>
      </c>
      <c r="AM750" s="4">
        <f t="shared" ca="1" si="141"/>
        <v>-1.6197215768731565E-2</v>
      </c>
      <c r="AN750" s="4">
        <f t="shared" ca="1" si="142"/>
        <v>-6.8608065266073659E-4</v>
      </c>
      <c r="AO750" s="4">
        <f t="shared" ca="1" si="143"/>
        <v>-4.9833048937063529E-3</v>
      </c>
      <c r="AP750" s="4">
        <f t="shared" ca="1" si="144"/>
        <v>-6.6285884597956698E-3</v>
      </c>
    </row>
    <row r="751" spans="20:42" x14ac:dyDescent="0.3">
      <c r="T751">
        <v>745</v>
      </c>
      <c r="U751" s="4">
        <v>1.0624051579793313E-2</v>
      </c>
      <c r="V751" s="4"/>
      <c r="W751">
        <v>746</v>
      </c>
      <c r="X751">
        <f t="shared" ca="1" si="145"/>
        <v>0.4639328665126754</v>
      </c>
      <c r="Y751">
        <f t="shared" ca="1" si="145"/>
        <v>0.56829726386396628</v>
      </c>
      <c r="Z751">
        <f t="shared" ca="1" si="145"/>
        <v>1.3006291052869083</v>
      </c>
      <c r="AB751">
        <v>746</v>
      </c>
      <c r="AC751" s="24">
        <f t="shared" ca="1" si="138"/>
        <v>0.4639328665126754</v>
      </c>
      <c r="AD751" s="24">
        <f t="shared" ca="1" si="139"/>
        <v>0.68372621414393886</v>
      </c>
      <c r="AE751" s="24">
        <f t="shared" ca="1" si="140"/>
        <v>1.1956404289377538</v>
      </c>
      <c r="AF751" s="24"/>
      <c r="AG751">
        <v>746</v>
      </c>
      <c r="AH751">
        <f t="shared" ca="1" si="146"/>
        <v>311.89256077212224</v>
      </c>
      <c r="AI751">
        <f t="shared" ca="1" si="147"/>
        <v>166.61272240925246</v>
      </c>
      <c r="AJ751">
        <f t="shared" ca="1" si="148"/>
        <v>54.167492459643888</v>
      </c>
      <c r="AL751">
        <v>746</v>
      </c>
      <c r="AM751" s="4">
        <f t="shared" ca="1" si="141"/>
        <v>7.9257959907126363E-3</v>
      </c>
      <c r="AN751" s="4">
        <f t="shared" ca="1" si="142"/>
        <v>1.4323194819780394E-2</v>
      </c>
      <c r="AO751" s="4">
        <f t="shared" ca="1" si="143"/>
        <v>2.1450003894610159E-2</v>
      </c>
      <c r="AP751" s="4">
        <f t="shared" ca="1" si="144"/>
        <v>1.4542017893508997E-2</v>
      </c>
    </row>
    <row r="752" spans="20:42" x14ac:dyDescent="0.3">
      <c r="T752">
        <v>746</v>
      </c>
      <c r="U752" s="4">
        <v>1.0630272427999233E-2</v>
      </c>
      <c r="V752" s="4"/>
      <c r="W752">
        <v>747</v>
      </c>
      <c r="X752">
        <f t="shared" ca="1" si="145"/>
        <v>0.78384778137065925</v>
      </c>
      <c r="Y752">
        <f t="shared" ca="1" si="145"/>
        <v>-0.34022681094006352</v>
      </c>
      <c r="Z752">
        <f t="shared" ca="1" si="145"/>
        <v>-0.22368916792706769</v>
      </c>
      <c r="AB752">
        <v>747</v>
      </c>
      <c r="AC752" s="24">
        <f t="shared" ca="1" si="138"/>
        <v>0.78384778137065925</v>
      </c>
      <c r="AD752" s="24">
        <f t="shared" ca="1" si="139"/>
        <v>0.51444287963905921</v>
      </c>
      <c r="AE752" s="24">
        <f t="shared" ca="1" si="140"/>
        <v>0.43235343542665539</v>
      </c>
      <c r="AF752" s="24"/>
      <c r="AG752">
        <v>747</v>
      </c>
      <c r="AH752">
        <f t="shared" ca="1" si="146"/>
        <v>313.59388332096466</v>
      </c>
      <c r="AI752">
        <f t="shared" ca="1" si="147"/>
        <v>166.02733374546952</v>
      </c>
      <c r="AJ752">
        <f t="shared" ca="1" si="148"/>
        <v>53.438685494872004</v>
      </c>
      <c r="AL752">
        <v>747</v>
      </c>
      <c r="AM752" s="4">
        <f t="shared" ca="1" si="141"/>
        <v>1.3423865197729867E-2</v>
      </c>
      <c r="AN752" s="4">
        <f t="shared" ca="1" si="142"/>
        <v>1.0759401544732095E-2</v>
      </c>
      <c r="AO752" s="4">
        <f t="shared" ca="1" si="143"/>
        <v>7.7067079951500528E-3</v>
      </c>
      <c r="AP752" s="4">
        <f t="shared" ca="1" si="144"/>
        <v>1.0642932575756813E-2</v>
      </c>
    </row>
    <row r="753" spans="20:42" x14ac:dyDescent="0.3">
      <c r="T753">
        <v>747</v>
      </c>
      <c r="U753" s="4">
        <v>1.0830468856408948E-2</v>
      </c>
      <c r="V753" s="4"/>
      <c r="W753">
        <v>748</v>
      </c>
      <c r="X753">
        <f t="shared" ca="1" si="145"/>
        <v>0.70873360511382388</v>
      </c>
      <c r="Y753">
        <f t="shared" ca="1" si="145"/>
        <v>0.67890830757044318</v>
      </c>
      <c r="Z753">
        <f t="shared" ca="1" si="145"/>
        <v>2.6145850464248312E-2</v>
      </c>
      <c r="AB753">
        <v>748</v>
      </c>
      <c r="AC753" s="24">
        <f t="shared" ca="1" si="138"/>
        <v>0.70873360511382388</v>
      </c>
      <c r="AD753" s="24">
        <f t="shared" ca="1" si="139"/>
        <v>0.95124857998868295</v>
      </c>
      <c r="AE753" s="24">
        <f t="shared" ca="1" si="140"/>
        <v>0.77916716861394508</v>
      </c>
      <c r="AF753" s="24"/>
      <c r="AG753">
        <v>748</v>
      </c>
      <c r="AH753">
        <f t="shared" ca="1" si="146"/>
        <v>313.19359077961616</v>
      </c>
      <c r="AI753">
        <f t="shared" ca="1" si="147"/>
        <v>167.5420367383183</v>
      </c>
      <c r="AJ753">
        <f t="shared" ca="1" si="148"/>
        <v>53.768609061758212</v>
      </c>
      <c r="AL753">
        <v>748</v>
      </c>
      <c r="AM753" s="4">
        <f t="shared" ca="1" si="141"/>
        <v>1.2130262114126378E-2</v>
      </c>
      <c r="AN753" s="4">
        <f t="shared" ca="1" si="142"/>
        <v>1.9980776459521454E-2</v>
      </c>
      <c r="AO753" s="4">
        <f t="shared" ca="1" si="143"/>
        <v>1.3928159522224481E-2</v>
      </c>
      <c r="AP753" s="4">
        <f t="shared" ca="1" si="144"/>
        <v>1.5809837074713839E-2</v>
      </c>
    </row>
    <row r="754" spans="20:42" x14ac:dyDescent="0.3">
      <c r="T754">
        <v>748</v>
      </c>
      <c r="U754" s="4">
        <v>1.0968056346798538E-2</v>
      </c>
      <c r="V754" s="4"/>
      <c r="W754">
        <v>749</v>
      </c>
      <c r="X754">
        <f t="shared" ca="1" si="145"/>
        <v>1.1973543058914882</v>
      </c>
      <c r="Y754">
        <f t="shared" ca="1" si="145"/>
        <v>-0.46589348868659497</v>
      </c>
      <c r="Z754">
        <f t="shared" ca="1" si="145"/>
        <v>-1.2946394147502751</v>
      </c>
      <c r="AB754">
        <v>749</v>
      </c>
      <c r="AC754" s="24">
        <f t="shared" ca="1" si="138"/>
        <v>1.1973543058914882</v>
      </c>
      <c r="AD754" s="24">
        <f t="shared" ca="1" si="139"/>
        <v>0.81234569239145227</v>
      </c>
      <c r="AE754" s="24">
        <f t="shared" ca="1" si="140"/>
        <v>0.19165486000426546</v>
      </c>
      <c r="AF754" s="24"/>
      <c r="AG754">
        <v>749</v>
      </c>
      <c r="AH754">
        <f t="shared" ca="1" si="146"/>
        <v>315.80668783694802</v>
      </c>
      <c r="AI754">
        <f t="shared" ca="1" si="147"/>
        <v>167.05887326344396</v>
      </c>
      <c r="AJ754">
        <f t="shared" ca="1" si="148"/>
        <v>53.210899972161592</v>
      </c>
      <c r="AL754">
        <v>749</v>
      </c>
      <c r="AM754" s="4">
        <f t="shared" ca="1" si="141"/>
        <v>2.0574862155217088E-2</v>
      </c>
      <c r="AN754" s="4">
        <f t="shared" ca="1" si="142"/>
        <v>1.7039320894975951E-2</v>
      </c>
      <c r="AO754" s="4">
        <f t="shared" ca="1" si="143"/>
        <v>3.4112992085419958E-3</v>
      </c>
      <c r="AP754" s="4">
        <f t="shared" ca="1" si="144"/>
        <v>1.4011576767118106E-2</v>
      </c>
    </row>
    <row r="755" spans="20:42" x14ac:dyDescent="0.3">
      <c r="T755">
        <v>749</v>
      </c>
      <c r="U755" s="4">
        <v>1.0994115144445416E-2</v>
      </c>
      <c r="V755" s="4"/>
      <c r="W755">
        <v>750</v>
      </c>
      <c r="X755">
        <f t="shared" ca="1" si="145"/>
        <v>2.179465342832847</v>
      </c>
      <c r="Y755">
        <f t="shared" ca="1" si="145"/>
        <v>4.0004784030467741E-2</v>
      </c>
      <c r="Z755">
        <f t="shared" ca="1" si="145"/>
        <v>-0.92975876892908815</v>
      </c>
      <c r="AB755">
        <v>750</v>
      </c>
      <c r="AC755" s="24">
        <f t="shared" ca="1" si="138"/>
        <v>2.179465342832847</v>
      </c>
      <c r="AD755" s="24">
        <f t="shared" ca="1" si="139"/>
        <v>1.916232053483194</v>
      </c>
      <c r="AE755" s="24">
        <f t="shared" ca="1" si="140"/>
        <v>1.318114355356315</v>
      </c>
      <c r="AF755" s="24"/>
      <c r="AG755">
        <v>750</v>
      </c>
      <c r="AH755">
        <f t="shared" ca="1" si="146"/>
        <v>321.12506011741203</v>
      </c>
      <c r="AI755">
        <f t="shared" ca="1" si="147"/>
        <v>170.9374581070004</v>
      </c>
      <c r="AJ755">
        <f t="shared" ca="1" si="148"/>
        <v>54.285355738670283</v>
      </c>
      <c r="AL755">
        <v>750</v>
      </c>
      <c r="AM755" s="4">
        <f t="shared" ca="1" si="141"/>
        <v>3.776194927550991E-2</v>
      </c>
      <c r="AN755" s="4">
        <f t="shared" ca="1" si="142"/>
        <v>4.0651794858592494E-2</v>
      </c>
      <c r="AO755" s="4">
        <f t="shared" ca="1" si="143"/>
        <v>2.3672581336426246E-2</v>
      </c>
      <c r="AP755" s="4">
        <f t="shared" ca="1" si="144"/>
        <v>3.4691077127017848E-2</v>
      </c>
    </row>
    <row r="756" spans="20:42" x14ac:dyDescent="0.3">
      <c r="T756">
        <v>750</v>
      </c>
      <c r="U756" s="4">
        <v>1.1083938394313986E-2</v>
      </c>
      <c r="V756" s="4"/>
      <c r="W756">
        <v>751</v>
      </c>
      <c r="X756">
        <f t="shared" ca="1" si="145"/>
        <v>-0.19856444639265353</v>
      </c>
      <c r="Y756">
        <f t="shared" ca="1" si="145"/>
        <v>-0.67410194299314286</v>
      </c>
      <c r="Z756">
        <f t="shared" ca="1" si="145"/>
        <v>-1.1323192281097834</v>
      </c>
      <c r="AB756">
        <v>751</v>
      </c>
      <c r="AC756" s="24">
        <f t="shared" ca="1" si="138"/>
        <v>-0.19856444639265353</v>
      </c>
      <c r="AD756" s="24">
        <f t="shared" ca="1" si="139"/>
        <v>-0.50494294353690283</v>
      </c>
      <c r="AE756" s="24">
        <f t="shared" ca="1" si="140"/>
        <v>-0.92282674890758298</v>
      </c>
      <c r="AF756" s="24"/>
      <c r="AG756">
        <v>751</v>
      </c>
      <c r="AH756">
        <f t="shared" ca="1" si="146"/>
        <v>308.39866051896047</v>
      </c>
      <c r="AI756">
        <f t="shared" ca="1" si="147"/>
        <v>162.54548443854947</v>
      </c>
      <c r="AJ756">
        <f t="shared" ca="1" si="148"/>
        <v>52.168799027804624</v>
      </c>
      <c r="AL756">
        <v>751</v>
      </c>
      <c r="AM756" s="4">
        <f t="shared" ca="1" si="141"/>
        <v>-3.3652466204421305E-3</v>
      </c>
      <c r="AN756" s="4">
        <f t="shared" ca="1" si="142"/>
        <v>-1.0437782330585677E-2</v>
      </c>
      <c r="AO756" s="4">
        <f t="shared" ca="1" si="143"/>
        <v>-1.6239859915448296E-2</v>
      </c>
      <c r="AP756" s="4">
        <f t="shared" ca="1" si="144"/>
        <v>-1.0056644893001399E-2</v>
      </c>
    </row>
    <row r="757" spans="20:42" x14ac:dyDescent="0.3">
      <c r="T757">
        <v>751</v>
      </c>
      <c r="U757" s="4">
        <v>1.1115731497040681E-2</v>
      </c>
      <c r="V757" s="4"/>
      <c r="W757">
        <v>752</v>
      </c>
      <c r="X757">
        <f t="shared" ca="1" si="145"/>
        <v>-1.741812834623804</v>
      </c>
      <c r="Y757">
        <f t="shared" ca="1" si="145"/>
        <v>-2.5959312759024851</v>
      </c>
      <c r="Z757">
        <f t="shared" ca="1" si="145"/>
        <v>0.59527179203305747</v>
      </c>
      <c r="AB757">
        <v>752</v>
      </c>
      <c r="AC757" s="24">
        <f t="shared" ca="1" si="138"/>
        <v>-1.741812834623804</v>
      </c>
      <c r="AD757" s="24">
        <f t="shared" ca="1" si="139"/>
        <v>-2.7948034082279816</v>
      </c>
      <c r="AE757" s="24">
        <f t="shared" ca="1" si="140"/>
        <v>-1.836202798763684</v>
      </c>
      <c r="AF757" s="24"/>
      <c r="AG757">
        <v>752</v>
      </c>
      <c r="AH757">
        <f t="shared" ca="1" si="146"/>
        <v>300.41085139940373</v>
      </c>
      <c r="AI757">
        <f t="shared" ca="1" si="147"/>
        <v>154.98808040789453</v>
      </c>
      <c r="AJ757">
        <f t="shared" ca="1" si="148"/>
        <v>51.329977795923995</v>
      </c>
      <c r="AL757">
        <v>752</v>
      </c>
      <c r="AM757" s="4">
        <f t="shared" ca="1" si="141"/>
        <v>-2.9179003912760182E-2</v>
      </c>
      <c r="AN757" s="4">
        <f t="shared" ca="1" si="142"/>
        <v>-5.6446574997021881E-2</v>
      </c>
      <c r="AO757" s="4">
        <f t="shared" ca="1" si="143"/>
        <v>-3.2057722468522898E-2</v>
      </c>
      <c r="AP757" s="4">
        <f t="shared" ca="1" si="144"/>
        <v>-4.0949647913193672E-2</v>
      </c>
    </row>
    <row r="758" spans="20:42" x14ac:dyDescent="0.3">
      <c r="T758">
        <v>752</v>
      </c>
      <c r="U758" s="4">
        <v>1.1176125061852305E-2</v>
      </c>
      <c r="V758" s="4"/>
      <c r="W758">
        <v>753</v>
      </c>
      <c r="X758">
        <f t="shared" ca="1" si="145"/>
        <v>-0.80216882624403807</v>
      </c>
      <c r="Y758">
        <f t="shared" ca="1" si="145"/>
        <v>-1.198773016613206</v>
      </c>
      <c r="Z758">
        <f t="shared" ca="1" si="145"/>
        <v>0.19853080560262631</v>
      </c>
      <c r="AB758">
        <v>753</v>
      </c>
      <c r="AC758" s="24">
        <f t="shared" ca="1" si="138"/>
        <v>-0.80216882624403807</v>
      </c>
      <c r="AD758" s="24">
        <f t="shared" ca="1" si="139"/>
        <v>-1.2887117088136626</v>
      </c>
      <c r="AE758" s="24">
        <f t="shared" ca="1" si="140"/>
        <v>-0.88491151328464468</v>
      </c>
      <c r="AF758" s="24"/>
      <c r="AG758">
        <v>753</v>
      </c>
      <c r="AH758">
        <f t="shared" ca="1" si="146"/>
        <v>305.24943833501698</v>
      </c>
      <c r="AI758">
        <f t="shared" ca="1" si="147"/>
        <v>159.91815159930781</v>
      </c>
      <c r="AJ758">
        <f t="shared" ca="1" si="148"/>
        <v>52.203914200066592</v>
      </c>
      <c r="AL758">
        <v>753</v>
      </c>
      <c r="AM758" s="4">
        <f t="shared" ca="1" si="141"/>
        <v>-1.3542412336241316E-2</v>
      </c>
      <c r="AN758" s="4">
        <f t="shared" ca="1" si="142"/>
        <v>-2.6432747185721639E-2</v>
      </c>
      <c r="AO758" s="4">
        <f t="shared" ca="1" si="143"/>
        <v>-1.5577684296547933E-2</v>
      </c>
      <c r="AP758" s="4">
        <f t="shared" ca="1" si="144"/>
        <v>-1.930912786412543E-2</v>
      </c>
    </row>
    <row r="759" spans="20:42" x14ac:dyDescent="0.3">
      <c r="T759">
        <v>753</v>
      </c>
      <c r="U759" s="4">
        <v>1.1193533704846527E-2</v>
      </c>
      <c r="V759" s="4"/>
      <c r="W759">
        <v>754</v>
      </c>
      <c r="X759">
        <f t="shared" ca="1" si="145"/>
        <v>-0.93761640140369806</v>
      </c>
      <c r="Y759">
        <f t="shared" ca="1" si="145"/>
        <v>0.28995916221326995</v>
      </c>
      <c r="Z759">
        <f t="shared" ca="1" si="145"/>
        <v>-1.841170710772035</v>
      </c>
      <c r="AB759">
        <v>754</v>
      </c>
      <c r="AC759" s="24">
        <f t="shared" ca="1" si="138"/>
        <v>-0.93761640140369806</v>
      </c>
      <c r="AD759" s="24">
        <f t="shared" ca="1" si="139"/>
        <v>-0.67301762562754963</v>
      </c>
      <c r="AE759" s="24">
        <f t="shared" ca="1" si="140"/>
        <v>-1.6196881153167058</v>
      </c>
      <c r="AF759" s="24"/>
      <c r="AG759">
        <v>754</v>
      </c>
      <c r="AH759">
        <f t="shared" ca="1" si="146"/>
        <v>304.54718889786363</v>
      </c>
      <c r="AI759">
        <f t="shared" ca="1" si="147"/>
        <v>161.97845630999757</v>
      </c>
      <c r="AJ759">
        <f t="shared" ca="1" si="148"/>
        <v>51.527591548042921</v>
      </c>
      <c r="AL759">
        <v>754</v>
      </c>
      <c r="AM759" s="4">
        <f t="shared" ca="1" si="141"/>
        <v>-1.5811832681422167E-2</v>
      </c>
      <c r="AN759" s="4">
        <f t="shared" ca="1" si="142"/>
        <v>-1.3889798326655267E-2</v>
      </c>
      <c r="AO759" s="4">
        <f t="shared" ca="1" si="143"/>
        <v>-2.8331270334488901E-2</v>
      </c>
      <c r="AP759" s="4">
        <f t="shared" ca="1" si="144"/>
        <v>-1.8798850235435427E-2</v>
      </c>
    </row>
    <row r="760" spans="20:42" x14ac:dyDescent="0.3">
      <c r="T760">
        <v>754</v>
      </c>
      <c r="U760" s="4">
        <v>1.1207069689926042E-2</v>
      </c>
      <c r="V760" s="4"/>
      <c r="W760">
        <v>755</v>
      </c>
      <c r="X760">
        <f t="shared" ca="1" si="145"/>
        <v>-0.48509022147445141</v>
      </c>
      <c r="Y760">
        <f t="shared" ca="1" si="145"/>
        <v>-1.2373165370282402</v>
      </c>
      <c r="Z760">
        <f t="shared" ca="1" si="145"/>
        <v>-0.40135023874023468</v>
      </c>
      <c r="AB760">
        <v>755</v>
      </c>
      <c r="AC760" s="24">
        <f t="shared" ca="1" si="138"/>
        <v>-0.48509022147445141</v>
      </c>
      <c r="AD760" s="24">
        <f t="shared" ca="1" si="139"/>
        <v>-1.031789195053411</v>
      </c>
      <c r="AE760" s="24">
        <f t="shared" ca="1" si="140"/>
        <v>-0.9411921739192417</v>
      </c>
      <c r="AF760" s="24"/>
      <c r="AG760">
        <v>755</v>
      </c>
      <c r="AH760">
        <f t="shared" ca="1" si="146"/>
        <v>306.89972155383435</v>
      </c>
      <c r="AI760">
        <f t="shared" ca="1" si="147"/>
        <v>160.77468913658586</v>
      </c>
      <c r="AJ760">
        <f t="shared" ca="1" si="148"/>
        <v>52.151798393248114</v>
      </c>
      <c r="AL760">
        <v>755</v>
      </c>
      <c r="AM760" s="4">
        <f t="shared" ca="1" si="141"/>
        <v>-8.2092840858630778E-3</v>
      </c>
      <c r="AN760" s="4">
        <f t="shared" ca="1" si="142"/>
        <v>-2.1218224076490544E-2</v>
      </c>
      <c r="AO760" s="4">
        <f t="shared" ca="1" si="143"/>
        <v>-1.6560445149237601E-2</v>
      </c>
      <c r="AP760" s="4">
        <f t="shared" ca="1" si="144"/>
        <v>-1.591820840112642E-2</v>
      </c>
    </row>
    <row r="761" spans="20:42" x14ac:dyDescent="0.3">
      <c r="T761">
        <v>755</v>
      </c>
      <c r="U761" s="4">
        <v>1.1210791808764164E-2</v>
      </c>
      <c r="V761" s="4"/>
      <c r="W761">
        <v>756</v>
      </c>
      <c r="X761">
        <f t="shared" ca="1" si="145"/>
        <v>-0.79941055321744392</v>
      </c>
      <c r="Y761">
        <f t="shared" ca="1" si="145"/>
        <v>-0.50157743175072977</v>
      </c>
      <c r="Z761">
        <f t="shared" ca="1" si="145"/>
        <v>0.47941896513249677</v>
      </c>
      <c r="AB761">
        <v>756</v>
      </c>
      <c r="AC761" s="24">
        <f t="shared" ca="1" si="138"/>
        <v>-0.79941055321744392</v>
      </c>
      <c r="AD761" s="24">
        <f t="shared" ca="1" si="139"/>
        <v>-0.94277559477393758</v>
      </c>
      <c r="AE761" s="24">
        <f t="shared" ca="1" si="140"/>
        <v>-0.54764656288005797</v>
      </c>
      <c r="AF761" s="24"/>
      <c r="AG761">
        <v>756</v>
      </c>
      <c r="AH761">
        <f t="shared" ca="1" si="146"/>
        <v>305.26375584998635</v>
      </c>
      <c r="AI761">
        <f t="shared" ca="1" si="147"/>
        <v>161.07251471189858</v>
      </c>
      <c r="AJ761">
        <f t="shared" ca="1" si="148"/>
        <v>52.517314009432951</v>
      </c>
      <c r="AL761">
        <v>756</v>
      </c>
      <c r="AM761" s="4">
        <f t="shared" ca="1" si="141"/>
        <v>-1.3496143221529588E-2</v>
      </c>
      <c r="AN761" s="4">
        <f t="shared" ca="1" si="142"/>
        <v>-1.9405088892802791E-2</v>
      </c>
      <c r="AO761" s="4">
        <f t="shared" ca="1" si="143"/>
        <v>-9.6678254132640529E-3</v>
      </c>
      <c r="AP761" s="4">
        <f t="shared" ca="1" si="144"/>
        <v>-1.4711226147559209E-2</v>
      </c>
    </row>
    <row r="762" spans="20:42" x14ac:dyDescent="0.3">
      <c r="T762">
        <v>756</v>
      </c>
      <c r="U762" s="4">
        <v>1.1308208582176649E-2</v>
      </c>
      <c r="V762" s="4"/>
      <c r="W762">
        <v>757</v>
      </c>
      <c r="X762">
        <f t="shared" ca="1" si="145"/>
        <v>1.7913312755644371</v>
      </c>
      <c r="Y762">
        <f t="shared" ca="1" si="145"/>
        <v>-1.0235486939357141</v>
      </c>
      <c r="Z762">
        <f t="shared" ca="1" si="145"/>
        <v>-1.4023710042251654</v>
      </c>
      <c r="AB762">
        <v>757</v>
      </c>
      <c r="AC762" s="24">
        <f t="shared" ca="1" si="138"/>
        <v>1.7913312755644371</v>
      </c>
      <c r="AD762" s="24">
        <f t="shared" ca="1" si="139"/>
        <v>1.0544318053859558</v>
      </c>
      <c r="AE762" s="24">
        <f t="shared" ca="1" si="140"/>
        <v>0.46786053512865666</v>
      </c>
      <c r="AF762" s="24"/>
      <c r="AG762">
        <v>757</v>
      </c>
      <c r="AH762">
        <f t="shared" ca="1" si="146"/>
        <v>319.01259812981897</v>
      </c>
      <c r="AI762">
        <f t="shared" ca="1" si="147"/>
        <v>167.90185634824638</v>
      </c>
      <c r="AJ762">
        <f t="shared" ca="1" si="148"/>
        <v>53.47237013330458</v>
      </c>
      <c r="AL762">
        <v>757</v>
      </c>
      <c r="AM762" s="4">
        <f t="shared" ca="1" si="141"/>
        <v>3.0935223671430645E-2</v>
      </c>
      <c r="AN762" s="4">
        <f t="shared" ca="1" si="142"/>
        <v>2.2171325722647905E-2</v>
      </c>
      <c r="AO762" s="4">
        <f t="shared" ca="1" si="143"/>
        <v>8.3419076784985169E-3</v>
      </c>
      <c r="AP762" s="4">
        <f t="shared" ca="1" si="144"/>
        <v>2.0651669694037911E-2</v>
      </c>
    </row>
    <row r="763" spans="20:42" x14ac:dyDescent="0.3">
      <c r="T763">
        <v>757</v>
      </c>
      <c r="U763" s="4">
        <v>1.1324439620493487E-2</v>
      </c>
      <c r="V763" s="4"/>
      <c r="W763">
        <v>758</v>
      </c>
      <c r="X763">
        <f t="shared" ca="1" si="145"/>
        <v>0.64442770904433666</v>
      </c>
      <c r="Y763">
        <f t="shared" ca="1" si="145"/>
        <v>-0.75093978089858038</v>
      </c>
      <c r="Z763">
        <f t="shared" ca="1" si="145"/>
        <v>-0.22901107674691615</v>
      </c>
      <c r="AB763">
        <v>758</v>
      </c>
      <c r="AC763" s="24">
        <f t="shared" ca="1" si="138"/>
        <v>0.64442770904433666</v>
      </c>
      <c r="AD763" s="24">
        <f t="shared" ca="1" si="139"/>
        <v>0.19074819451859132</v>
      </c>
      <c r="AE763" s="24">
        <f t="shared" ca="1" si="140"/>
        <v>0.2024781519556107</v>
      </c>
      <c r="AF763" s="24"/>
      <c r="AG763">
        <v>758</v>
      </c>
      <c r="AH763">
        <f t="shared" ca="1" si="146"/>
        <v>312.85130286312926</v>
      </c>
      <c r="AI763">
        <f t="shared" ca="1" si="147"/>
        <v>164.91370467197379</v>
      </c>
      <c r="AJ763">
        <f t="shared" ca="1" si="148"/>
        <v>53.221121734305953</v>
      </c>
      <c r="AL763">
        <v>758</v>
      </c>
      <c r="AM763" s="4">
        <f t="shared" ca="1" si="141"/>
        <v>1.1024109342065991E-2</v>
      </c>
      <c r="AN763" s="4">
        <f t="shared" ca="1" si="142"/>
        <v>3.9797284000979705E-3</v>
      </c>
      <c r="AO763" s="4">
        <f t="shared" ca="1" si="143"/>
        <v>3.6040535434402887E-3</v>
      </c>
      <c r="AP763" s="4">
        <f t="shared" ca="1" si="144"/>
        <v>5.9803402256910724E-3</v>
      </c>
    </row>
    <row r="764" spans="20:42" x14ac:dyDescent="0.3">
      <c r="T764">
        <v>758</v>
      </c>
      <c r="U764" s="4">
        <v>1.1362960144383339E-2</v>
      </c>
      <c r="V764" s="4"/>
      <c r="W764">
        <v>759</v>
      </c>
      <c r="X764">
        <f t="shared" ca="1" si="145"/>
        <v>-0.26081580062119114</v>
      </c>
      <c r="Y764">
        <f t="shared" ca="1" si="145"/>
        <v>0.83053777080741176</v>
      </c>
      <c r="Z764">
        <f t="shared" ca="1" si="145"/>
        <v>1.0125876740637481</v>
      </c>
      <c r="AB764">
        <v>759</v>
      </c>
      <c r="AC764" s="24">
        <f t="shared" ca="1" si="138"/>
        <v>-0.26081580062119114</v>
      </c>
      <c r="AD764" s="24">
        <f t="shared" ca="1" si="139"/>
        <v>0.1822830643259773</v>
      </c>
      <c r="AE764" s="24">
        <f t="shared" ca="1" si="140"/>
        <v>0.53028621347353988</v>
      </c>
      <c r="AF764" s="24"/>
      <c r="AG764">
        <v>759</v>
      </c>
      <c r="AH764">
        <f t="shared" ca="1" si="146"/>
        <v>308.07237576656263</v>
      </c>
      <c r="AI764">
        <f t="shared" ca="1" si="147"/>
        <v>164.88468194786665</v>
      </c>
      <c r="AJ764">
        <f t="shared" ca="1" si="148"/>
        <v>53.531643197566609</v>
      </c>
      <c r="AL764">
        <v>759</v>
      </c>
      <c r="AM764" s="4">
        <f t="shared" ca="1" si="141"/>
        <v>-4.4196828595306492E-3</v>
      </c>
      <c r="AN764" s="4">
        <f t="shared" ca="1" si="142"/>
        <v>3.8030406789382187E-3</v>
      </c>
      <c r="AO764" s="4">
        <f t="shared" ca="1" si="143"/>
        <v>9.4596347316089346E-3</v>
      </c>
      <c r="AP764" s="4">
        <f t="shared" ca="1" si="144"/>
        <v>3.0332018331987731E-3</v>
      </c>
    </row>
    <row r="765" spans="20:42" x14ac:dyDescent="0.3">
      <c r="T765">
        <v>759</v>
      </c>
      <c r="U765" s="4">
        <v>1.1401438599974223E-2</v>
      </c>
      <c r="V765" s="4"/>
      <c r="W765">
        <v>760</v>
      </c>
      <c r="X765">
        <f t="shared" ca="1" si="145"/>
        <v>-1.7068026405422718</v>
      </c>
      <c r="Y765">
        <f t="shared" ca="1" si="145"/>
        <v>-0.98939582942264914</v>
      </c>
      <c r="Z765">
        <f t="shared" ca="1" si="145"/>
        <v>2.264316245190058</v>
      </c>
      <c r="AB765">
        <v>760</v>
      </c>
      <c r="AC765" s="24">
        <f t="shared" ca="1" si="138"/>
        <v>-1.7068026405422718</v>
      </c>
      <c r="AD765" s="24">
        <f t="shared" ca="1" si="139"/>
        <v>-1.9727345899121205</v>
      </c>
      <c r="AE765" s="24">
        <f t="shared" ca="1" si="140"/>
        <v>-0.51708194362308491</v>
      </c>
      <c r="AF765" s="24"/>
      <c r="AG765">
        <v>760</v>
      </c>
      <c r="AH765">
        <f t="shared" ca="1" si="146"/>
        <v>300.58974909677909</v>
      </c>
      <c r="AI765">
        <f t="shared" ca="1" si="147"/>
        <v>157.65991306889524</v>
      </c>
      <c r="AJ765">
        <f t="shared" ca="1" si="148"/>
        <v>52.545808662343276</v>
      </c>
      <c r="AL765">
        <v>760</v>
      </c>
      <c r="AM765" s="4">
        <f t="shared" ca="1" si="141"/>
        <v>-2.8600870200363837E-2</v>
      </c>
      <c r="AN765" s="4">
        <f t="shared" ca="1" si="142"/>
        <v>-4.0180699249111052E-2</v>
      </c>
      <c r="AO765" s="4">
        <f t="shared" ca="1" si="143"/>
        <v>-9.1304945898387224E-3</v>
      </c>
      <c r="AP765" s="4">
        <f t="shared" ca="1" si="144"/>
        <v>-2.7391689136705189E-2</v>
      </c>
    </row>
    <row r="766" spans="20:42" x14ac:dyDescent="0.3">
      <c r="T766">
        <v>760</v>
      </c>
      <c r="U766" s="4">
        <v>1.1603025022277747E-2</v>
      </c>
      <c r="V766" s="4"/>
      <c r="W766">
        <v>761</v>
      </c>
      <c r="X766">
        <f t="shared" ca="1" si="145"/>
        <v>-8.6950831254398689E-2</v>
      </c>
      <c r="Y766">
        <f t="shared" ca="1" si="145"/>
        <v>-0.14471561165454125</v>
      </c>
      <c r="Z766">
        <f t="shared" ca="1" si="145"/>
        <v>0.84433440684490113</v>
      </c>
      <c r="AB766">
        <v>761</v>
      </c>
      <c r="AC766" s="24">
        <f t="shared" ca="1" si="138"/>
        <v>-8.6950831254398689E-2</v>
      </c>
      <c r="AD766" s="24">
        <f t="shared" ca="1" si="139"/>
        <v>-0.14696971744099441</v>
      </c>
      <c r="AE766" s="24">
        <f t="shared" ca="1" si="140"/>
        <v>0.31759293772092778</v>
      </c>
      <c r="AF766" s="24"/>
      <c r="AG766">
        <v>761</v>
      </c>
      <c r="AH766">
        <f t="shared" ca="1" si="146"/>
        <v>308.98453851951842</v>
      </c>
      <c r="AI766">
        <f t="shared" ca="1" si="147"/>
        <v>163.75979184248712</v>
      </c>
      <c r="AJ766">
        <f t="shared" ca="1" si="148"/>
        <v>53.32996032510318</v>
      </c>
      <c r="AL766">
        <v>761</v>
      </c>
      <c r="AM766" s="4">
        <f t="shared" ca="1" si="141"/>
        <v>-1.4718973574654459E-3</v>
      </c>
      <c r="AN766" s="4">
        <f t="shared" ca="1" si="142"/>
        <v>-3.0451886099818193E-3</v>
      </c>
      <c r="AO766" s="4">
        <f t="shared" ca="1" si="143"/>
        <v>5.6564501736984241E-3</v>
      </c>
      <c r="AP766" s="4">
        <f t="shared" ca="1" si="144"/>
        <v>3.7290400877165383E-5</v>
      </c>
    </row>
    <row r="767" spans="20:42" x14ac:dyDescent="0.3">
      <c r="T767">
        <v>761</v>
      </c>
      <c r="U767" s="4">
        <v>1.1638415964475722E-2</v>
      </c>
      <c r="V767" s="4"/>
      <c r="W767">
        <v>762</v>
      </c>
      <c r="X767">
        <f t="shared" ca="1" si="145"/>
        <v>0.79300613525925501</v>
      </c>
      <c r="Y767">
        <f t="shared" ca="1" si="145"/>
        <v>1.2164862278825164</v>
      </c>
      <c r="Z767">
        <f t="shared" ca="1" si="145"/>
        <v>-0.49138329776979139</v>
      </c>
      <c r="AB767">
        <v>762</v>
      </c>
      <c r="AC767" s="24">
        <f t="shared" ca="1" si="138"/>
        <v>0.79300613525925501</v>
      </c>
      <c r="AD767" s="24">
        <f t="shared" ca="1" si="139"/>
        <v>1.2894665500231346</v>
      </c>
      <c r="AE767" s="24">
        <f t="shared" ca="1" si="140"/>
        <v>0.73369517263448059</v>
      </c>
      <c r="AF767" s="24"/>
      <c r="AG767">
        <v>762</v>
      </c>
      <c r="AH767">
        <f t="shared" ca="1" si="146"/>
        <v>313.64272427704282</v>
      </c>
      <c r="AI767">
        <f t="shared" ca="1" si="147"/>
        <v>168.72435489352392</v>
      </c>
      <c r="AJ767">
        <f t="shared" ca="1" si="148"/>
        <v>53.725235840410285</v>
      </c>
      <c r="AL767">
        <v>762</v>
      </c>
      <c r="AM767" s="4">
        <f t="shared" ca="1" si="141"/>
        <v>1.3581701791876677E-2</v>
      </c>
      <c r="AN767" s="4">
        <f t="shared" ca="1" si="142"/>
        <v>2.717862252517711E-2</v>
      </c>
      <c r="AO767" s="4">
        <f t="shared" ca="1" si="143"/>
        <v>1.3110259798552182E-2</v>
      </c>
      <c r="AP767" s="4">
        <f t="shared" ca="1" si="144"/>
        <v>1.8879037487199504E-2</v>
      </c>
    </row>
    <row r="768" spans="20:42" x14ac:dyDescent="0.3">
      <c r="T768">
        <v>762</v>
      </c>
      <c r="U768" s="4">
        <v>1.1660307243733436E-2</v>
      </c>
      <c r="V768" s="4"/>
      <c r="W768">
        <v>763</v>
      </c>
      <c r="X768">
        <f t="shared" ca="1" si="145"/>
        <v>0.22380885758727492</v>
      </c>
      <c r="Y768">
        <f t="shared" ca="1" si="145"/>
        <v>-0.69028322395049402</v>
      </c>
      <c r="Z768">
        <f t="shared" ca="1" si="145"/>
        <v>-0.24559346408444738</v>
      </c>
      <c r="AB768">
        <v>763</v>
      </c>
      <c r="AC768" s="24">
        <f t="shared" ca="1" si="138"/>
        <v>0.22380885758727492</v>
      </c>
      <c r="AD768" s="24">
        <f t="shared" ca="1" si="139"/>
        <v>-0.14537666598037435</v>
      </c>
      <c r="AE768" s="24">
        <f t="shared" ca="1" si="140"/>
        <v>-0.13251403400498213</v>
      </c>
      <c r="AF768" s="24"/>
      <c r="AG768">
        <v>763</v>
      </c>
      <c r="AH768">
        <f t="shared" ca="1" si="146"/>
        <v>310.62163676896409</v>
      </c>
      <c r="AI768">
        <f t="shared" ca="1" si="147"/>
        <v>163.76521597482201</v>
      </c>
      <c r="AJ768">
        <f t="shared" ca="1" si="148"/>
        <v>52.90565580478642</v>
      </c>
      <c r="AL768">
        <v>763</v>
      </c>
      <c r="AM768" s="4">
        <f t="shared" ca="1" si="141"/>
        <v>3.8186217626527963E-3</v>
      </c>
      <c r="AN768" s="4">
        <f t="shared" ca="1" si="142"/>
        <v>-3.012166982584441E-3</v>
      </c>
      <c r="AO768" s="4">
        <f t="shared" ca="1" si="143"/>
        <v>-2.3447666862651539E-3</v>
      </c>
      <c r="AP768" s="4">
        <f t="shared" ca="1" si="144"/>
        <v>-7.6271027011748382E-4</v>
      </c>
    </row>
    <row r="769" spans="20:42" x14ac:dyDescent="0.3">
      <c r="T769">
        <v>763</v>
      </c>
      <c r="U769" s="4">
        <v>1.168728497689191E-2</v>
      </c>
      <c r="V769" s="4"/>
      <c r="W769">
        <v>764</v>
      </c>
      <c r="X769">
        <f t="shared" ca="1" si="145"/>
        <v>-0.87480003024672026</v>
      </c>
      <c r="Y769">
        <f t="shared" ca="1" si="145"/>
        <v>-0.13532064189339815</v>
      </c>
      <c r="Z769">
        <f t="shared" ca="1" si="145"/>
        <v>-0.7972977624136055</v>
      </c>
      <c r="AB769">
        <v>764</v>
      </c>
      <c r="AC769" s="24">
        <f t="shared" ca="1" si="138"/>
        <v>-0.87480003024672026</v>
      </c>
      <c r="AD769" s="24">
        <f t="shared" ca="1" si="139"/>
        <v>-0.8279085130773709</v>
      </c>
      <c r="AE769" s="24">
        <f t="shared" ca="1" si="140"/>
        <v>-1.1560310572261425</v>
      </c>
      <c r="AF769" s="24"/>
      <c r="AG769">
        <v>764</v>
      </c>
      <c r="AH769">
        <f t="shared" ca="1" si="146"/>
        <v>304.87266922493143</v>
      </c>
      <c r="AI769">
        <f t="shared" ca="1" si="147"/>
        <v>161.45765746937138</v>
      </c>
      <c r="AJ769">
        <f t="shared" ca="1" si="148"/>
        <v>51.953335830228539</v>
      </c>
      <c r="AL769">
        <v>764</v>
      </c>
      <c r="AM769" s="4">
        <f t="shared" ca="1" si="141"/>
        <v>-1.4759996058814173E-2</v>
      </c>
      <c r="AN769" s="4">
        <f t="shared" ca="1" si="142"/>
        <v>-1.706037459624421E-2</v>
      </c>
      <c r="AO769" s="4">
        <f t="shared" ca="1" si="143"/>
        <v>-2.0302903523516491E-2</v>
      </c>
      <c r="AP769" s="4">
        <f t="shared" ca="1" si="144"/>
        <v>-1.7343019713196885E-2</v>
      </c>
    </row>
    <row r="770" spans="20:42" x14ac:dyDescent="0.3">
      <c r="T770">
        <v>764</v>
      </c>
      <c r="U770" s="4">
        <v>1.1701927795145096E-2</v>
      </c>
      <c r="V770" s="4"/>
      <c r="W770">
        <v>765</v>
      </c>
      <c r="X770">
        <f t="shared" ca="1" si="145"/>
        <v>-0.53885562355530892</v>
      </c>
      <c r="Y770">
        <f t="shared" ca="1" si="145"/>
        <v>0.58246536872554278</v>
      </c>
      <c r="Z770">
        <f t="shared" ca="1" si="145"/>
        <v>0.55639272747743151</v>
      </c>
      <c r="AB770">
        <v>765</v>
      </c>
      <c r="AC770" s="24">
        <f t="shared" ca="1" si="138"/>
        <v>-0.53885562355530892</v>
      </c>
      <c r="AD770" s="24">
        <f t="shared" ca="1" si="139"/>
        <v>-0.18189584615986842</v>
      </c>
      <c r="AE770" s="24">
        <f t="shared" ca="1" si="140"/>
        <v>3.3370902338269448E-3</v>
      </c>
      <c r="AF770" s="24"/>
      <c r="AG770">
        <v>765</v>
      </c>
      <c r="AH770">
        <f t="shared" ca="1" si="146"/>
        <v>306.61926459905385</v>
      </c>
      <c r="AI770">
        <f t="shared" ca="1" si="147"/>
        <v>163.6409180676817</v>
      </c>
      <c r="AJ770">
        <f t="shared" ca="1" si="148"/>
        <v>53.0333623207773</v>
      </c>
      <c r="AL770">
        <v>765</v>
      </c>
      <c r="AM770" s="4">
        <f t="shared" ca="1" si="141"/>
        <v>-9.1156211869740655E-3</v>
      </c>
      <c r="AN770" s="4">
        <f t="shared" ca="1" si="142"/>
        <v>-3.7688814066503262E-3</v>
      </c>
      <c r="AO770" s="4">
        <f t="shared" ca="1" si="143"/>
        <v>6.3427146104633181E-5</v>
      </c>
      <c r="AP770" s="4">
        <f t="shared" ca="1" si="144"/>
        <v>-4.2232107749209597E-3</v>
      </c>
    </row>
    <row r="771" spans="20:42" x14ac:dyDescent="0.3">
      <c r="T771">
        <v>765</v>
      </c>
      <c r="U771" s="4">
        <v>1.1735553670718704E-2</v>
      </c>
      <c r="V771" s="4"/>
      <c r="W771">
        <v>766</v>
      </c>
      <c r="X771">
        <f t="shared" ca="1" si="145"/>
        <v>-1.0469985258898313</v>
      </c>
      <c r="Y771">
        <f t="shared" ca="1" si="145"/>
        <v>0.50047611428524164</v>
      </c>
      <c r="Z771">
        <f t="shared" ca="1" si="145"/>
        <v>-0.92727505142448574</v>
      </c>
      <c r="AB771">
        <v>766</v>
      </c>
      <c r="AC771" s="24">
        <f t="shared" ca="1" si="138"/>
        <v>-1.0469985258898313</v>
      </c>
      <c r="AD771" s="24">
        <f t="shared" ca="1" si="139"/>
        <v>-0.66446935377958294</v>
      </c>
      <c r="AE771" s="24">
        <f t="shared" ca="1" si="140"/>
        <v>-1.1870400418749913</v>
      </c>
      <c r="AF771" s="24"/>
      <c r="AG771">
        <v>766</v>
      </c>
      <c r="AH771">
        <f t="shared" ca="1" si="146"/>
        <v>303.98125923964972</v>
      </c>
      <c r="AI771">
        <f t="shared" ca="1" si="147"/>
        <v>162.00724753719857</v>
      </c>
      <c r="AJ771">
        <f t="shared" ca="1" si="148"/>
        <v>51.924752977422322</v>
      </c>
      <c r="AL771">
        <v>766</v>
      </c>
      <c r="AM771" s="4">
        <f t="shared" ca="1" si="141"/>
        <v>-1.7640715998862966E-2</v>
      </c>
      <c r="AN771" s="4">
        <f t="shared" ca="1" si="142"/>
        <v>-1.3714519937736203E-2</v>
      </c>
      <c r="AO771" s="4">
        <f t="shared" ca="1" si="143"/>
        <v>-2.0841897554520927E-2</v>
      </c>
      <c r="AP771" s="4">
        <f t="shared" ca="1" si="144"/>
        <v>-1.7030592041109648E-2</v>
      </c>
    </row>
    <row r="772" spans="20:42" x14ac:dyDescent="0.3">
      <c r="T772">
        <v>766</v>
      </c>
      <c r="U772" s="4">
        <v>1.1740468694150862E-2</v>
      </c>
      <c r="V772" s="4"/>
      <c r="W772">
        <v>767</v>
      </c>
      <c r="X772">
        <f t="shared" ca="1" si="145"/>
        <v>0.59634481225081726</v>
      </c>
      <c r="Y772">
        <f t="shared" ca="1" si="145"/>
        <v>-0.43852640217253758</v>
      </c>
      <c r="Z772">
        <f t="shared" ca="1" si="145"/>
        <v>-1.2414508861747775</v>
      </c>
      <c r="AB772">
        <v>767</v>
      </c>
      <c r="AC772" s="24">
        <f t="shared" ca="1" si="138"/>
        <v>0.59634481225081726</v>
      </c>
      <c r="AD772" s="24">
        <f t="shared" ca="1" si="139"/>
        <v>0.30284604282672883</v>
      </c>
      <c r="AE772" s="24">
        <f t="shared" ca="1" si="140"/>
        <v>-0.26435663795800429</v>
      </c>
      <c r="AF772" s="24"/>
      <c r="AG772">
        <v>767</v>
      </c>
      <c r="AH772">
        <f t="shared" ca="1" si="146"/>
        <v>312.595611302772</v>
      </c>
      <c r="AI772">
        <f t="shared" ca="1" si="147"/>
        <v>165.29851456235312</v>
      </c>
      <c r="AJ772">
        <f t="shared" ca="1" si="148"/>
        <v>52.782011540863856</v>
      </c>
      <c r="AL772">
        <v>767</v>
      </c>
      <c r="AM772" s="4">
        <f t="shared" ca="1" si="141"/>
        <v>1.0197805185073072E-2</v>
      </c>
      <c r="AN772" s="4">
        <f t="shared" ca="1" si="142"/>
        <v>6.3224162318775701E-3</v>
      </c>
      <c r="AO772" s="4">
        <f t="shared" ca="1" si="143"/>
        <v>-4.6763576115668171E-3</v>
      </c>
      <c r="AP772" s="4">
        <f t="shared" ca="1" si="144"/>
        <v>4.1854007648029047E-3</v>
      </c>
    </row>
    <row r="773" spans="20:42" x14ac:dyDescent="0.3">
      <c r="T773">
        <v>767</v>
      </c>
      <c r="U773" s="4">
        <v>1.1798869132337141E-2</v>
      </c>
      <c r="V773" s="4"/>
      <c r="W773">
        <v>768</v>
      </c>
      <c r="X773">
        <f t="shared" ca="1" si="145"/>
        <v>0.94312007799284892</v>
      </c>
      <c r="Y773">
        <f t="shared" ca="1" si="145"/>
        <v>0.67164518461573652</v>
      </c>
      <c r="Z773">
        <f t="shared" ca="1" si="145"/>
        <v>-1.2389495756732358</v>
      </c>
      <c r="AB773">
        <v>768</v>
      </c>
      <c r="AC773" s="24">
        <f t="shared" ca="1" si="138"/>
        <v>0.94312007799284892</v>
      </c>
      <c r="AD773" s="24">
        <f t="shared" ca="1" si="139"/>
        <v>1.1516274146567853</v>
      </c>
      <c r="AE773" s="24">
        <f t="shared" ca="1" si="140"/>
        <v>0.32641920892432308</v>
      </c>
      <c r="AF773" s="24"/>
      <c r="AG773">
        <v>768</v>
      </c>
      <c r="AH773">
        <f t="shared" ca="1" si="146"/>
        <v>314.44435803336336</v>
      </c>
      <c r="AI773">
        <f t="shared" ca="1" si="147"/>
        <v>168.24150276744183</v>
      </c>
      <c r="AJ773">
        <f t="shared" ca="1" si="148"/>
        <v>53.338314558907278</v>
      </c>
      <c r="AL773">
        <v>768</v>
      </c>
      <c r="AM773" s="4">
        <f t="shared" ca="1" si="141"/>
        <v>1.6172296899154004E-2</v>
      </c>
      <c r="AN773" s="4">
        <f t="shared" ca="1" si="142"/>
        <v>2.4239062423937696E-2</v>
      </c>
      <c r="AO773" s="4">
        <f t="shared" ca="1" si="143"/>
        <v>5.8139880578471637E-3</v>
      </c>
      <c r="AP773" s="4">
        <f t="shared" ca="1" si="144"/>
        <v>1.6291510456675429E-2</v>
      </c>
    </row>
    <row r="774" spans="20:42" x14ac:dyDescent="0.3">
      <c r="T774">
        <v>768</v>
      </c>
      <c r="U774" s="4">
        <v>1.1805481927108619E-2</v>
      </c>
      <c r="V774" s="4"/>
      <c r="W774">
        <v>769</v>
      </c>
      <c r="X774">
        <f t="shared" ca="1" si="145"/>
        <v>-0.50797311738961748</v>
      </c>
      <c r="Y774">
        <f t="shared" ca="1" si="145"/>
        <v>1.4827044556201721</v>
      </c>
      <c r="Z774">
        <f t="shared" ca="1" si="145"/>
        <v>-1.5580716991782031</v>
      </c>
      <c r="AB774">
        <v>769</v>
      </c>
      <c r="AC774" s="24">
        <f t="shared" ref="AC774:AC837" ca="1" si="149">SUMPRODUCT($Q$24:$S$24,X774:Z774)</f>
        <v>-0.50797311738961748</v>
      </c>
      <c r="AD774" s="24">
        <f t="shared" ref="AD774:AD837" ca="1" si="150">SUMPRODUCT($Q$25:$S$25,X774:Z774)</f>
        <v>0.28856091227450842</v>
      </c>
      <c r="AE774" s="24">
        <f t="shared" ref="AE774:AE837" ca="1" si="151">SUMPRODUCT($Q$26:$S$26,X774:Z774)</f>
        <v>-0.79607129225187634</v>
      </c>
      <c r="AF774" s="24"/>
      <c r="AG774">
        <v>769</v>
      </c>
      <c r="AH774">
        <f t="shared" ca="1" si="146"/>
        <v>306.78032595383291</v>
      </c>
      <c r="AI774">
        <f t="shared" ca="1" si="147"/>
        <v>165.24942663750977</v>
      </c>
      <c r="AJ774">
        <f t="shared" ca="1" si="148"/>
        <v>52.286286120107327</v>
      </c>
      <c r="AL774">
        <v>769</v>
      </c>
      <c r="AM774" s="4">
        <f t="shared" ref="AM774:AM837" ca="1" si="152">AH774/$AH$2-1</f>
        <v>-8.595128188304435E-3</v>
      </c>
      <c r="AN774" s="4">
        <f t="shared" ref="AN774:AN837" ca="1" si="153">AI774/$AI$2-1</f>
        <v>6.0235733822187054E-3</v>
      </c>
      <c r="AO774" s="4">
        <f t="shared" ref="AO774:AO837" ca="1" si="154">AJ774/$AJ$2-1</f>
        <v>-1.4024376321121412E-2</v>
      </c>
      <c r="AP774" s="4">
        <f t="shared" ref="AP774:AP837" ca="1" si="155">SUMPRODUCT($P$6:$R$6,AM774:AO774)</f>
        <v>-4.3764219999402713E-3</v>
      </c>
    </row>
    <row r="775" spans="20:42" x14ac:dyDescent="0.3">
      <c r="T775">
        <v>769</v>
      </c>
      <c r="U775" s="4">
        <v>1.2095875463650919E-2</v>
      </c>
      <c r="V775" s="4"/>
      <c r="W775">
        <v>770</v>
      </c>
      <c r="X775">
        <f t="shared" ref="X775:Z838" ca="1" si="156">_xlfn.NORM.S.INV(RAND())</f>
        <v>1.4951750749877284</v>
      </c>
      <c r="Y775">
        <f t="shared" ca="1" si="156"/>
        <v>-0.19195870363457265</v>
      </c>
      <c r="Z775">
        <f t="shared" ca="1" si="156"/>
        <v>-1.9416829306839964</v>
      </c>
      <c r="AB775">
        <v>770</v>
      </c>
      <c r="AC775" s="24">
        <f t="shared" ca="1" si="149"/>
        <v>1.4951750749877284</v>
      </c>
      <c r="AD775" s="24">
        <f t="shared" ca="1" si="150"/>
        <v>1.206480944978009</v>
      </c>
      <c r="AE775" s="24">
        <f t="shared" ca="1" si="151"/>
        <v>0.18197832934063785</v>
      </c>
      <c r="AF775" s="24"/>
      <c r="AG775">
        <v>770</v>
      </c>
      <c r="AH775">
        <f t="shared" ref="AH775:AH838" ca="1" si="157">$L$21*EXP(($L$19-(($L$20^2)/2))*(1/252)+$L$20*AC775)</f>
        <v>317.41008755812175</v>
      </c>
      <c r="AI775">
        <f t="shared" ref="AI775:AI838" ca="1" si="158">$M$21*EXP(($M$19-(($M$20^2)/2))*(1/252)+$M$20*AD775)</f>
        <v>168.43348958132785</v>
      </c>
      <c r="AJ775">
        <f t="shared" ref="AJ775:AJ838" ca="1" si="159">$N$21*EXP(($N$19-(($N$20^2)/2))*(1/252)+$N$20*AE775)</f>
        <v>53.201762899591223</v>
      </c>
      <c r="AL775">
        <v>770</v>
      </c>
      <c r="AM775" s="4">
        <f t="shared" ca="1" si="152"/>
        <v>2.5756479620713923E-2</v>
      </c>
      <c r="AN775" s="4">
        <f t="shared" ca="1" si="153"/>
        <v>2.5407860794243398E-2</v>
      </c>
      <c r="AO775" s="4">
        <f t="shared" ca="1" si="154"/>
        <v>3.238999137248344E-3</v>
      </c>
      <c r="AP775" s="4">
        <f t="shared" ca="1" si="155"/>
        <v>1.8861787945086042E-2</v>
      </c>
    </row>
    <row r="776" spans="20:42" x14ac:dyDescent="0.3">
      <c r="T776">
        <v>770</v>
      </c>
      <c r="U776" s="4">
        <v>1.210495685528923E-2</v>
      </c>
      <c r="V776" s="4"/>
      <c r="W776">
        <v>771</v>
      </c>
      <c r="X776">
        <f t="shared" ca="1" si="156"/>
        <v>-7.0814881459043008E-2</v>
      </c>
      <c r="Y776">
        <f t="shared" ca="1" si="156"/>
        <v>0.27225099770678285</v>
      </c>
      <c r="Z776">
        <f t="shared" ca="1" si="156"/>
        <v>3.0181686173992913E-2</v>
      </c>
      <c r="AB776">
        <v>771</v>
      </c>
      <c r="AC776" s="24">
        <f t="shared" ca="1" si="149"/>
        <v>-7.0814881459043008E-2</v>
      </c>
      <c r="AD776" s="24">
        <f t="shared" ca="1" si="150"/>
        <v>7.2527404605441409E-2</v>
      </c>
      <c r="AE776" s="24">
        <f t="shared" ca="1" si="151"/>
        <v>3.2670630969197714E-2</v>
      </c>
      <c r="AF776" s="24"/>
      <c r="AG776">
        <v>771</v>
      </c>
      <c r="AH776">
        <f t="shared" ca="1" si="157"/>
        <v>309.06933077744009</v>
      </c>
      <c r="AI776">
        <f t="shared" ca="1" si="158"/>
        <v>164.50884644371575</v>
      </c>
      <c r="AJ776">
        <f t="shared" ca="1" si="159"/>
        <v>53.060977685334521</v>
      </c>
      <c r="AL776">
        <v>771</v>
      </c>
      <c r="AM776" s="4">
        <f t="shared" ca="1" si="152"/>
        <v>-1.1978789459715644E-3</v>
      </c>
      <c r="AN776" s="4">
        <f t="shared" ca="1" si="153"/>
        <v>1.5149880993718945E-3</v>
      </c>
      <c r="AO776" s="4">
        <f t="shared" ca="1" si="154"/>
        <v>5.8417700831281394E-4</v>
      </c>
      <c r="AP776" s="4">
        <f t="shared" ca="1" si="155"/>
        <v>4.2188465845113268E-4</v>
      </c>
    </row>
    <row r="777" spans="20:42" x14ac:dyDescent="0.3">
      <c r="T777">
        <v>771</v>
      </c>
      <c r="U777" s="4">
        <v>1.2144449274725177E-2</v>
      </c>
      <c r="V777" s="4"/>
      <c r="W777">
        <v>772</v>
      </c>
      <c r="X777">
        <f t="shared" ca="1" si="156"/>
        <v>-0.77780555915650917</v>
      </c>
      <c r="Y777">
        <f t="shared" ca="1" si="156"/>
        <v>0.48356160875151621</v>
      </c>
      <c r="Z777">
        <f t="shared" ca="1" si="156"/>
        <v>1.0572387880646061</v>
      </c>
      <c r="AB777">
        <v>772</v>
      </c>
      <c r="AC777" s="24">
        <f t="shared" ca="1" si="149"/>
        <v>-0.77780555915650917</v>
      </c>
      <c r="AD777" s="24">
        <f t="shared" ca="1" si="150"/>
        <v>-0.43855833592472698</v>
      </c>
      <c r="AE777" s="24">
        <f t="shared" ca="1" si="151"/>
        <v>3.5184823946803223E-2</v>
      </c>
      <c r="AF777" s="24"/>
      <c r="AG777">
        <v>772</v>
      </c>
      <c r="AH777">
        <f t="shared" ca="1" si="157"/>
        <v>305.37592527877166</v>
      </c>
      <c r="AI777">
        <f t="shared" ca="1" si="158"/>
        <v>162.76999049028333</v>
      </c>
      <c r="AJ777">
        <f t="shared" ca="1" si="159"/>
        <v>53.063345281503835</v>
      </c>
      <c r="AL777">
        <v>772</v>
      </c>
      <c r="AM777" s="4">
        <f t="shared" ca="1" si="152"/>
        <v>-1.3133651533640767E-2</v>
      </c>
      <c r="AN777" s="4">
        <f t="shared" ca="1" si="153"/>
        <v>-9.0710097794972633E-3</v>
      </c>
      <c r="AO777" s="4">
        <f t="shared" ca="1" si="154"/>
        <v>6.2882336365532865E-4</v>
      </c>
      <c r="AP777" s="4">
        <f t="shared" ca="1" si="155"/>
        <v>-7.3798523627945367E-3</v>
      </c>
    </row>
    <row r="778" spans="20:42" x14ac:dyDescent="0.3">
      <c r="T778">
        <v>772</v>
      </c>
      <c r="U778" s="4">
        <v>1.2162559491128433E-2</v>
      </c>
      <c r="V778" s="4"/>
      <c r="W778">
        <v>773</v>
      </c>
      <c r="X778">
        <f t="shared" ca="1" si="156"/>
        <v>2.0624790710356686</v>
      </c>
      <c r="Y778">
        <f t="shared" ca="1" si="156"/>
        <v>-1.2684508179756393</v>
      </c>
      <c r="Z778">
        <f t="shared" ca="1" si="156"/>
        <v>-1.1379564194337812</v>
      </c>
      <c r="AB778">
        <v>773</v>
      </c>
      <c r="AC778" s="24">
        <f t="shared" ca="1" si="149"/>
        <v>2.0624790710356686</v>
      </c>
      <c r="AD778" s="24">
        <f t="shared" ca="1" si="150"/>
        <v>1.1697053237558799</v>
      </c>
      <c r="AE778" s="24">
        <f t="shared" ca="1" si="151"/>
        <v>0.75576874643690117</v>
      </c>
      <c r="AF778" s="24"/>
      <c r="AG778">
        <v>773</v>
      </c>
      <c r="AH778">
        <f t="shared" ca="1" si="157"/>
        <v>320.48688107945031</v>
      </c>
      <c r="AI778">
        <f t="shared" ca="1" si="158"/>
        <v>168.30475108242172</v>
      </c>
      <c r="AJ778">
        <f t="shared" ca="1" si="159"/>
        <v>53.746286229811069</v>
      </c>
      <c r="AL778">
        <v>773</v>
      </c>
      <c r="AM778" s="4">
        <f t="shared" ca="1" si="152"/>
        <v>3.5699581666517322E-2</v>
      </c>
      <c r="AN778" s="4">
        <f t="shared" ca="1" si="153"/>
        <v>2.4624112448867752E-2</v>
      </c>
      <c r="AO778" s="4">
        <f t="shared" ca="1" si="154"/>
        <v>1.3507212276118619E-2</v>
      </c>
      <c r="AP778" s="4">
        <f t="shared" ca="1" si="155"/>
        <v>2.4611683162337882E-2</v>
      </c>
    </row>
    <row r="779" spans="20:42" x14ac:dyDescent="0.3">
      <c r="T779">
        <v>773</v>
      </c>
      <c r="U779" s="4">
        <v>1.2170940791536577E-2</v>
      </c>
      <c r="V779" s="4"/>
      <c r="W779">
        <v>774</v>
      </c>
      <c r="X779">
        <f t="shared" ca="1" si="156"/>
        <v>-0.45270282786939786</v>
      </c>
      <c r="Y779">
        <f t="shared" ca="1" si="156"/>
        <v>0.81998268318225676</v>
      </c>
      <c r="Z779">
        <f t="shared" ca="1" si="156"/>
        <v>-0.59404085545962337</v>
      </c>
      <c r="AB779">
        <v>774</v>
      </c>
      <c r="AC779" s="24">
        <f t="shared" ca="1" si="149"/>
        <v>-0.45270282786939786</v>
      </c>
      <c r="AD779" s="24">
        <f t="shared" ca="1" si="150"/>
        <v>1.010652055108846E-2</v>
      </c>
      <c r="AE779" s="24">
        <f t="shared" ca="1" si="151"/>
        <v>-0.44463970530556957</v>
      </c>
      <c r="AF779" s="24"/>
      <c r="AG779">
        <v>774</v>
      </c>
      <c r="AH779">
        <f t="shared" ca="1" si="157"/>
        <v>307.06878800024992</v>
      </c>
      <c r="AI779">
        <f t="shared" ca="1" si="158"/>
        <v>164.29548134287901</v>
      </c>
      <c r="AJ779">
        <f t="shared" ca="1" si="159"/>
        <v>52.613406565454873</v>
      </c>
      <c r="AL779">
        <v>774</v>
      </c>
      <c r="AM779" s="4">
        <f t="shared" ca="1" si="152"/>
        <v>-7.662921478954865E-3</v>
      </c>
      <c r="AN779" s="4">
        <f t="shared" ca="1" si="153"/>
        <v>2.1604065037594822E-4</v>
      </c>
      <c r="AO779" s="4">
        <f t="shared" ca="1" si="154"/>
        <v>-7.8557839606167024E-3</v>
      </c>
      <c r="AP779" s="4">
        <f t="shared" ca="1" si="155"/>
        <v>-4.5691953717210913E-3</v>
      </c>
    </row>
    <row r="780" spans="20:42" x14ac:dyDescent="0.3">
      <c r="T780">
        <v>774</v>
      </c>
      <c r="U780" s="4">
        <v>1.2307276552063873E-2</v>
      </c>
      <c r="V780" s="4"/>
      <c r="W780">
        <v>775</v>
      </c>
      <c r="X780">
        <f t="shared" ca="1" si="156"/>
        <v>0.75546762833838321</v>
      </c>
      <c r="Y780">
        <f t="shared" ca="1" si="156"/>
        <v>-7.6332786582453779E-2</v>
      </c>
      <c r="Z780">
        <f t="shared" ca="1" si="156"/>
        <v>-1.1418184803979945</v>
      </c>
      <c r="AB780">
        <v>775</v>
      </c>
      <c r="AC780" s="24">
        <f t="shared" ca="1" si="149"/>
        <v>0.75546762833838321</v>
      </c>
      <c r="AD780" s="24">
        <f t="shared" ca="1" si="150"/>
        <v>0.61977818672955243</v>
      </c>
      <c r="AE780" s="24">
        <f t="shared" ca="1" si="151"/>
        <v>1.6070989487432463E-2</v>
      </c>
      <c r="AF780" s="24"/>
      <c r="AG780">
        <v>775</v>
      </c>
      <c r="AH780">
        <f t="shared" ca="1" si="157"/>
        <v>313.44258195052191</v>
      </c>
      <c r="AI780">
        <f t="shared" ca="1" si="158"/>
        <v>166.39134534034213</v>
      </c>
      <c r="AJ780">
        <f t="shared" ca="1" si="159"/>
        <v>53.04534858172147</v>
      </c>
      <c r="AL780">
        <v>775</v>
      </c>
      <c r="AM780" s="4">
        <f t="shared" ca="1" si="152"/>
        <v>1.293491299617533E-2</v>
      </c>
      <c r="AN780" s="4">
        <f t="shared" ca="1" si="153"/>
        <v>1.297547123331011E-2</v>
      </c>
      <c r="AO780" s="4">
        <f t="shared" ca="1" si="154"/>
        <v>2.8945507784294833E-4</v>
      </c>
      <c r="AP780" s="4">
        <f t="shared" ca="1" si="155"/>
        <v>9.1574989155295272E-3</v>
      </c>
    </row>
    <row r="781" spans="20:42" x14ac:dyDescent="0.3">
      <c r="T781">
        <v>775</v>
      </c>
      <c r="U781" s="4">
        <v>1.2308694538003227E-2</v>
      </c>
      <c r="V781" s="4"/>
      <c r="W781">
        <v>776</v>
      </c>
      <c r="X781">
        <f t="shared" ca="1" si="156"/>
        <v>-1.2125763711937014</v>
      </c>
      <c r="Y781">
        <f t="shared" ca="1" si="156"/>
        <v>-0.11363333493736169</v>
      </c>
      <c r="Z781">
        <f t="shared" ca="1" si="156"/>
        <v>0.36605341620231352</v>
      </c>
      <c r="AB781">
        <v>776</v>
      </c>
      <c r="AC781" s="24">
        <f t="shared" ca="1" si="149"/>
        <v>-1.2125763711937014</v>
      </c>
      <c r="AD781" s="24">
        <f t="shared" ca="1" si="150"/>
        <v>-1.1111474412340741</v>
      </c>
      <c r="AE781" s="24">
        <f t="shared" ca="1" si="151"/>
        <v>-0.83532772015500367</v>
      </c>
      <c r="AF781" s="24"/>
      <c r="AG781">
        <v>776</v>
      </c>
      <c r="AH781">
        <f t="shared" ca="1" si="157"/>
        <v>303.12658006905247</v>
      </c>
      <c r="AI781">
        <f t="shared" ca="1" si="158"/>
        <v>160.50963322024717</v>
      </c>
      <c r="AJ781">
        <f t="shared" ca="1" si="159"/>
        <v>52.24987186898997</v>
      </c>
      <c r="AL781">
        <v>776</v>
      </c>
      <c r="AM781" s="4">
        <f t="shared" ca="1" si="152"/>
        <v>-2.0402735013386075E-2</v>
      </c>
      <c r="AN781" s="4">
        <f t="shared" ca="1" si="153"/>
        <v>-2.2831860538213844E-2</v>
      </c>
      <c r="AO781" s="4">
        <f t="shared" ca="1" si="154"/>
        <v>-1.4711048996127629E-2</v>
      </c>
      <c r="AP781" s="4">
        <f t="shared" ca="1" si="155"/>
        <v>-1.9666879418139646E-2</v>
      </c>
    </row>
    <row r="782" spans="20:42" x14ac:dyDescent="0.3">
      <c r="T782">
        <v>776</v>
      </c>
      <c r="U782" s="4">
        <v>1.2376757859432087E-2</v>
      </c>
      <c r="V782" s="4"/>
      <c r="W782">
        <v>777</v>
      </c>
      <c r="X782">
        <f t="shared" ca="1" si="156"/>
        <v>-0.1786143562496614</v>
      </c>
      <c r="Y782">
        <f t="shared" ca="1" si="156"/>
        <v>1.3285458480211931</v>
      </c>
      <c r="Z782">
        <f t="shared" ca="1" si="156"/>
        <v>-0.60513689027435058</v>
      </c>
      <c r="AB782">
        <v>777</v>
      </c>
      <c r="AC782" s="24">
        <f t="shared" ca="1" si="149"/>
        <v>-0.1786143562496614</v>
      </c>
      <c r="AD782" s="24">
        <f t="shared" ca="1" si="150"/>
        <v>0.49920119183419576</v>
      </c>
      <c r="AE782" s="24">
        <f t="shared" ca="1" si="151"/>
        <v>-8.6165603016426145E-2</v>
      </c>
      <c r="AF782" s="24"/>
      <c r="AG782">
        <v>777</v>
      </c>
      <c r="AH782">
        <f t="shared" ca="1" si="157"/>
        <v>308.50330018575607</v>
      </c>
      <c r="AI782">
        <f t="shared" ca="1" si="158"/>
        <v>165.97472840385319</v>
      </c>
      <c r="AJ782">
        <f t="shared" ca="1" si="159"/>
        <v>52.949190934925412</v>
      </c>
      <c r="AL782">
        <v>777</v>
      </c>
      <c r="AM782" s="4">
        <f t="shared" ca="1" si="152"/>
        <v>-3.0270884444790758E-3</v>
      </c>
      <c r="AN782" s="4">
        <f t="shared" ca="1" si="153"/>
        <v>1.043914497967946E-2</v>
      </c>
      <c r="AO782" s="4">
        <f t="shared" ca="1" si="154"/>
        <v>-1.5238138078730312E-3</v>
      </c>
      <c r="AP782" s="4">
        <f t="shared" ca="1" si="155"/>
        <v>2.8103873161661524E-3</v>
      </c>
    </row>
    <row r="783" spans="20:42" x14ac:dyDescent="0.3">
      <c r="T783">
        <v>777</v>
      </c>
      <c r="U783" s="4">
        <v>1.2380126930177825E-2</v>
      </c>
      <c r="V783" s="4"/>
      <c r="W783">
        <v>778</v>
      </c>
      <c r="X783">
        <f t="shared" ca="1" si="156"/>
        <v>1.3938337655043882</v>
      </c>
      <c r="Y783">
        <f t="shared" ca="1" si="156"/>
        <v>-1.7152160803395637</v>
      </c>
      <c r="Z783">
        <f t="shared" ca="1" si="156"/>
        <v>5.4854438420250513E-2</v>
      </c>
      <c r="AB783">
        <v>778</v>
      </c>
      <c r="AC783" s="24">
        <f t="shared" ca="1" si="149"/>
        <v>1.3938337655043882</v>
      </c>
      <c r="AD783" s="24">
        <f t="shared" ca="1" si="150"/>
        <v>0.36772674041044684</v>
      </c>
      <c r="AE783" s="24">
        <f t="shared" ca="1" si="151"/>
        <v>0.69204444589361247</v>
      </c>
      <c r="AF783" s="24"/>
      <c r="AG783">
        <v>778</v>
      </c>
      <c r="AH783">
        <f t="shared" ca="1" si="157"/>
        <v>316.86357716774734</v>
      </c>
      <c r="AI783">
        <f t="shared" ca="1" si="158"/>
        <v>165.52164736510315</v>
      </c>
      <c r="AJ783">
        <f t="shared" ca="1" si="159"/>
        <v>53.685538217941783</v>
      </c>
      <c r="AL783">
        <v>778</v>
      </c>
      <c r="AM783" s="4">
        <f t="shared" ca="1" si="152"/>
        <v>2.3990352468236553E-2</v>
      </c>
      <c r="AN783" s="4">
        <f t="shared" ca="1" si="153"/>
        <v>7.6808285672727017E-3</v>
      </c>
      <c r="AO783" s="4">
        <f t="shared" ca="1" si="154"/>
        <v>1.2361671765697135E-2</v>
      </c>
      <c r="AP783" s="4">
        <f t="shared" ca="1" si="155"/>
        <v>1.3977938697089187E-2</v>
      </c>
    </row>
    <row r="784" spans="20:42" x14ac:dyDescent="0.3">
      <c r="T784">
        <v>778</v>
      </c>
      <c r="U784" s="4">
        <v>1.252872402717815E-2</v>
      </c>
      <c r="V784" s="4"/>
      <c r="W784">
        <v>779</v>
      </c>
      <c r="X784">
        <f t="shared" ca="1" si="156"/>
        <v>0.59239247310738841</v>
      </c>
      <c r="Y784">
        <f t="shared" ca="1" si="156"/>
        <v>-0.51472736226420812</v>
      </c>
      <c r="Z784">
        <f t="shared" ca="1" si="156"/>
        <v>-1.1580506584709604</v>
      </c>
      <c r="AB784">
        <v>779</v>
      </c>
      <c r="AC784" s="24">
        <f t="shared" ca="1" si="149"/>
        <v>0.59239247310738841</v>
      </c>
      <c r="AD784" s="24">
        <f t="shared" ca="1" si="150"/>
        <v>0.26185957248109049</v>
      </c>
      <c r="AE784" s="24">
        <f t="shared" ca="1" si="151"/>
        <v>-0.24629075226604502</v>
      </c>
      <c r="AF784" s="24"/>
      <c r="AG784">
        <v>779</v>
      </c>
      <c r="AH784">
        <f t="shared" ca="1" si="157"/>
        <v>312.57460315221982</v>
      </c>
      <c r="AI784">
        <f t="shared" ca="1" si="158"/>
        <v>165.15771203878651</v>
      </c>
      <c r="AJ784">
        <f t="shared" ca="1" si="159"/>
        <v>52.798936939275919</v>
      </c>
      <c r="AL784">
        <v>779</v>
      </c>
      <c r="AM784" s="4">
        <f t="shared" ca="1" si="152"/>
        <v>1.0129914316450828E-2</v>
      </c>
      <c r="AN784" s="4">
        <f t="shared" ca="1" si="153"/>
        <v>5.4652231947698304E-3</v>
      </c>
      <c r="AO784" s="4">
        <f t="shared" ca="1" si="154"/>
        <v>-4.3571911246410577E-3</v>
      </c>
      <c r="AP784" s="4">
        <f t="shared" ca="1" si="155"/>
        <v>3.9179062354508642E-3</v>
      </c>
    </row>
    <row r="785" spans="20:42" x14ac:dyDescent="0.3">
      <c r="T785">
        <v>779</v>
      </c>
      <c r="U785" s="4">
        <v>1.2544635025141092E-2</v>
      </c>
      <c r="V785" s="4"/>
      <c r="W785">
        <v>780</v>
      </c>
      <c r="X785">
        <f t="shared" ca="1" si="156"/>
        <v>-4.9862662959170433E-2</v>
      </c>
      <c r="Y785">
        <f t="shared" ca="1" si="156"/>
        <v>-0.66595062741803879</v>
      </c>
      <c r="Z785">
        <f t="shared" ca="1" si="156"/>
        <v>-0.88195944384304048</v>
      </c>
      <c r="AB785">
        <v>780</v>
      </c>
      <c r="AC785" s="24">
        <f t="shared" ca="1" si="149"/>
        <v>-4.9862662959170433E-2</v>
      </c>
      <c r="AD785" s="24">
        <f t="shared" ca="1" si="150"/>
        <v>-0.3715296295396518</v>
      </c>
      <c r="AE785" s="24">
        <f t="shared" ca="1" si="151"/>
        <v>-0.67214074566798665</v>
      </c>
      <c r="AF785" s="24"/>
      <c r="AG785">
        <v>780</v>
      </c>
      <c r="AH785">
        <f t="shared" ca="1" si="157"/>
        <v>309.17946660753489</v>
      </c>
      <c r="AI785">
        <f t="shared" ca="1" si="158"/>
        <v>162.99698943337697</v>
      </c>
      <c r="AJ785">
        <f t="shared" ca="1" si="159"/>
        <v>52.40141066388604</v>
      </c>
      <c r="AL785">
        <v>780</v>
      </c>
      <c r="AM785" s="4">
        <f t="shared" ca="1" si="152"/>
        <v>-8.4195912556739305E-4</v>
      </c>
      <c r="AN785" s="4">
        <f t="shared" ca="1" si="153"/>
        <v>-7.6890607311294046E-3</v>
      </c>
      <c r="AO785" s="4">
        <f t="shared" ca="1" si="154"/>
        <v>-1.1853443897422156E-2</v>
      </c>
      <c r="AP785" s="4">
        <f t="shared" ca="1" si="155"/>
        <v>-6.8842451993486268E-3</v>
      </c>
    </row>
    <row r="786" spans="20:42" x14ac:dyDescent="0.3">
      <c r="T786">
        <v>780</v>
      </c>
      <c r="U786" s="4">
        <v>1.2574127147148204E-2</v>
      </c>
      <c r="V786" s="4"/>
      <c r="W786">
        <v>781</v>
      </c>
      <c r="X786">
        <f t="shared" ca="1" si="156"/>
        <v>-1.3527400643969536</v>
      </c>
      <c r="Y786">
        <f t="shared" ca="1" si="156"/>
        <v>0.70368685353460447</v>
      </c>
      <c r="Z786">
        <f t="shared" ca="1" si="156"/>
        <v>1.2372949327362632</v>
      </c>
      <c r="AB786">
        <v>781</v>
      </c>
      <c r="AC786" s="24">
        <f t="shared" ca="1" si="149"/>
        <v>-1.3527400643969536</v>
      </c>
      <c r="AD786" s="24">
        <f t="shared" ca="1" si="150"/>
        <v>-0.83038854324734901</v>
      </c>
      <c r="AE786" s="24">
        <f t="shared" ca="1" si="151"/>
        <v>-0.28194605008958917</v>
      </c>
      <c r="AF786" s="24"/>
      <c r="AG786">
        <v>781</v>
      </c>
      <c r="AH786">
        <f t="shared" ca="1" si="157"/>
        <v>302.40496193830342</v>
      </c>
      <c r="AI786">
        <f t="shared" ca="1" si="158"/>
        <v>161.44933235102403</v>
      </c>
      <c r="AJ786">
        <f t="shared" ca="1" si="159"/>
        <v>52.765537749471015</v>
      </c>
      <c r="AL786">
        <v>781</v>
      </c>
      <c r="AM786" s="4">
        <f t="shared" ca="1" si="152"/>
        <v>-2.2734748085566969E-2</v>
      </c>
      <c r="AN786" s="4">
        <f t="shared" ca="1" si="153"/>
        <v>-1.7111057164281185E-2</v>
      </c>
      <c r="AO786" s="4">
        <f t="shared" ca="1" si="154"/>
        <v>-4.9870080315564946E-3</v>
      </c>
      <c r="AP786" s="4">
        <f t="shared" ca="1" si="155"/>
        <v>-1.5160949700849514E-2</v>
      </c>
    </row>
    <row r="787" spans="20:42" x14ac:dyDescent="0.3">
      <c r="T787">
        <v>781</v>
      </c>
      <c r="U787" s="4">
        <v>1.2760322986170447E-2</v>
      </c>
      <c r="V787" s="4"/>
      <c r="W787">
        <v>782</v>
      </c>
      <c r="X787">
        <f t="shared" ca="1" si="156"/>
        <v>-0.20303049476000271</v>
      </c>
      <c r="Y787">
        <f t="shared" ca="1" si="156"/>
        <v>0.19603319211008352</v>
      </c>
      <c r="Z787">
        <f t="shared" ca="1" si="156"/>
        <v>-1.7798451363683778</v>
      </c>
      <c r="AB787">
        <v>782</v>
      </c>
      <c r="AC787" s="24">
        <f t="shared" ca="1" si="149"/>
        <v>-0.20303049476000271</v>
      </c>
      <c r="AD787" s="24">
        <f t="shared" ca="1" si="150"/>
        <v>-8.0079087609244454E-2</v>
      </c>
      <c r="AE787" s="24">
        <f t="shared" ca="1" si="151"/>
        <v>-1.0149036336519508</v>
      </c>
      <c r="AF787" s="24"/>
      <c r="AG787">
        <v>782</v>
      </c>
      <c r="AH787">
        <f t="shared" ca="1" si="157"/>
        <v>308.37524063443044</v>
      </c>
      <c r="AI787">
        <f t="shared" ca="1" si="158"/>
        <v>163.9877003822059</v>
      </c>
      <c r="AJ787">
        <f t="shared" ca="1" si="159"/>
        <v>52.083620378278511</v>
      </c>
      <c r="AL787">
        <v>782</v>
      </c>
      <c r="AM787" s="4">
        <f t="shared" ca="1" si="152"/>
        <v>-3.4409313552703491E-3</v>
      </c>
      <c r="AN787" s="4">
        <f t="shared" ca="1" si="153"/>
        <v>-1.6577020195733816E-3</v>
      </c>
      <c r="AO787" s="4">
        <f t="shared" ca="1" si="154"/>
        <v>-1.7846095093401293E-2</v>
      </c>
      <c r="AP787" s="4">
        <f t="shared" ca="1" si="155"/>
        <v>-7.0491887424308447E-3</v>
      </c>
    </row>
    <row r="788" spans="20:42" x14ac:dyDescent="0.3">
      <c r="T788">
        <v>782</v>
      </c>
      <c r="U788" s="4">
        <v>1.2822983685682687E-2</v>
      </c>
      <c r="V788" s="4"/>
      <c r="W788">
        <v>783</v>
      </c>
      <c r="X788">
        <f t="shared" ca="1" si="156"/>
        <v>1.1678982968708411E-2</v>
      </c>
      <c r="Y788">
        <f t="shared" ca="1" si="156"/>
        <v>-0.16567905172190708</v>
      </c>
      <c r="Z788">
        <f t="shared" ca="1" si="156"/>
        <v>1.5045829968628333</v>
      </c>
      <c r="AB788">
        <v>783</v>
      </c>
      <c r="AC788" s="24">
        <f t="shared" ca="1" si="149"/>
        <v>1.1678982968708411E-2</v>
      </c>
      <c r="AD788" s="24">
        <f t="shared" ca="1" si="150"/>
        <v>-7.1473863162047332E-2</v>
      </c>
      <c r="AE788" s="24">
        <f t="shared" ca="1" si="151"/>
        <v>0.72739674605252702</v>
      </c>
      <c r="AF788" s="24"/>
      <c r="AG788">
        <v>783</v>
      </c>
      <c r="AH788">
        <f t="shared" ca="1" si="157"/>
        <v>309.50318870656508</v>
      </c>
      <c r="AI788">
        <f t="shared" ca="1" si="158"/>
        <v>164.01704296450126</v>
      </c>
      <c r="AJ788">
        <f t="shared" ca="1" si="159"/>
        <v>53.719230879113724</v>
      </c>
      <c r="AL788">
        <v>783</v>
      </c>
      <c r="AM788" s="4">
        <f t="shared" ca="1" si="152"/>
        <v>2.0419552953887532E-4</v>
      </c>
      <c r="AN788" s="4">
        <f t="shared" ca="1" si="153"/>
        <v>-1.4790670306739084E-3</v>
      </c>
      <c r="AO788" s="4">
        <f t="shared" ca="1" si="154"/>
        <v>1.299702273585579E-2</v>
      </c>
      <c r="AP788" s="4">
        <f t="shared" ca="1" si="155"/>
        <v>3.3687386673488359E-3</v>
      </c>
    </row>
    <row r="789" spans="20:42" x14ac:dyDescent="0.3">
      <c r="T789">
        <v>783</v>
      </c>
      <c r="U789" s="4">
        <v>1.2825266044871685E-2</v>
      </c>
      <c r="V789" s="4"/>
      <c r="W789">
        <v>784</v>
      </c>
      <c r="X789">
        <f t="shared" ca="1" si="156"/>
        <v>1.459982845652491</v>
      </c>
      <c r="Y789">
        <f t="shared" ca="1" si="156"/>
        <v>-0.12494120894471457</v>
      </c>
      <c r="Z789">
        <f t="shared" ca="1" si="156"/>
        <v>-0.16671259589012838</v>
      </c>
      <c r="AB789">
        <v>784</v>
      </c>
      <c r="AC789" s="24">
        <f t="shared" ca="1" si="149"/>
        <v>1.459982845652491</v>
      </c>
      <c r="AD789" s="24">
        <f t="shared" ca="1" si="150"/>
        <v>1.2088796634241399</v>
      </c>
      <c r="AE789" s="24">
        <f t="shared" ca="1" si="151"/>
        <v>1.0725783906984399</v>
      </c>
      <c r="AF789" s="24"/>
      <c r="AG789">
        <v>784</v>
      </c>
      <c r="AH789">
        <f t="shared" ca="1" si="157"/>
        <v>317.2201972066261</v>
      </c>
      <c r="AI789">
        <f t="shared" ca="1" si="158"/>
        <v>168.44189007004124</v>
      </c>
      <c r="AJ789">
        <f t="shared" ca="1" si="159"/>
        <v>54.049320956514343</v>
      </c>
      <c r="AL789">
        <v>784</v>
      </c>
      <c r="AM789" s="4">
        <f t="shared" ca="1" si="152"/>
        <v>2.5142821561001227E-2</v>
      </c>
      <c r="AN789" s="4">
        <f t="shared" ca="1" si="153"/>
        <v>2.5459002210256543E-2</v>
      </c>
      <c r="AO789" s="4">
        <f t="shared" ca="1" si="154"/>
        <v>1.9221614193502434E-2</v>
      </c>
      <c r="AP789" s="4">
        <f t="shared" ca="1" si="155"/>
        <v>2.3492931610453717E-2</v>
      </c>
    </row>
    <row r="790" spans="20:42" x14ac:dyDescent="0.3">
      <c r="T790">
        <v>784</v>
      </c>
      <c r="U790" s="4">
        <v>1.2988091675684887E-2</v>
      </c>
      <c r="V790" s="4"/>
      <c r="W790">
        <v>785</v>
      </c>
      <c r="X790">
        <f t="shared" ca="1" si="156"/>
        <v>-4.7260932186984621E-2</v>
      </c>
      <c r="Y790">
        <f t="shared" ca="1" si="156"/>
        <v>0.12735639390092826</v>
      </c>
      <c r="Z790">
        <f t="shared" ca="1" si="156"/>
        <v>0.99517443599099598</v>
      </c>
      <c r="AB790">
        <v>785</v>
      </c>
      <c r="AC790" s="24">
        <f t="shared" ca="1" si="149"/>
        <v>-4.7260932186984621E-2</v>
      </c>
      <c r="AD790" s="24">
        <f t="shared" ca="1" si="150"/>
        <v>2.1628183448648648E-2</v>
      </c>
      <c r="AE790" s="24">
        <f t="shared" ca="1" si="151"/>
        <v>0.50164710748579666</v>
      </c>
      <c r="AF790" s="24"/>
      <c r="AG790">
        <v>785</v>
      </c>
      <c r="AH790">
        <f t="shared" ca="1" si="157"/>
        <v>309.19314540562652</v>
      </c>
      <c r="AI790">
        <f t="shared" ca="1" si="158"/>
        <v>164.33484349218486</v>
      </c>
      <c r="AJ790">
        <f t="shared" ca="1" si="159"/>
        <v>53.50444226761492</v>
      </c>
      <c r="AL790">
        <v>785</v>
      </c>
      <c r="AM790" s="4">
        <f t="shared" ca="1" si="152"/>
        <v>-7.9775411657145856E-4</v>
      </c>
      <c r="AN790" s="4">
        <f t="shared" ca="1" si="153"/>
        <v>4.5567385762179669E-4</v>
      </c>
      <c r="AO790" s="4">
        <f t="shared" ca="1" si="154"/>
        <v>8.9466999667997538E-3</v>
      </c>
      <c r="AP790" s="4">
        <f t="shared" ca="1" si="155"/>
        <v>2.6269532981172071E-3</v>
      </c>
    </row>
    <row r="791" spans="20:42" x14ac:dyDescent="0.3">
      <c r="T791">
        <v>785</v>
      </c>
      <c r="U791" s="4">
        <v>1.3084439867468454E-2</v>
      </c>
      <c r="V791" s="4"/>
      <c r="W791">
        <v>786</v>
      </c>
      <c r="X791">
        <f t="shared" ca="1" si="156"/>
        <v>0.48067599043491249</v>
      </c>
      <c r="Y791">
        <f t="shared" ca="1" si="156"/>
        <v>1.5694580086711256</v>
      </c>
      <c r="Z791">
        <f t="shared" ca="1" si="156"/>
        <v>2.674926039289419</v>
      </c>
      <c r="AB791">
        <v>786</v>
      </c>
      <c r="AC791" s="24">
        <f t="shared" ca="1" si="149"/>
        <v>0.48067599043491249</v>
      </c>
      <c r="AD791" s="24">
        <f t="shared" ca="1" si="150"/>
        <v>1.1916073159889953</v>
      </c>
      <c r="AE791" s="24">
        <f t="shared" ca="1" si="151"/>
        <v>2.1831506409218853</v>
      </c>
      <c r="AF791" s="24"/>
      <c r="AG791">
        <v>786</v>
      </c>
      <c r="AH791">
        <f t="shared" ca="1" si="157"/>
        <v>311.98137216227281</v>
      </c>
      <c r="AI791">
        <f t="shared" ca="1" si="158"/>
        <v>168.38141038878842</v>
      </c>
      <c r="AJ791">
        <f t="shared" ca="1" si="159"/>
        <v>55.125161703319769</v>
      </c>
      <c r="AL791">
        <v>786</v>
      </c>
      <c r="AM791" s="4">
        <f t="shared" ca="1" si="152"/>
        <v>8.2128028077042003E-3</v>
      </c>
      <c r="AN791" s="4">
        <f t="shared" ca="1" si="153"/>
        <v>2.5090807377215141E-2</v>
      </c>
      <c r="AO791" s="4">
        <f t="shared" ca="1" si="154"/>
        <v>3.9509013242537305E-2</v>
      </c>
      <c r="AP791" s="4">
        <f t="shared" ca="1" si="155"/>
        <v>2.4352867765958512E-2</v>
      </c>
    </row>
    <row r="792" spans="20:42" x14ac:dyDescent="0.3">
      <c r="T792">
        <v>786</v>
      </c>
      <c r="U792" s="4">
        <v>1.3189333294427775E-2</v>
      </c>
      <c r="V792" s="4"/>
      <c r="W792">
        <v>787</v>
      </c>
      <c r="X792">
        <f t="shared" ca="1" si="156"/>
        <v>1.6518852844444509</v>
      </c>
      <c r="Y792">
        <f t="shared" ca="1" si="156"/>
        <v>-3.0648925622983672E-2</v>
      </c>
      <c r="Z792">
        <f t="shared" ca="1" si="156"/>
        <v>2.3180431685076632E-2</v>
      </c>
      <c r="AB792">
        <v>787</v>
      </c>
      <c r="AC792" s="24">
        <f t="shared" ca="1" si="149"/>
        <v>1.6518852844444509</v>
      </c>
      <c r="AD792" s="24">
        <f t="shared" ca="1" si="150"/>
        <v>1.4223302569237484</v>
      </c>
      <c r="AE792" s="24">
        <f t="shared" ca="1" si="151"/>
        <v>1.3516170355532711</v>
      </c>
      <c r="AF792" s="24"/>
      <c r="AG792">
        <v>787</v>
      </c>
      <c r="AH792">
        <f t="shared" ca="1" si="157"/>
        <v>318.25704605777128</v>
      </c>
      <c r="AI792">
        <f t="shared" ca="1" si="158"/>
        <v>169.19108964333856</v>
      </c>
      <c r="AJ792">
        <f t="shared" ca="1" si="159"/>
        <v>54.317641827584104</v>
      </c>
      <c r="AL792">
        <v>787</v>
      </c>
      <c r="AM792" s="4">
        <f t="shared" ca="1" si="152"/>
        <v>2.8493548173477601E-2</v>
      </c>
      <c r="AN792" s="4">
        <f t="shared" ca="1" si="153"/>
        <v>3.0020061496461192E-2</v>
      </c>
      <c r="AO792" s="4">
        <f t="shared" ca="1" si="154"/>
        <v>2.4281408220397926E-2</v>
      </c>
      <c r="AP792" s="4">
        <f t="shared" ca="1" si="155"/>
        <v>2.7840511516747136E-2</v>
      </c>
    </row>
    <row r="793" spans="20:42" x14ac:dyDescent="0.3">
      <c r="T793">
        <v>787</v>
      </c>
      <c r="U793" s="4">
        <v>1.3198958940259787E-2</v>
      </c>
      <c r="V793" s="4"/>
      <c r="W793">
        <v>788</v>
      </c>
      <c r="X793">
        <f t="shared" ca="1" si="156"/>
        <v>-1.1115330028140133</v>
      </c>
      <c r="Y793">
        <f t="shared" ca="1" si="156"/>
        <v>-0.7853270116831107</v>
      </c>
      <c r="Z793">
        <f t="shared" ca="1" si="156"/>
        <v>0.27345750709449756</v>
      </c>
      <c r="AB793">
        <v>788</v>
      </c>
      <c r="AC793" s="24">
        <f t="shared" ca="1" si="149"/>
        <v>-1.1115330028140133</v>
      </c>
      <c r="AD793" s="24">
        <f t="shared" ca="1" si="150"/>
        <v>-1.354191976364274</v>
      </c>
      <c r="AE793" s="24">
        <f t="shared" ca="1" si="151"/>
        <v>-0.98526603225914267</v>
      </c>
      <c r="AF793" s="24"/>
      <c r="AG793">
        <v>788</v>
      </c>
      <c r="AH793">
        <f t="shared" ca="1" si="157"/>
        <v>303.64785918422956</v>
      </c>
      <c r="AI793">
        <f t="shared" ca="1" si="158"/>
        <v>159.70058180046348</v>
      </c>
      <c r="AJ793">
        <f t="shared" ca="1" si="159"/>
        <v>52.111022394546382</v>
      </c>
      <c r="AL793">
        <v>788</v>
      </c>
      <c r="AM793" s="4">
        <f t="shared" ca="1" si="152"/>
        <v>-1.8718146365944488E-2</v>
      </c>
      <c r="AN793" s="4">
        <f t="shared" ca="1" si="153"/>
        <v>-2.7757292456148219E-2</v>
      </c>
      <c r="AO793" s="4">
        <f t="shared" ca="1" si="154"/>
        <v>-1.7329368393445788E-2</v>
      </c>
      <c r="AP793" s="4">
        <f t="shared" ca="1" si="155"/>
        <v>-2.1917171410276371E-2</v>
      </c>
    </row>
    <row r="794" spans="20:42" x14ac:dyDescent="0.3">
      <c r="T794">
        <v>788</v>
      </c>
      <c r="U794" s="4">
        <v>1.3305869167371663E-2</v>
      </c>
      <c r="V794" s="4"/>
      <c r="W794">
        <v>789</v>
      </c>
      <c r="X794">
        <f t="shared" ca="1" si="156"/>
        <v>-1.5735917827034127</v>
      </c>
      <c r="Y794">
        <f t="shared" ca="1" si="156"/>
        <v>0.85712132215044357</v>
      </c>
      <c r="Z794">
        <f t="shared" ca="1" si="156"/>
        <v>-0.92486241731745811</v>
      </c>
      <c r="AB794">
        <v>789</v>
      </c>
      <c r="AC794" s="24">
        <f t="shared" ca="1" si="149"/>
        <v>-1.5735917827034127</v>
      </c>
      <c r="AD794" s="24">
        <f t="shared" ca="1" si="150"/>
        <v>-0.9469653269278675</v>
      </c>
      <c r="AE794" s="24">
        <f t="shared" ca="1" si="151"/>
        <v>-1.5171844516043311</v>
      </c>
      <c r="AF794" s="24"/>
      <c r="AG794">
        <v>789</v>
      </c>
      <c r="AH794">
        <f t="shared" ca="1" si="157"/>
        <v>301.27141425863226</v>
      </c>
      <c r="AI794">
        <f t="shared" ca="1" si="158"/>
        <v>161.05848415902707</v>
      </c>
      <c r="AJ794">
        <f t="shared" ca="1" si="159"/>
        <v>51.621412188506191</v>
      </c>
      <c r="AL794">
        <v>789</v>
      </c>
      <c r="AM794" s="4">
        <f t="shared" ca="1" si="152"/>
        <v>-2.6397970909790569E-2</v>
      </c>
      <c r="AN794" s="4">
        <f t="shared" ca="1" si="153"/>
        <v>-1.9490505630539889E-2</v>
      </c>
      <c r="AO794" s="4">
        <f t="shared" ca="1" si="154"/>
        <v>-2.6562070963888518E-2</v>
      </c>
      <c r="AP794" s="4">
        <f t="shared" ca="1" si="155"/>
        <v>-2.3684214814319683E-2</v>
      </c>
    </row>
    <row r="795" spans="20:42" x14ac:dyDescent="0.3">
      <c r="T795">
        <v>789</v>
      </c>
      <c r="U795" s="4">
        <v>1.3356887474135061E-2</v>
      </c>
      <c r="V795" s="4"/>
      <c r="W795">
        <v>790</v>
      </c>
      <c r="X795">
        <f t="shared" ca="1" si="156"/>
        <v>-1.3213154902199333</v>
      </c>
      <c r="Y795">
        <f t="shared" ca="1" si="156"/>
        <v>8.4630157343483933E-2</v>
      </c>
      <c r="Z795">
        <f t="shared" ca="1" si="156"/>
        <v>-1.2205301516691143</v>
      </c>
      <c r="AB795">
        <v>790</v>
      </c>
      <c r="AC795" s="24">
        <f t="shared" ca="1" si="149"/>
        <v>-1.3213154902199333</v>
      </c>
      <c r="AD795" s="24">
        <f t="shared" ca="1" si="150"/>
        <v>-1.108077406821333</v>
      </c>
      <c r="AE795" s="24">
        <f t="shared" ca="1" si="151"/>
        <v>-1.6745692924223583</v>
      </c>
      <c r="AF795" s="24"/>
      <c r="AG795">
        <v>790</v>
      </c>
      <c r="AH795">
        <f t="shared" ca="1" si="157"/>
        <v>302.56659853194856</v>
      </c>
      <c r="AI795">
        <f t="shared" ca="1" si="158"/>
        <v>160.5198789809464</v>
      </c>
      <c r="AJ795">
        <f t="shared" ca="1" si="159"/>
        <v>51.477429430065563</v>
      </c>
      <c r="AL795">
        <v>790</v>
      </c>
      <c r="AM795" s="4">
        <f t="shared" ca="1" si="152"/>
        <v>-2.2212396119532074E-2</v>
      </c>
      <c r="AN795" s="4">
        <f t="shared" ca="1" si="153"/>
        <v>-2.2769485273134937E-2</v>
      </c>
      <c r="AO795" s="4">
        <f t="shared" ca="1" si="154"/>
        <v>-2.9277189986234076E-2</v>
      </c>
      <c r="AP795" s="4">
        <f t="shared" ca="1" si="155"/>
        <v>-2.455466994098382E-2</v>
      </c>
    </row>
    <row r="796" spans="20:42" x14ac:dyDescent="0.3">
      <c r="T796">
        <v>790</v>
      </c>
      <c r="U796" s="4">
        <v>1.3379953153726077E-2</v>
      </c>
      <c r="V796" s="4"/>
      <c r="W796">
        <v>791</v>
      </c>
      <c r="X796">
        <f t="shared" ca="1" si="156"/>
        <v>1.1433964685906357</v>
      </c>
      <c r="Y796">
        <f t="shared" ca="1" si="156"/>
        <v>-0.13293068254950999</v>
      </c>
      <c r="Z796">
        <f t="shared" ca="1" si="156"/>
        <v>-0.29305620898095841</v>
      </c>
      <c r="AB796">
        <v>791</v>
      </c>
      <c r="AC796" s="24">
        <f t="shared" ca="1" si="149"/>
        <v>1.1433964685906357</v>
      </c>
      <c r="AD796" s="24">
        <f t="shared" ca="1" si="150"/>
        <v>0.92945682222732884</v>
      </c>
      <c r="AE796" s="24">
        <f t="shared" ca="1" si="151"/>
        <v>0.74784527739148077</v>
      </c>
      <c r="AF796" s="24"/>
      <c r="AG796">
        <v>791</v>
      </c>
      <c r="AH796">
        <f t="shared" ca="1" si="157"/>
        <v>315.51705888790804</v>
      </c>
      <c r="AI796">
        <f t="shared" ca="1" si="158"/>
        <v>167.46614339717149</v>
      </c>
      <c r="AJ796">
        <f t="shared" ca="1" si="159"/>
        <v>53.738729091432631</v>
      </c>
      <c r="AL796">
        <v>791</v>
      </c>
      <c r="AM796" s="4">
        <f t="shared" ca="1" si="152"/>
        <v>1.9638884431733228E-2</v>
      </c>
      <c r="AN796" s="4">
        <f t="shared" ca="1" si="153"/>
        <v>1.951874465820147E-2</v>
      </c>
      <c r="AO796" s="4">
        <f t="shared" ca="1" si="154"/>
        <v>1.3364705420519929E-2</v>
      </c>
      <c r="AP796" s="4">
        <f t="shared" ca="1" si="155"/>
        <v>1.7708574818956536E-2</v>
      </c>
    </row>
    <row r="797" spans="20:42" x14ac:dyDescent="0.3">
      <c r="T797">
        <v>791</v>
      </c>
      <c r="U797" s="4">
        <v>1.3402256277144618E-2</v>
      </c>
      <c r="V797" s="4"/>
      <c r="W797">
        <v>792</v>
      </c>
      <c r="X797">
        <f t="shared" ca="1" si="156"/>
        <v>-0.80571018519991577</v>
      </c>
      <c r="Y797">
        <f t="shared" ca="1" si="156"/>
        <v>1.1129873850104381</v>
      </c>
      <c r="Z797">
        <f t="shared" ca="1" si="156"/>
        <v>-0.95910988006170672</v>
      </c>
      <c r="AB797">
        <v>792</v>
      </c>
      <c r="AC797" s="24">
        <f t="shared" ca="1" si="149"/>
        <v>-0.80571018519991577</v>
      </c>
      <c r="AD797" s="24">
        <f t="shared" ca="1" si="150"/>
        <v>-0.15269723807085334</v>
      </c>
      <c r="AE797" s="24">
        <f t="shared" ca="1" si="151"/>
        <v>-0.83716902414735939</v>
      </c>
      <c r="AF797" s="24"/>
      <c r="AG797">
        <v>792</v>
      </c>
      <c r="AH797">
        <f t="shared" ca="1" si="157"/>
        <v>305.23105699868432</v>
      </c>
      <c r="AI797">
        <f t="shared" ca="1" si="158"/>
        <v>163.74029186621689</v>
      </c>
      <c r="AJ797">
        <f t="shared" ca="1" si="159"/>
        <v>52.248164498733423</v>
      </c>
      <c r="AL797">
        <v>792</v>
      </c>
      <c r="AM797" s="4">
        <f t="shared" ca="1" si="152"/>
        <v>-1.360181427583429E-2</v>
      </c>
      <c r="AN797" s="4">
        <f t="shared" ca="1" si="153"/>
        <v>-3.1639027030192501E-3</v>
      </c>
      <c r="AO797" s="4">
        <f t="shared" ca="1" si="154"/>
        <v>-1.4743245305685493E-2</v>
      </c>
      <c r="AP797" s="4">
        <f t="shared" ca="1" si="155"/>
        <v>-9.7690789556636355E-3</v>
      </c>
    </row>
    <row r="798" spans="20:42" x14ac:dyDescent="0.3">
      <c r="T798">
        <v>792</v>
      </c>
      <c r="U798" s="4">
        <v>1.3454326020368468E-2</v>
      </c>
      <c r="V798" s="4"/>
      <c r="W798">
        <v>793</v>
      </c>
      <c r="X798">
        <f t="shared" ca="1" si="156"/>
        <v>0.9347112650467857</v>
      </c>
      <c r="Y798">
        <f t="shared" ca="1" si="156"/>
        <v>-0.73054440401799303</v>
      </c>
      <c r="Z798">
        <f t="shared" ca="1" si="156"/>
        <v>-0.30726489322902778</v>
      </c>
      <c r="AB798">
        <v>793</v>
      </c>
      <c r="AC798" s="24">
        <f t="shared" ca="1" si="149"/>
        <v>0.9347112650467857</v>
      </c>
      <c r="AD798" s="24">
        <f t="shared" ca="1" si="150"/>
        <v>0.4533958126863647</v>
      </c>
      <c r="AE798" s="24">
        <f t="shared" ca="1" si="151"/>
        <v>0.4053304376218782</v>
      </c>
      <c r="AF798" s="24"/>
      <c r="AG798">
        <v>793</v>
      </c>
      <c r="AH798">
        <f t="shared" ca="1" si="157"/>
        <v>314.39939943280876</v>
      </c>
      <c r="AI798">
        <f t="shared" ca="1" si="158"/>
        <v>165.81673546994654</v>
      </c>
      <c r="AJ798">
        <f t="shared" ca="1" si="159"/>
        <v>53.413063718234042</v>
      </c>
      <c r="AL798">
        <v>793</v>
      </c>
      <c r="AM798" s="4">
        <f t="shared" ca="1" si="152"/>
        <v>1.6027006696853308E-2</v>
      </c>
      <c r="AN798" s="4">
        <f t="shared" ca="1" si="153"/>
        <v>9.4772982781681225E-3</v>
      </c>
      <c r="AO798" s="4">
        <f t="shared" ca="1" si="154"/>
        <v>7.2235517208194544E-3</v>
      </c>
      <c r="AP798" s="4">
        <f t="shared" ca="1" si="155"/>
        <v>1.0766086836569079E-2</v>
      </c>
    </row>
    <row r="799" spans="20:42" x14ac:dyDescent="0.3">
      <c r="T799">
        <v>793</v>
      </c>
      <c r="U799" s="4">
        <v>1.3472254789416072E-2</v>
      </c>
      <c r="V799" s="4"/>
      <c r="W799">
        <v>794</v>
      </c>
      <c r="X799">
        <f t="shared" ca="1" si="156"/>
        <v>-0.29519199072434743</v>
      </c>
      <c r="Y799">
        <f t="shared" ca="1" si="156"/>
        <v>-0.25925957000170807</v>
      </c>
      <c r="Z799">
        <f t="shared" ca="1" si="156"/>
        <v>-0.39001447296217662</v>
      </c>
      <c r="AB799">
        <v>794</v>
      </c>
      <c r="AC799" s="24">
        <f t="shared" ca="1" si="149"/>
        <v>-0.29519199072434743</v>
      </c>
      <c r="AD799" s="24">
        <f t="shared" ca="1" si="150"/>
        <v>-0.38461668995955267</v>
      </c>
      <c r="AE799" s="24">
        <f t="shared" ca="1" si="151"/>
        <v>-0.51044974715017166</v>
      </c>
      <c r="AF799" s="24"/>
      <c r="AG799">
        <v>794</v>
      </c>
      <c r="AH799">
        <f t="shared" ca="1" si="157"/>
        <v>307.89234409766379</v>
      </c>
      <c r="AI799">
        <f t="shared" ca="1" si="158"/>
        <v>162.95264403020659</v>
      </c>
      <c r="AJ799">
        <f t="shared" ca="1" si="159"/>
        <v>52.55199373926078</v>
      </c>
      <c r="AL799">
        <v>794</v>
      </c>
      <c r="AM799" s="4">
        <f t="shared" ca="1" si="152"/>
        <v>-5.0014811644635282E-3</v>
      </c>
      <c r="AN799" s="4">
        <f t="shared" ca="1" si="153"/>
        <v>-7.959031537493555E-3</v>
      </c>
      <c r="AO799" s="4">
        <f t="shared" ca="1" si="154"/>
        <v>-9.0138610416606868E-3</v>
      </c>
      <c r="AP799" s="4">
        <f t="shared" ca="1" si="155"/>
        <v>-7.3882152768346863E-3</v>
      </c>
    </row>
    <row r="800" spans="20:42" x14ac:dyDescent="0.3">
      <c r="T800">
        <v>794</v>
      </c>
      <c r="U800" s="4">
        <v>1.3513373191930446E-2</v>
      </c>
      <c r="V800" s="4"/>
      <c r="W800">
        <v>795</v>
      </c>
      <c r="X800">
        <f t="shared" ca="1" si="156"/>
        <v>-1.4221539306860567</v>
      </c>
      <c r="Y800">
        <f t="shared" ca="1" si="156"/>
        <v>0.63224053832062832</v>
      </c>
      <c r="Z800">
        <f t="shared" ca="1" si="156"/>
        <v>-0.68152766615691118</v>
      </c>
      <c r="AB800">
        <v>795</v>
      </c>
      <c r="AC800" s="24">
        <f t="shared" ca="1" si="149"/>
        <v>-1.4221539306860567</v>
      </c>
      <c r="AD800" s="24">
        <f t="shared" ca="1" si="150"/>
        <v>-0.92599531155151782</v>
      </c>
      <c r="AE800" s="24">
        <f t="shared" ca="1" si="151"/>
        <v>-1.3321582306790465</v>
      </c>
      <c r="AF800" s="24"/>
      <c r="AG800">
        <v>795</v>
      </c>
      <c r="AH800">
        <f t="shared" ca="1" si="157"/>
        <v>302.04822818946417</v>
      </c>
      <c r="AI800">
        <f t="shared" ca="1" si="158"/>
        <v>161.12872068736382</v>
      </c>
      <c r="AJ800">
        <f t="shared" ca="1" si="159"/>
        <v>51.791197640075175</v>
      </c>
      <c r="AL800">
        <v>795</v>
      </c>
      <c r="AM800" s="4">
        <f t="shared" ca="1" si="152"/>
        <v>-2.3887584648469962E-2</v>
      </c>
      <c r="AN800" s="4">
        <f t="shared" ca="1" si="153"/>
        <v>-1.9062911994319309E-2</v>
      </c>
      <c r="AO800" s="4">
        <f t="shared" ca="1" si="154"/>
        <v>-2.3360384079534557E-2</v>
      </c>
      <c r="AP800" s="4">
        <f t="shared" ca="1" si="155"/>
        <v>-2.1799555416129081E-2</v>
      </c>
    </row>
    <row r="801" spans="20:42" x14ac:dyDescent="0.3">
      <c r="T801">
        <v>795</v>
      </c>
      <c r="U801" s="4">
        <v>1.3524269829234537E-2</v>
      </c>
      <c r="V801" s="4"/>
      <c r="W801">
        <v>796</v>
      </c>
      <c r="X801">
        <f t="shared" ca="1" si="156"/>
        <v>1.4515230620701942</v>
      </c>
      <c r="Y801">
        <f t="shared" ca="1" si="156"/>
        <v>-1.3754818621146072</v>
      </c>
      <c r="Z801">
        <f t="shared" ca="1" si="156"/>
        <v>-0.29982254605581682</v>
      </c>
      <c r="AB801">
        <v>796</v>
      </c>
      <c r="AC801" s="24">
        <f t="shared" ca="1" si="149"/>
        <v>1.4515230620701942</v>
      </c>
      <c r="AD801" s="24">
        <f t="shared" ca="1" si="150"/>
        <v>0.58532715582474071</v>
      </c>
      <c r="AE801" s="24">
        <f t="shared" ca="1" si="151"/>
        <v>0.65291041356276724</v>
      </c>
      <c r="AF801" s="24"/>
      <c r="AG801">
        <v>796</v>
      </c>
      <c r="AH801">
        <f t="shared" ca="1" si="157"/>
        <v>317.1745668165384</v>
      </c>
      <c r="AI801">
        <f t="shared" ca="1" si="158"/>
        <v>166.27220374090621</v>
      </c>
      <c r="AJ801">
        <f t="shared" ca="1" si="159"/>
        <v>53.648266003909079</v>
      </c>
      <c r="AL801">
        <v>796</v>
      </c>
      <c r="AM801" s="4">
        <f t="shared" ca="1" si="152"/>
        <v>2.4995360373928799E-2</v>
      </c>
      <c r="AN801" s="4">
        <f t="shared" ca="1" si="153"/>
        <v>1.2250147944498302E-2</v>
      </c>
      <c r="AO801" s="4">
        <f t="shared" ca="1" si="154"/>
        <v>1.1658820268607206E-2</v>
      </c>
      <c r="AP801" s="4">
        <f t="shared" ca="1" si="155"/>
        <v>1.5896313370560123E-2</v>
      </c>
    </row>
    <row r="802" spans="20:42" x14ac:dyDescent="0.3">
      <c r="T802">
        <v>796</v>
      </c>
      <c r="U802" s="4">
        <v>1.3624007667250203E-2</v>
      </c>
      <c r="V802" s="4"/>
      <c r="W802">
        <v>797</v>
      </c>
      <c r="X802">
        <f t="shared" ca="1" si="156"/>
        <v>-1.9578797114590951</v>
      </c>
      <c r="Y802">
        <f t="shared" ca="1" si="156"/>
        <v>1.4437042008448246</v>
      </c>
      <c r="Z802">
        <f t="shared" ca="1" si="156"/>
        <v>0.87672482321449208</v>
      </c>
      <c r="AB802">
        <v>797</v>
      </c>
      <c r="AC802" s="24">
        <f t="shared" ca="1" si="149"/>
        <v>-1.9578797114590951</v>
      </c>
      <c r="AD802" s="24">
        <f t="shared" ca="1" si="150"/>
        <v>-0.99233109537473951</v>
      </c>
      <c r="AE802" s="24">
        <f t="shared" ca="1" si="151"/>
        <v>-0.75459292018809276</v>
      </c>
      <c r="AF802" s="24"/>
      <c r="AG802">
        <v>797</v>
      </c>
      <c r="AH802">
        <f t="shared" ca="1" si="157"/>
        <v>299.3091305597676</v>
      </c>
      <c r="AI802">
        <f t="shared" ca="1" si="158"/>
        <v>160.90664175239485</v>
      </c>
      <c r="AJ802">
        <f t="shared" ca="1" si="159"/>
        <v>52.32478901962682</v>
      </c>
      <c r="AL802">
        <v>797</v>
      </c>
      <c r="AM802" s="4">
        <f t="shared" ca="1" si="152"/>
        <v>-3.2739373712862951E-2</v>
      </c>
      <c r="AN802" s="4">
        <f t="shared" ca="1" si="153"/>
        <v>-2.0414908477916827E-2</v>
      </c>
      <c r="AO802" s="4">
        <f t="shared" ca="1" si="154"/>
        <v>-1.3298317478847355E-2</v>
      </c>
      <c r="AP802" s="4">
        <f t="shared" ca="1" si="155"/>
        <v>-2.1977270748679823E-2</v>
      </c>
    </row>
    <row r="803" spans="20:42" x14ac:dyDescent="0.3">
      <c r="T803">
        <v>797</v>
      </c>
      <c r="U803" s="4">
        <v>1.3800585213338691E-2</v>
      </c>
      <c r="V803" s="4"/>
      <c r="W803">
        <v>798</v>
      </c>
      <c r="X803">
        <f t="shared" ca="1" si="156"/>
        <v>0.40388780759070891</v>
      </c>
      <c r="Y803">
        <f t="shared" ca="1" si="156"/>
        <v>8.4497529420261494E-2</v>
      </c>
      <c r="Z803">
        <f t="shared" ca="1" si="156"/>
        <v>-1.3832997555215532</v>
      </c>
      <c r="AB803">
        <v>798</v>
      </c>
      <c r="AC803" s="24">
        <f t="shared" ca="1" si="149"/>
        <v>0.40388780759070891</v>
      </c>
      <c r="AD803" s="24">
        <f t="shared" ca="1" si="150"/>
        <v>0.39308907278793992</v>
      </c>
      <c r="AE803" s="24">
        <f t="shared" ca="1" si="151"/>
        <v>-0.34905672910394203</v>
      </c>
      <c r="AF803" s="24"/>
      <c r="AG803">
        <v>798</v>
      </c>
      <c r="AH803">
        <f t="shared" ca="1" si="157"/>
        <v>311.574268620986</v>
      </c>
      <c r="AI803">
        <f t="shared" ca="1" si="158"/>
        <v>165.60895344784825</v>
      </c>
      <c r="AJ803">
        <f t="shared" ca="1" si="159"/>
        <v>52.702730831110991</v>
      </c>
      <c r="AL803">
        <v>798</v>
      </c>
      <c r="AM803" s="4">
        <f t="shared" ca="1" si="152"/>
        <v>6.8971889954148047E-3</v>
      </c>
      <c r="AN803" s="4">
        <f t="shared" ca="1" si="153"/>
        <v>8.212340107908167E-3</v>
      </c>
      <c r="AO803" s="4">
        <f t="shared" ca="1" si="154"/>
        <v>-6.1713738585559286E-3</v>
      </c>
      <c r="AP803" s="4">
        <f t="shared" ca="1" si="155"/>
        <v>3.5026805842209296E-3</v>
      </c>
    </row>
    <row r="804" spans="20:42" x14ac:dyDescent="0.3">
      <c r="T804">
        <v>798</v>
      </c>
      <c r="U804" s="4">
        <v>1.3813474811656267E-2</v>
      </c>
      <c r="V804" s="4"/>
      <c r="W804">
        <v>799</v>
      </c>
      <c r="X804">
        <f t="shared" ca="1" si="156"/>
        <v>-1.122438928238304</v>
      </c>
      <c r="Y804">
        <f t="shared" ca="1" si="156"/>
        <v>0.97248697420190755</v>
      </c>
      <c r="Z804">
        <f t="shared" ca="1" si="156"/>
        <v>1.1907903441131722</v>
      </c>
      <c r="AB804">
        <v>799</v>
      </c>
      <c r="AC804" s="24">
        <f t="shared" ca="1" si="149"/>
        <v>-1.122438928238304</v>
      </c>
      <c r="AD804" s="24">
        <f t="shared" ca="1" si="150"/>
        <v>-0.49753735954148642</v>
      </c>
      <c r="AE804" s="24">
        <f t="shared" ca="1" si="151"/>
        <v>-4.3368513255616414E-2</v>
      </c>
      <c r="AF804" s="24"/>
      <c r="AG804">
        <v>799</v>
      </c>
      <c r="AH804">
        <f t="shared" ca="1" si="157"/>
        <v>303.59155277755497</v>
      </c>
      <c r="AI804">
        <f t="shared" ca="1" si="158"/>
        <v>162.57051402408436</v>
      </c>
      <c r="AJ804">
        <f t="shared" ca="1" si="159"/>
        <v>52.989422097855922</v>
      </c>
      <c r="AL804">
        <v>799</v>
      </c>
      <c r="AM804" s="4">
        <f t="shared" ca="1" si="152"/>
        <v>-1.8900108640473867E-2</v>
      </c>
      <c r="AN804" s="4">
        <f t="shared" ca="1" si="153"/>
        <v>-1.0285404476135795E-2</v>
      </c>
      <c r="AO804" s="4">
        <f t="shared" ca="1" si="154"/>
        <v>-7.6516466858222998E-4</v>
      </c>
      <c r="AP804" s="4">
        <f t="shared" ca="1" si="155"/>
        <v>-1.0013743783171148E-2</v>
      </c>
    </row>
    <row r="805" spans="20:42" x14ac:dyDescent="0.3">
      <c r="T805">
        <v>799</v>
      </c>
      <c r="U805" s="4">
        <v>1.3818041199201204E-2</v>
      </c>
      <c r="V805" s="4"/>
      <c r="W805">
        <v>800</v>
      </c>
      <c r="X805">
        <f t="shared" ca="1" si="156"/>
        <v>-0.49797118357800824</v>
      </c>
      <c r="Y805">
        <f t="shared" ca="1" si="156"/>
        <v>2.0623114406555669</v>
      </c>
      <c r="Z805">
        <f t="shared" ca="1" si="156"/>
        <v>-1.5775772252552658</v>
      </c>
      <c r="AB805">
        <v>800</v>
      </c>
      <c r="AC805" s="24">
        <f t="shared" ca="1" si="149"/>
        <v>-0.49797118357800824</v>
      </c>
      <c r="AD805" s="24">
        <f t="shared" ca="1" si="150"/>
        <v>0.58285972267379504</v>
      </c>
      <c r="AE805" s="24">
        <f t="shared" ca="1" si="151"/>
        <v>-0.6378082567574217</v>
      </c>
      <c r="AF805" s="24"/>
      <c r="AG805">
        <v>800</v>
      </c>
      <c r="AH805">
        <f t="shared" ca="1" si="157"/>
        <v>306.83250711611709</v>
      </c>
      <c r="AI805">
        <f t="shared" ca="1" si="158"/>
        <v>166.26367392005679</v>
      </c>
      <c r="AJ805">
        <f t="shared" ca="1" si="159"/>
        <v>52.4333484393755</v>
      </c>
      <c r="AL805">
        <v>800</v>
      </c>
      <c r="AM805" s="4">
        <f t="shared" ca="1" si="152"/>
        <v>-8.4264972360277302E-3</v>
      </c>
      <c r="AN805" s="4">
        <f t="shared" ca="1" si="153"/>
        <v>1.219821916613073E-2</v>
      </c>
      <c r="AO805" s="4">
        <f t="shared" ca="1" si="154"/>
        <v>-1.1251185247136641E-2</v>
      </c>
      <c r="AP805" s="4">
        <f t="shared" ca="1" si="155"/>
        <v>-1.0240170784970191E-3</v>
      </c>
    </row>
    <row r="806" spans="20:42" x14ac:dyDescent="0.3">
      <c r="T806">
        <v>800</v>
      </c>
      <c r="U806" s="4">
        <v>1.3829496212234548E-2</v>
      </c>
      <c r="V806" s="4"/>
      <c r="W806">
        <v>801</v>
      </c>
      <c r="X806">
        <f t="shared" ca="1" si="156"/>
        <v>0.49030701556486794</v>
      </c>
      <c r="Y806">
        <f t="shared" ca="1" si="156"/>
        <v>-1.8509045343269605E-2</v>
      </c>
      <c r="Z806">
        <f t="shared" ca="1" si="156"/>
        <v>0.18726801258912498</v>
      </c>
      <c r="AB806">
        <v>801</v>
      </c>
      <c r="AC806" s="24">
        <f t="shared" ca="1" si="149"/>
        <v>0.49030701556486794</v>
      </c>
      <c r="AD806" s="24">
        <f t="shared" ca="1" si="150"/>
        <v>0.41753363329683424</v>
      </c>
      <c r="AE806" s="24">
        <f t="shared" ca="1" si="151"/>
        <v>0.49013381513314758</v>
      </c>
      <c r="AF806" s="24"/>
      <c r="AG806">
        <v>801</v>
      </c>
      <c r="AH806">
        <f t="shared" ca="1" si="157"/>
        <v>312.03246994765192</v>
      </c>
      <c r="AI806">
        <f t="shared" ca="1" si="158"/>
        <v>165.69314381726196</v>
      </c>
      <c r="AJ806">
        <f t="shared" ca="1" si="159"/>
        <v>53.493511036195258</v>
      </c>
      <c r="AL806">
        <v>801</v>
      </c>
      <c r="AM806" s="4">
        <f t="shared" ca="1" si="152"/>
        <v>8.3779326712511981E-3</v>
      </c>
      <c r="AN806" s="4">
        <f t="shared" ca="1" si="153"/>
        <v>8.7248834673943065E-3</v>
      </c>
      <c r="AO806" s="4">
        <f t="shared" ca="1" si="154"/>
        <v>8.7405669916669204E-3</v>
      </c>
      <c r="AP806" s="4">
        <f t="shared" ca="1" si="155"/>
        <v>8.6255032858331589E-3</v>
      </c>
    </row>
    <row r="807" spans="20:42" x14ac:dyDescent="0.3">
      <c r="T807">
        <v>801</v>
      </c>
      <c r="U807" s="4">
        <v>1.3901856311300321E-2</v>
      </c>
      <c r="V807" s="4"/>
      <c r="W807">
        <v>802</v>
      </c>
      <c r="X807">
        <f t="shared" ca="1" si="156"/>
        <v>-0.45905782260386641</v>
      </c>
      <c r="Y807">
        <f t="shared" ca="1" si="156"/>
        <v>0.6643715368535974</v>
      </c>
      <c r="Z807">
        <f t="shared" ca="1" si="156"/>
        <v>-1.2832596824407894</v>
      </c>
      <c r="AB807">
        <v>802</v>
      </c>
      <c r="AC807" s="24">
        <f t="shared" ca="1" si="149"/>
        <v>-0.45905782260386641</v>
      </c>
      <c r="AD807" s="24">
        <f t="shared" ca="1" si="150"/>
        <v>-7.209923457622569E-2</v>
      </c>
      <c r="AE807" s="24">
        <f t="shared" ca="1" si="151"/>
        <v>-0.84257198820841939</v>
      </c>
      <c r="AF807" s="24"/>
      <c r="AG807">
        <v>802</v>
      </c>
      <c r="AH807">
        <f t="shared" ca="1" si="157"/>
        <v>307.03560675050966</v>
      </c>
      <c r="AI807">
        <f t="shared" ca="1" si="158"/>
        <v>164.01491036068694</v>
      </c>
      <c r="AJ807">
        <f t="shared" ca="1" si="159"/>
        <v>52.243154860344475</v>
      </c>
      <c r="AL807">
        <v>802</v>
      </c>
      <c r="AM807" s="4">
        <f t="shared" ca="1" si="152"/>
        <v>-7.7701514733915511E-3</v>
      </c>
      <c r="AN807" s="4">
        <f t="shared" ca="1" si="153"/>
        <v>-1.4920501299411359E-3</v>
      </c>
      <c r="AO807" s="4">
        <f t="shared" ca="1" si="154"/>
        <v>-1.4837713314440282E-2</v>
      </c>
      <c r="AP807" s="4">
        <f t="shared" ca="1" si="155"/>
        <v>-7.3791794883260042E-3</v>
      </c>
    </row>
    <row r="808" spans="20:42" x14ac:dyDescent="0.3">
      <c r="T808">
        <v>802</v>
      </c>
      <c r="U808" s="4">
        <v>1.3933599505517823E-2</v>
      </c>
      <c r="V808" s="4"/>
      <c r="W808">
        <v>803</v>
      </c>
      <c r="X808">
        <f t="shared" ca="1" si="156"/>
        <v>-5.9668340721441941E-2</v>
      </c>
      <c r="Y808">
        <f t="shared" ca="1" si="156"/>
        <v>-7.4602566980395538E-2</v>
      </c>
      <c r="Z808">
        <f t="shared" ca="1" si="156"/>
        <v>-0.8337361956701459</v>
      </c>
      <c r="AB808">
        <v>803</v>
      </c>
      <c r="AC808" s="24">
        <f t="shared" ca="1" si="149"/>
        <v>-5.9668340721441941E-2</v>
      </c>
      <c r="AD808" s="24">
        <f t="shared" ca="1" si="150"/>
        <v>-8.8681648841960475E-2</v>
      </c>
      <c r="AE808" s="24">
        <f t="shared" ca="1" si="151"/>
        <v>-0.49243072814813316</v>
      </c>
      <c r="AF808" s="24"/>
      <c r="AG808">
        <v>803</v>
      </c>
      <c r="AH808">
        <f t="shared" ca="1" si="157"/>
        <v>309.12791794652156</v>
      </c>
      <c r="AI808">
        <f t="shared" ca="1" si="158"/>
        <v>163.95837212802977</v>
      </c>
      <c r="AJ808">
        <f t="shared" ca="1" si="159"/>
        <v>52.568801655104792</v>
      </c>
      <c r="AL808">
        <v>803</v>
      </c>
      <c r="AM808" s="4">
        <f t="shared" ca="1" si="152"/>
        <v>-1.0085460587583306E-3</v>
      </c>
      <c r="AN808" s="4">
        <f t="shared" ca="1" si="153"/>
        <v>-1.8362497801781563E-3</v>
      </c>
      <c r="AO808" s="4">
        <f t="shared" ca="1" si="154"/>
        <v>-8.696909953014309E-3</v>
      </c>
      <c r="AP808" s="4">
        <f t="shared" ca="1" si="155"/>
        <v>-3.6461367156030546E-3</v>
      </c>
    </row>
    <row r="809" spans="20:42" x14ac:dyDescent="0.3">
      <c r="T809">
        <v>803</v>
      </c>
      <c r="U809" s="4">
        <v>1.3969760610429137E-2</v>
      </c>
      <c r="V809" s="4"/>
      <c r="W809">
        <v>804</v>
      </c>
      <c r="X809">
        <f t="shared" ca="1" si="156"/>
        <v>0.39590053365143341</v>
      </c>
      <c r="Y809">
        <f t="shared" ca="1" si="156"/>
        <v>1.4118748284287528</v>
      </c>
      <c r="Z809">
        <f t="shared" ca="1" si="156"/>
        <v>-0.26432031223860836</v>
      </c>
      <c r="AB809">
        <v>804</v>
      </c>
      <c r="AC809" s="24">
        <f t="shared" ca="1" si="149"/>
        <v>0.39590053365143341</v>
      </c>
      <c r="AD809" s="24">
        <f t="shared" ca="1" si="150"/>
        <v>1.0401901972553165</v>
      </c>
      <c r="AE809" s="24">
        <f t="shared" ca="1" si="151"/>
        <v>0.57874125962861656</v>
      </c>
      <c r="AF809" s="24"/>
      <c r="AG809">
        <v>804</v>
      </c>
      <c r="AH809">
        <f t="shared" ca="1" si="157"/>
        <v>311.53195345914276</v>
      </c>
      <c r="AI809">
        <f t="shared" ca="1" si="158"/>
        <v>167.85214721000136</v>
      </c>
      <c r="AJ809">
        <f t="shared" ca="1" si="159"/>
        <v>53.577696461323406</v>
      </c>
      <c r="AL809">
        <v>804</v>
      </c>
      <c r="AM809" s="4">
        <f t="shared" ca="1" si="152"/>
        <v>6.7604414465864959E-3</v>
      </c>
      <c r="AN809" s="4">
        <f t="shared" ca="1" si="153"/>
        <v>2.186870098194782E-2</v>
      </c>
      <c r="AO809" s="4">
        <f t="shared" ca="1" si="154"/>
        <v>1.032807268780167E-2</v>
      </c>
      <c r="AP809" s="4">
        <f t="shared" ca="1" si="155"/>
        <v>1.387403463309558E-2</v>
      </c>
    </row>
    <row r="810" spans="20:42" x14ac:dyDescent="0.3">
      <c r="T810">
        <v>804</v>
      </c>
      <c r="U810" s="4">
        <v>1.4014819061155915E-2</v>
      </c>
      <c r="V810" s="4"/>
      <c r="W810">
        <v>805</v>
      </c>
      <c r="X810">
        <f t="shared" ca="1" si="156"/>
        <v>0.56921848292531263</v>
      </c>
      <c r="Y810">
        <f t="shared" ca="1" si="156"/>
        <v>0.39211859131026916</v>
      </c>
      <c r="Z810">
        <f t="shared" ca="1" si="156"/>
        <v>-1.7909953872488467</v>
      </c>
      <c r="AB810">
        <v>805</v>
      </c>
      <c r="AC810" s="24">
        <f t="shared" ca="1" si="149"/>
        <v>0.56921848292531263</v>
      </c>
      <c r="AD810" s="24">
        <f t="shared" ca="1" si="150"/>
        <v>0.6885330889778889</v>
      </c>
      <c r="AE810" s="24">
        <f t="shared" ca="1" si="151"/>
        <v>-0.33610348996096462</v>
      </c>
      <c r="AF810" s="24"/>
      <c r="AG810">
        <v>805</v>
      </c>
      <c r="AH810">
        <f t="shared" ca="1" si="157"/>
        <v>312.45145319222797</v>
      </c>
      <c r="AI810">
        <f t="shared" ca="1" si="158"/>
        <v>166.62937487995734</v>
      </c>
      <c r="AJ810">
        <f t="shared" ca="1" si="159"/>
        <v>52.714847563168668</v>
      </c>
      <c r="AL810">
        <v>805</v>
      </c>
      <c r="AM810" s="4">
        <f t="shared" ca="1" si="152"/>
        <v>9.7319374581901208E-3</v>
      </c>
      <c r="AN810" s="4">
        <f t="shared" ca="1" si="153"/>
        <v>1.4424573556306441E-2</v>
      </c>
      <c r="AO810" s="4">
        <f t="shared" ca="1" si="154"/>
        <v>-5.9428856002758934E-3</v>
      </c>
      <c r="AP810" s="4">
        <f t="shared" ca="1" si="155"/>
        <v>6.9065449798968448E-3</v>
      </c>
    </row>
    <row r="811" spans="20:42" x14ac:dyDescent="0.3">
      <c r="T811">
        <v>805</v>
      </c>
      <c r="U811" s="4">
        <v>1.4031363695415799E-2</v>
      </c>
      <c r="V811" s="4"/>
      <c r="W811">
        <v>806</v>
      </c>
      <c r="X811">
        <f t="shared" ca="1" si="156"/>
        <v>-3.7338982246990386E-2</v>
      </c>
      <c r="Y811">
        <f t="shared" ca="1" si="156"/>
        <v>0.41976460674216853</v>
      </c>
      <c r="Z811">
        <f t="shared" ca="1" si="156"/>
        <v>2.0055485537451698</v>
      </c>
      <c r="AB811">
        <v>806</v>
      </c>
      <c r="AC811" s="24">
        <f t="shared" ca="1" si="149"/>
        <v>-3.7338982246990386E-2</v>
      </c>
      <c r="AD811" s="24">
        <f t="shared" ca="1" si="150"/>
        <v>0.17434316281972326</v>
      </c>
      <c r="AE811" s="24">
        <f t="shared" ca="1" si="151"/>
        <v>1.1032444889872004</v>
      </c>
      <c r="AF811" s="24"/>
      <c r="AG811">
        <v>806</v>
      </c>
      <c r="AH811">
        <f t="shared" ca="1" si="157"/>
        <v>309.24531636956863</v>
      </c>
      <c r="AI811">
        <f t="shared" ca="1" si="158"/>
        <v>164.85746461399393</v>
      </c>
      <c r="AJ811">
        <f t="shared" ca="1" si="159"/>
        <v>54.078744232917423</v>
      </c>
      <c r="AL811">
        <v>806</v>
      </c>
      <c r="AM811" s="4">
        <f t="shared" ca="1" si="152"/>
        <v>-6.2915612170810764E-4</v>
      </c>
      <c r="AN811" s="4">
        <f t="shared" ca="1" si="153"/>
        <v>3.6373440103460997E-3</v>
      </c>
      <c r="AO811" s="4">
        <f t="shared" ca="1" si="154"/>
        <v>1.9776456303258749E-2</v>
      </c>
      <c r="AP811" s="4">
        <f t="shared" ca="1" si="155"/>
        <v>7.1991276586036322E-3</v>
      </c>
    </row>
    <row r="812" spans="20:42" x14ac:dyDescent="0.3">
      <c r="T812">
        <v>806</v>
      </c>
      <c r="U812" s="4">
        <v>1.4129172855653137E-2</v>
      </c>
      <c r="V812" s="4"/>
      <c r="W812">
        <v>807</v>
      </c>
      <c r="X812">
        <f t="shared" ca="1" si="156"/>
        <v>-0.87990138232863879</v>
      </c>
      <c r="Y812">
        <f t="shared" ca="1" si="156"/>
        <v>-0.65125575987892736</v>
      </c>
      <c r="Z812">
        <f t="shared" ca="1" si="156"/>
        <v>-1.2841936261292244</v>
      </c>
      <c r="AB812">
        <v>807</v>
      </c>
      <c r="AC812" s="24">
        <f t="shared" ca="1" si="149"/>
        <v>-0.87990138232863879</v>
      </c>
      <c r="AD812" s="24">
        <f t="shared" ca="1" si="150"/>
        <v>-1.0865692957495685</v>
      </c>
      <c r="AE812" s="24">
        <f t="shared" ca="1" si="151"/>
        <v>-1.5497242560910685</v>
      </c>
      <c r="AF812" s="24"/>
      <c r="AG812">
        <v>807</v>
      </c>
      <c r="AH812">
        <f t="shared" ca="1" si="157"/>
        <v>304.84622381582091</v>
      </c>
      <c r="AI812">
        <f t="shared" ca="1" si="158"/>
        <v>160.59167728809661</v>
      </c>
      <c r="AJ812">
        <f t="shared" ca="1" si="159"/>
        <v>51.591610318889302</v>
      </c>
      <c r="AL812">
        <v>807</v>
      </c>
      <c r="AM812" s="4">
        <f t="shared" ca="1" si="152"/>
        <v>-1.4845458212711105E-2</v>
      </c>
      <c r="AN812" s="4">
        <f t="shared" ca="1" si="153"/>
        <v>-2.233238366865864E-2</v>
      </c>
      <c r="AO812" s="4">
        <f t="shared" ca="1" si="154"/>
        <v>-2.7124052300922408E-2</v>
      </c>
      <c r="AP812" s="4">
        <f t="shared" ca="1" si="155"/>
        <v>-2.152380662155351E-2</v>
      </c>
    </row>
    <row r="813" spans="20:42" x14ac:dyDescent="0.3">
      <c r="T813">
        <v>807</v>
      </c>
      <c r="U813" s="4">
        <v>1.4193549470747201E-2</v>
      </c>
      <c r="V813" s="4"/>
      <c r="W813">
        <v>808</v>
      </c>
      <c r="X813">
        <f t="shared" ca="1" si="156"/>
        <v>-2.1386085525585412</v>
      </c>
      <c r="Y813">
        <f t="shared" ca="1" si="156"/>
        <v>1.5991758848456823</v>
      </c>
      <c r="Z813">
        <f t="shared" ca="1" si="156"/>
        <v>-0.95961954183367693</v>
      </c>
      <c r="AB813">
        <v>808</v>
      </c>
      <c r="AC813" s="24">
        <f t="shared" ca="1" si="149"/>
        <v>-2.1386085525585412</v>
      </c>
      <c r="AD813" s="24">
        <f t="shared" ca="1" si="150"/>
        <v>-1.0729900665697931</v>
      </c>
      <c r="AE813" s="24">
        <f t="shared" ca="1" si="151"/>
        <v>-1.7911644461620275</v>
      </c>
      <c r="AF813" s="24"/>
      <c r="AG813">
        <v>808</v>
      </c>
      <c r="AH813">
        <f t="shared" ca="1" si="157"/>
        <v>298.39070154566861</v>
      </c>
      <c r="AI813">
        <f t="shared" ca="1" si="158"/>
        <v>160.63702396461775</v>
      </c>
      <c r="AJ813">
        <f t="shared" ca="1" si="159"/>
        <v>51.371021942682439</v>
      </c>
      <c r="AL813">
        <v>808</v>
      </c>
      <c r="AM813" s="4">
        <f t="shared" ca="1" si="152"/>
        <v>-3.5707409541627211E-2</v>
      </c>
      <c r="AN813" s="4">
        <f t="shared" ca="1" si="153"/>
        <v>-2.2056317200634612E-2</v>
      </c>
      <c r="AO813" s="4">
        <f t="shared" ca="1" si="154"/>
        <v>-3.1283742689091509E-2</v>
      </c>
      <c r="AP813" s="4">
        <f t="shared" ca="1" si="155"/>
        <v>-2.8919872549469462E-2</v>
      </c>
    </row>
    <row r="814" spans="20:42" x14ac:dyDescent="0.3">
      <c r="T814">
        <v>808</v>
      </c>
      <c r="U814" s="4">
        <v>1.4308705830288381E-2</v>
      </c>
      <c r="V814" s="4"/>
      <c r="W814">
        <v>809</v>
      </c>
      <c r="X814">
        <f t="shared" ca="1" si="156"/>
        <v>0.45995301890329138</v>
      </c>
      <c r="Y814">
        <f t="shared" ca="1" si="156"/>
        <v>-0.15360080882012819</v>
      </c>
      <c r="Z814">
        <f t="shared" ca="1" si="156"/>
        <v>-0.39807186945167289</v>
      </c>
      <c r="AB814">
        <v>809</v>
      </c>
      <c r="AC814" s="24">
        <f t="shared" ca="1" si="149"/>
        <v>0.45995301890329138</v>
      </c>
      <c r="AD814" s="24">
        <f t="shared" ca="1" si="150"/>
        <v>0.32455521835288714</v>
      </c>
      <c r="AE814" s="24">
        <f t="shared" ca="1" si="151"/>
        <v>0.13099738275636538</v>
      </c>
      <c r="AF814" s="24"/>
      <c r="AG814">
        <v>809</v>
      </c>
      <c r="AH814">
        <f t="shared" ca="1" si="157"/>
        <v>311.87145398652336</v>
      </c>
      <c r="AI814">
        <f t="shared" ca="1" si="158"/>
        <v>165.37314161661939</v>
      </c>
      <c r="AJ814">
        <f t="shared" ca="1" si="159"/>
        <v>53.153649997865585</v>
      </c>
      <c r="AL814">
        <v>809</v>
      </c>
      <c r="AM814" s="4">
        <f t="shared" ca="1" si="152"/>
        <v>7.8575863687104786E-3</v>
      </c>
      <c r="AN814" s="4">
        <f t="shared" ca="1" si="153"/>
        <v>6.7767389931214783E-3</v>
      </c>
      <c r="AO814" s="4">
        <f t="shared" ca="1" si="154"/>
        <v>2.3317220708114483E-3</v>
      </c>
      <c r="AP814" s="4">
        <f t="shared" ca="1" si="155"/>
        <v>5.7674881291051687E-3</v>
      </c>
    </row>
    <row r="815" spans="20:42" x14ac:dyDescent="0.3">
      <c r="T815">
        <v>809</v>
      </c>
      <c r="U815" s="4">
        <v>1.4497679071406221E-2</v>
      </c>
      <c r="V815" s="4"/>
      <c r="W815">
        <v>810</v>
      </c>
      <c r="X815">
        <f t="shared" ca="1" si="156"/>
        <v>0.5615829001768412</v>
      </c>
      <c r="Y815">
        <f t="shared" ca="1" si="156"/>
        <v>0.94614204812301783</v>
      </c>
      <c r="Z815">
        <f t="shared" ca="1" si="156"/>
        <v>-0.42581894277679361</v>
      </c>
      <c r="AB815">
        <v>810</v>
      </c>
      <c r="AC815" s="24">
        <f t="shared" ca="1" si="149"/>
        <v>0.5615829001768412</v>
      </c>
      <c r="AD815" s="24">
        <f t="shared" ca="1" si="150"/>
        <v>0.95487812271989347</v>
      </c>
      <c r="AE815" s="24">
        <f t="shared" ca="1" si="151"/>
        <v>0.50344864303955328</v>
      </c>
      <c r="AF815" s="24"/>
      <c r="AG815">
        <v>810</v>
      </c>
      <c r="AH815">
        <f t="shared" ca="1" si="157"/>
        <v>312.41088722103859</v>
      </c>
      <c r="AI815">
        <f t="shared" ca="1" si="158"/>
        <v>167.55468055215658</v>
      </c>
      <c r="AJ815">
        <f t="shared" ca="1" si="159"/>
        <v>53.506152927629088</v>
      </c>
      <c r="AL815">
        <v>810</v>
      </c>
      <c r="AM815" s="4">
        <f t="shared" ca="1" si="152"/>
        <v>9.6008426712546058E-3</v>
      </c>
      <c r="AN815" s="4">
        <f t="shared" ca="1" si="153"/>
        <v>2.0057750855364098E-2</v>
      </c>
      <c r="AO815" s="4">
        <f t="shared" ca="1" si="154"/>
        <v>8.978958312142904E-3</v>
      </c>
      <c r="AP815" s="4">
        <f t="shared" ca="1" si="155"/>
        <v>1.3597040637164893E-2</v>
      </c>
    </row>
    <row r="816" spans="20:42" x14ac:dyDescent="0.3">
      <c r="T816">
        <v>810</v>
      </c>
      <c r="U816" s="4">
        <v>1.456322632598972E-2</v>
      </c>
      <c r="V816" s="4"/>
      <c r="W816">
        <v>811</v>
      </c>
      <c r="X816">
        <f t="shared" ca="1" si="156"/>
        <v>-2.1013271298350529</v>
      </c>
      <c r="Y816">
        <f t="shared" ca="1" si="156"/>
        <v>0.12599093821798751</v>
      </c>
      <c r="Z816">
        <f t="shared" ca="1" si="156"/>
        <v>0.50694432423406333</v>
      </c>
      <c r="AB816">
        <v>811</v>
      </c>
      <c r="AC816" s="24">
        <f t="shared" ca="1" si="149"/>
        <v>-2.1013271298350529</v>
      </c>
      <c r="AD816" s="24">
        <f t="shared" ca="1" si="150"/>
        <v>-1.7664453168479037</v>
      </c>
      <c r="AE816" s="24">
        <f t="shared" ca="1" si="151"/>
        <v>-1.4230981732263794</v>
      </c>
      <c r="AF816" s="24"/>
      <c r="AG816">
        <v>811</v>
      </c>
      <c r="AH816">
        <f t="shared" ca="1" si="157"/>
        <v>298.57992752716922</v>
      </c>
      <c r="AI816">
        <f t="shared" ca="1" si="158"/>
        <v>158.33757895138044</v>
      </c>
      <c r="AJ816">
        <f t="shared" ca="1" si="159"/>
        <v>51.70767882894711</v>
      </c>
      <c r="AL816">
        <v>811</v>
      </c>
      <c r="AM816" s="4">
        <f t="shared" ca="1" si="152"/>
        <v>-3.5095898489379107E-2</v>
      </c>
      <c r="AN816" s="4">
        <f t="shared" ca="1" si="153"/>
        <v>-3.6055130607033581E-2</v>
      </c>
      <c r="AO816" s="4">
        <f t="shared" ca="1" si="154"/>
        <v>-2.4935319268118206E-2</v>
      </c>
      <c r="AP816" s="4">
        <f t="shared" ca="1" si="155"/>
        <v>-3.2431417570062626E-2</v>
      </c>
    </row>
    <row r="817" spans="20:42" x14ac:dyDescent="0.3">
      <c r="T817">
        <v>811</v>
      </c>
      <c r="U817" s="4">
        <v>1.468430303520798E-2</v>
      </c>
      <c r="V817" s="4"/>
      <c r="W817">
        <v>812</v>
      </c>
      <c r="X817">
        <f t="shared" ca="1" si="156"/>
        <v>0.53496452130512873</v>
      </c>
      <c r="Y817">
        <f t="shared" ca="1" si="156"/>
        <v>0.41271352473302636</v>
      </c>
      <c r="Z817">
        <f t="shared" ca="1" si="156"/>
        <v>-0.26845804373462745</v>
      </c>
      <c r="AB817">
        <v>812</v>
      </c>
      <c r="AC817" s="24">
        <f t="shared" ca="1" si="149"/>
        <v>0.53496452130512873</v>
      </c>
      <c r="AD817" s="24">
        <f t="shared" ca="1" si="150"/>
        <v>0.66887402823881148</v>
      </c>
      <c r="AE817" s="24">
        <f t="shared" ca="1" si="151"/>
        <v>0.41433396484189688</v>
      </c>
      <c r="AF817" s="24"/>
      <c r="AG817">
        <v>812</v>
      </c>
      <c r="AH817">
        <f t="shared" ca="1" si="157"/>
        <v>312.26951150648074</v>
      </c>
      <c r="AI817">
        <f t="shared" ca="1" si="158"/>
        <v>166.56128045181563</v>
      </c>
      <c r="AJ817">
        <f t="shared" ca="1" si="159"/>
        <v>53.421599021398208</v>
      </c>
      <c r="AL817">
        <v>812</v>
      </c>
      <c r="AM817" s="4">
        <f t="shared" ca="1" si="152"/>
        <v>9.1439666583201795E-3</v>
      </c>
      <c r="AN817" s="4">
        <f t="shared" ca="1" si="153"/>
        <v>1.4010020832460723E-2</v>
      </c>
      <c r="AO817" s="4">
        <f t="shared" ca="1" si="154"/>
        <v>7.384504075347964E-3</v>
      </c>
      <c r="AP817" s="4">
        <f t="shared" ca="1" si="155"/>
        <v>1.0562549553084733E-2</v>
      </c>
    </row>
    <row r="818" spans="20:42" x14ac:dyDescent="0.3">
      <c r="T818">
        <v>812</v>
      </c>
      <c r="U818" s="4">
        <v>1.4720855807211806E-2</v>
      </c>
      <c r="V818" s="4"/>
      <c r="W818">
        <v>813</v>
      </c>
      <c r="X818">
        <f t="shared" ca="1" si="156"/>
        <v>-0.56032259495440584</v>
      </c>
      <c r="Y818">
        <f t="shared" ca="1" si="156"/>
        <v>-0.46286422447379139</v>
      </c>
      <c r="Z818">
        <f t="shared" ca="1" si="156"/>
        <v>-0.38366517160979141</v>
      </c>
      <c r="AB818">
        <v>813</v>
      </c>
      <c r="AC818" s="24">
        <f t="shared" ca="1" si="149"/>
        <v>-0.56032259495440584</v>
      </c>
      <c r="AD818" s="24">
        <f t="shared" ca="1" si="150"/>
        <v>-0.71565127453121702</v>
      </c>
      <c r="AE818" s="24">
        <f t="shared" ca="1" si="151"/>
        <v>-0.77983847429392439</v>
      </c>
      <c r="AF818" s="24"/>
      <c r="AG818">
        <v>813</v>
      </c>
      <c r="AH818">
        <f t="shared" ca="1" si="157"/>
        <v>306.50735784828805</v>
      </c>
      <c r="AI818">
        <f t="shared" ca="1" si="158"/>
        <v>161.83493932812249</v>
      </c>
      <c r="AJ818">
        <f t="shared" ca="1" si="159"/>
        <v>52.301351092984639</v>
      </c>
      <c r="AL818">
        <v>813</v>
      </c>
      <c r="AM818" s="4">
        <f t="shared" ca="1" si="152"/>
        <v>-9.4772639929554536E-3</v>
      </c>
      <c r="AN818" s="4">
        <f t="shared" ca="1" si="153"/>
        <v>-1.4763516740599947E-2</v>
      </c>
      <c r="AO818" s="4">
        <f t="shared" ca="1" si="154"/>
        <v>-1.3740292345558625E-2</v>
      </c>
      <c r="AP818" s="4">
        <f t="shared" ca="1" si="155"/>
        <v>-1.2870673597794202E-2</v>
      </c>
    </row>
    <row r="819" spans="20:42" x14ac:dyDescent="0.3">
      <c r="T819">
        <v>813</v>
      </c>
      <c r="U819" s="4">
        <v>1.4730392600099651E-2</v>
      </c>
      <c r="V819" s="4"/>
      <c r="W819">
        <v>814</v>
      </c>
      <c r="X819">
        <f t="shared" ca="1" si="156"/>
        <v>-0.32331188207746059</v>
      </c>
      <c r="Y819">
        <f t="shared" ca="1" si="156"/>
        <v>-3.3658911843924402E-2</v>
      </c>
      <c r="Z819">
        <f t="shared" ca="1" si="156"/>
        <v>0.56662990438434835</v>
      </c>
      <c r="AB819">
        <v>814</v>
      </c>
      <c r="AC819" s="24">
        <f t="shared" ca="1" si="149"/>
        <v>-0.32331188207746059</v>
      </c>
      <c r="AD819" s="24">
        <f t="shared" ca="1" si="150"/>
        <v>-0.2979235701847448</v>
      </c>
      <c r="AE819" s="24">
        <f t="shared" ca="1" si="151"/>
        <v>1.438618655092222E-2</v>
      </c>
      <c r="AF819" s="24"/>
      <c r="AG819">
        <v>814</v>
      </c>
      <c r="AH819">
        <f t="shared" ca="1" si="157"/>
        <v>307.74515554491722</v>
      </c>
      <c r="AI819">
        <f t="shared" ca="1" si="158"/>
        <v>163.24662790357706</v>
      </c>
      <c r="AJ819">
        <f t="shared" ca="1" si="159"/>
        <v>53.043762542187416</v>
      </c>
      <c r="AL819">
        <v>814</v>
      </c>
      <c r="AM819" s="4">
        <f t="shared" ca="1" si="152"/>
        <v>-5.4771422024201266E-3</v>
      </c>
      <c r="AN819" s="4">
        <f t="shared" ca="1" si="153"/>
        <v>-6.1692842879996768E-3</v>
      </c>
      <c r="AO819" s="4">
        <f t="shared" ca="1" si="154"/>
        <v>2.5954673217887247E-4</v>
      </c>
      <c r="AP819" s="4">
        <f t="shared" ca="1" si="155"/>
        <v>-4.0329923562722469E-3</v>
      </c>
    </row>
    <row r="820" spans="20:42" x14ac:dyDescent="0.3">
      <c r="T820">
        <v>814</v>
      </c>
      <c r="U820" s="4">
        <v>1.474861757992616E-2</v>
      </c>
      <c r="V820" s="4"/>
      <c r="W820">
        <v>815</v>
      </c>
      <c r="X820">
        <f t="shared" ca="1" si="156"/>
        <v>0.93478949873460859</v>
      </c>
      <c r="Y820">
        <f t="shared" ca="1" si="156"/>
        <v>9.9483678355584276E-2</v>
      </c>
      <c r="Z820">
        <f t="shared" ca="1" si="156"/>
        <v>-0.20428159147488334</v>
      </c>
      <c r="AB820">
        <v>815</v>
      </c>
      <c r="AC820" s="24">
        <f t="shared" ca="1" si="149"/>
        <v>0.93478949873460859</v>
      </c>
      <c r="AD820" s="24">
        <f t="shared" ca="1" si="150"/>
        <v>0.86245166098605996</v>
      </c>
      <c r="AE820" s="24">
        <f t="shared" ca="1" si="151"/>
        <v>0.68678635666810772</v>
      </c>
      <c r="AF820" s="24"/>
      <c r="AG820">
        <v>815</v>
      </c>
      <c r="AH820">
        <f t="shared" ca="1" si="157"/>
        <v>314.39981768780194</v>
      </c>
      <c r="AI820">
        <f t="shared" ca="1" si="158"/>
        <v>167.23300232136489</v>
      </c>
      <c r="AJ820">
        <f t="shared" ca="1" si="159"/>
        <v>53.680528779056282</v>
      </c>
      <c r="AL820">
        <v>815</v>
      </c>
      <c r="AM820" s="4">
        <f t="shared" ca="1" si="152"/>
        <v>1.602835834819083E-2</v>
      </c>
      <c r="AN820" s="4">
        <f t="shared" ca="1" si="153"/>
        <v>1.8099402861030622E-2</v>
      </c>
      <c r="AO820" s="4">
        <f t="shared" ca="1" si="154"/>
        <v>1.2267207519028878E-2</v>
      </c>
      <c r="AP820" s="4">
        <f t="shared" ca="1" si="155"/>
        <v>1.572843090457816E-2</v>
      </c>
    </row>
    <row r="821" spans="20:42" x14ac:dyDescent="0.3">
      <c r="T821">
        <v>815</v>
      </c>
      <c r="U821" s="4">
        <v>1.477364579191669E-2</v>
      </c>
      <c r="V821" s="4"/>
      <c r="W821">
        <v>816</v>
      </c>
      <c r="X821">
        <f t="shared" ca="1" si="156"/>
        <v>0.34034985465549661</v>
      </c>
      <c r="Y821">
        <f t="shared" ca="1" si="156"/>
        <v>-1.6624337929710005</v>
      </c>
      <c r="Z821">
        <f t="shared" ca="1" si="156"/>
        <v>1.5815447852631517</v>
      </c>
      <c r="AB821">
        <v>816</v>
      </c>
      <c r="AC821" s="24">
        <f t="shared" ca="1" si="149"/>
        <v>0.34034985465549661</v>
      </c>
      <c r="AD821" s="24">
        <f t="shared" ca="1" si="150"/>
        <v>-0.52298255741798427</v>
      </c>
      <c r="AE821" s="24">
        <f t="shared" ca="1" si="151"/>
        <v>0.62155196286905989</v>
      </c>
      <c r="AF821" s="24"/>
      <c r="AG821">
        <v>816</v>
      </c>
      <c r="AH821">
        <f t="shared" ca="1" si="157"/>
        <v>311.2378147374547</v>
      </c>
      <c r="AI821">
        <f t="shared" ca="1" si="158"/>
        <v>162.48452980771012</v>
      </c>
      <c r="AJ821">
        <f t="shared" ca="1" si="159"/>
        <v>53.618418121214816</v>
      </c>
      <c r="AL821">
        <v>816</v>
      </c>
      <c r="AM821" s="4">
        <f t="shared" ca="1" si="152"/>
        <v>5.8098897423228824E-3</v>
      </c>
      <c r="AN821" s="4">
        <f t="shared" ca="1" si="153"/>
        <v>-1.0808868613781719E-2</v>
      </c>
      <c r="AO821" s="4">
        <f t="shared" ca="1" si="154"/>
        <v>1.1095971251422032E-2</v>
      </c>
      <c r="AP821" s="4">
        <f t="shared" ca="1" si="155"/>
        <v>7.4821085261078625E-4</v>
      </c>
    </row>
    <row r="822" spans="20:42" x14ac:dyDescent="0.3">
      <c r="T822">
        <v>816</v>
      </c>
      <c r="U822" s="4">
        <v>1.4939994843944648E-2</v>
      </c>
      <c r="V822" s="4"/>
      <c r="W822">
        <v>817</v>
      </c>
      <c r="X822">
        <f t="shared" ca="1" si="156"/>
        <v>1.3491620402218742</v>
      </c>
      <c r="Y822">
        <f t="shared" ca="1" si="156"/>
        <v>1.0556497754561915</v>
      </c>
      <c r="Z822">
        <f t="shared" ca="1" si="156"/>
        <v>-0.97080714882954844</v>
      </c>
      <c r="AB822">
        <v>817</v>
      </c>
      <c r="AC822" s="24">
        <f t="shared" ca="1" si="149"/>
        <v>1.3491620402218742</v>
      </c>
      <c r="AD822" s="24">
        <f t="shared" ca="1" si="150"/>
        <v>1.6941699961745809</v>
      </c>
      <c r="AE822" s="24">
        <f t="shared" ca="1" si="151"/>
        <v>0.89993116873755019</v>
      </c>
      <c r="AF822" s="24"/>
      <c r="AG822">
        <v>817</v>
      </c>
      <c r="AH822">
        <f t="shared" ca="1" si="157"/>
        <v>316.622971727942</v>
      </c>
      <c r="AI822">
        <f t="shared" ca="1" si="158"/>
        <v>170.15005809332524</v>
      </c>
      <c r="AJ822">
        <f t="shared" ca="1" si="159"/>
        <v>53.883969220873169</v>
      </c>
      <c r="AL822">
        <v>817</v>
      </c>
      <c r="AM822" s="4">
        <f t="shared" ca="1" si="152"/>
        <v>2.3212801285755313E-2</v>
      </c>
      <c r="AN822" s="4">
        <f t="shared" ca="1" si="153"/>
        <v>3.5858174744095361E-2</v>
      </c>
      <c r="AO822" s="4">
        <f t="shared" ca="1" si="154"/>
        <v>1.6103535003469949E-2</v>
      </c>
      <c r="AP822" s="4">
        <f t="shared" ca="1" si="155"/>
        <v>2.6138170784405723E-2</v>
      </c>
    </row>
    <row r="823" spans="20:42" x14ac:dyDescent="0.3">
      <c r="T823">
        <v>817</v>
      </c>
      <c r="U823" s="4">
        <v>1.4948731785666358E-2</v>
      </c>
      <c r="V823" s="4"/>
      <c r="W823">
        <v>818</v>
      </c>
      <c r="X823">
        <f t="shared" ca="1" si="156"/>
        <v>0.12157902514202122</v>
      </c>
      <c r="Y823">
        <f t="shared" ca="1" si="156"/>
        <v>-1.4581482032250734</v>
      </c>
      <c r="Z823">
        <f t="shared" ca="1" si="156"/>
        <v>8.6254012831832733E-2</v>
      </c>
      <c r="AB823">
        <v>818</v>
      </c>
      <c r="AC823" s="24">
        <f t="shared" ca="1" si="149"/>
        <v>0.12157902514202122</v>
      </c>
      <c r="AD823" s="24">
        <f t="shared" ca="1" si="150"/>
        <v>-0.61269223489273328</v>
      </c>
      <c r="AE823" s="24">
        <f t="shared" ca="1" si="151"/>
        <v>-0.25950555891880162</v>
      </c>
      <c r="AF823" s="24"/>
      <c r="AG823">
        <v>818</v>
      </c>
      <c r="AH823">
        <f t="shared" ca="1" si="157"/>
        <v>310.0821295508353</v>
      </c>
      <c r="AI823">
        <f t="shared" ca="1" si="158"/>
        <v>162.18174620311689</v>
      </c>
      <c r="AJ823">
        <f t="shared" ca="1" si="159"/>
        <v>52.786555841607928</v>
      </c>
      <c r="AL823">
        <v>818</v>
      </c>
      <c r="AM823" s="4">
        <f t="shared" ca="1" si="152"/>
        <v>2.0751263713905121E-3</v>
      </c>
      <c r="AN823" s="4">
        <f t="shared" ca="1" si="153"/>
        <v>-1.265218783160027E-2</v>
      </c>
      <c r="AO823" s="4">
        <f t="shared" ca="1" si="154"/>
        <v>-4.5906645916030664E-3</v>
      </c>
      <c r="AP823" s="4">
        <f t="shared" ca="1" si="155"/>
        <v>-5.8155365987038743E-3</v>
      </c>
    </row>
    <row r="824" spans="20:42" x14ac:dyDescent="0.3">
      <c r="T824">
        <v>818</v>
      </c>
      <c r="U824" s="4">
        <v>1.4961750675363183E-2</v>
      </c>
      <c r="V824" s="4"/>
      <c r="W824">
        <v>819</v>
      </c>
      <c r="X824">
        <f t="shared" ca="1" si="156"/>
        <v>-0.43925333133123506</v>
      </c>
      <c r="Y824">
        <f t="shared" ca="1" si="156"/>
        <v>1.26820775887533</v>
      </c>
      <c r="Z824">
        <f t="shared" ca="1" si="156"/>
        <v>-1.1072048940556878</v>
      </c>
      <c r="AB824">
        <v>819</v>
      </c>
      <c r="AC824" s="24">
        <f t="shared" ca="1" si="149"/>
        <v>-0.43925333133123506</v>
      </c>
      <c r="AD824" s="24">
        <f t="shared" ca="1" si="150"/>
        <v>0.24266824006086984</v>
      </c>
      <c r="AE824" s="24">
        <f t="shared" ca="1" si="151"/>
        <v>-0.57036955299796199</v>
      </c>
      <c r="AF824" s="24"/>
      <c r="AG824">
        <v>819</v>
      </c>
      <c r="AH824">
        <f t="shared" ca="1" si="157"/>
        <v>307.1390235037947</v>
      </c>
      <c r="AI824">
        <f t="shared" ca="1" si="158"/>
        <v>165.09182449087649</v>
      </c>
      <c r="AJ824">
        <f t="shared" ca="1" si="159"/>
        <v>52.496139931674449</v>
      </c>
      <c r="AL824">
        <v>819</v>
      </c>
      <c r="AM824" s="4">
        <f t="shared" ca="1" si="152"/>
        <v>-7.4359453188248548E-3</v>
      </c>
      <c r="AN824" s="4">
        <f t="shared" ca="1" si="153"/>
        <v>5.0641057583067361E-3</v>
      </c>
      <c r="AO824" s="4">
        <f t="shared" ca="1" si="154"/>
        <v>-1.0067110313243477E-2</v>
      </c>
      <c r="AP824" s="4">
        <f t="shared" ca="1" si="155"/>
        <v>-3.2252743862978047E-3</v>
      </c>
    </row>
    <row r="825" spans="20:42" x14ac:dyDescent="0.3">
      <c r="T825">
        <v>819</v>
      </c>
      <c r="U825" s="4">
        <v>1.5100983557683079E-2</v>
      </c>
      <c r="V825" s="4"/>
      <c r="W825">
        <v>820</v>
      </c>
      <c r="X825">
        <f t="shared" ca="1" si="156"/>
        <v>-2.3302220922591384E-2</v>
      </c>
      <c r="Y825">
        <f t="shared" ca="1" si="156"/>
        <v>1.5303585199856082</v>
      </c>
      <c r="Z825">
        <f t="shared" ca="1" si="156"/>
        <v>0.29629984886629723</v>
      </c>
      <c r="AB825">
        <v>820</v>
      </c>
      <c r="AC825" s="24">
        <f t="shared" ca="1" si="149"/>
        <v>-2.3302220922591384E-2</v>
      </c>
      <c r="AD825" s="24">
        <f t="shared" ca="1" si="150"/>
        <v>0.73379131513085682</v>
      </c>
      <c r="AE825" s="24">
        <f t="shared" ca="1" si="151"/>
        <v>0.55380715293591376</v>
      </c>
      <c r="AF825" s="24"/>
      <c r="AG825">
        <v>820</v>
      </c>
      <c r="AH825">
        <f t="shared" ca="1" si="157"/>
        <v>309.31913860853433</v>
      </c>
      <c r="AI825">
        <f t="shared" ca="1" si="158"/>
        <v>166.78624471633754</v>
      </c>
      <c r="AJ825">
        <f t="shared" ca="1" si="159"/>
        <v>53.553993323130655</v>
      </c>
      <c r="AL825">
        <v>820</v>
      </c>
      <c r="AM825" s="4">
        <f t="shared" ca="1" si="152"/>
        <v>-3.9058890873222563E-4</v>
      </c>
      <c r="AN825" s="4">
        <f t="shared" ca="1" si="153"/>
        <v>1.5379582941587255E-2</v>
      </c>
      <c r="AO825" s="4">
        <f t="shared" ca="1" si="154"/>
        <v>9.8810966603006811E-3</v>
      </c>
      <c r="AP825" s="4">
        <f t="shared" ca="1" si="155"/>
        <v>8.9989855021054398E-3</v>
      </c>
    </row>
    <row r="826" spans="20:42" x14ac:dyDescent="0.3">
      <c r="T826">
        <v>820</v>
      </c>
      <c r="U826" s="4">
        <v>1.5115675913136405E-2</v>
      </c>
      <c r="V826" s="4"/>
      <c r="W826">
        <v>821</v>
      </c>
      <c r="X826">
        <f t="shared" ca="1" si="156"/>
        <v>-2.0488721877335032</v>
      </c>
      <c r="Y826">
        <f t="shared" ca="1" si="156"/>
        <v>5.6821115142301369E-3</v>
      </c>
      <c r="Z826">
        <f t="shared" ca="1" si="156"/>
        <v>-0.32424383213927505</v>
      </c>
      <c r="AB826">
        <v>821</v>
      </c>
      <c r="AC826" s="24">
        <f t="shared" ca="1" si="149"/>
        <v>-2.0488721877335032</v>
      </c>
      <c r="AD826" s="24">
        <f t="shared" ca="1" si="150"/>
        <v>-1.7800811775327272</v>
      </c>
      <c r="AE826" s="24">
        <f t="shared" ca="1" si="151"/>
        <v>-1.8353347550349146</v>
      </c>
      <c r="AF826" s="24"/>
      <c r="AG826">
        <v>821</v>
      </c>
      <c r="AH826">
        <f t="shared" ca="1" si="157"/>
        <v>298.84637159726196</v>
      </c>
      <c r="AI826">
        <f t="shared" ca="1" si="158"/>
        <v>158.29269500910476</v>
      </c>
      <c r="AJ826">
        <f t="shared" ca="1" si="159"/>
        <v>51.330768547576447</v>
      </c>
      <c r="AL826">
        <v>821</v>
      </c>
      <c r="AM826" s="4">
        <f t="shared" ca="1" si="152"/>
        <v>-3.4234846046286571E-2</v>
      </c>
      <c r="AN826" s="4">
        <f t="shared" ca="1" si="153"/>
        <v>-3.632837999079519E-2</v>
      </c>
      <c r="AO826" s="4">
        <f t="shared" ca="1" si="154"/>
        <v>-3.2042811066096744E-2</v>
      </c>
      <c r="AP826" s="4">
        <f t="shared" ca="1" si="155"/>
        <v>-3.4414649130033066E-2</v>
      </c>
    </row>
    <row r="827" spans="20:42" x14ac:dyDescent="0.3">
      <c r="T827">
        <v>821</v>
      </c>
      <c r="U827" s="4">
        <v>1.5223136558668251E-2</v>
      </c>
      <c r="V827" s="4"/>
      <c r="W827">
        <v>822</v>
      </c>
      <c r="X827">
        <f t="shared" ca="1" si="156"/>
        <v>-1.02775293096332</v>
      </c>
      <c r="Y827">
        <f t="shared" ca="1" si="156"/>
        <v>9.2535478674682425E-2</v>
      </c>
      <c r="Z827">
        <f t="shared" ca="1" si="156"/>
        <v>1.7255999171104555</v>
      </c>
      <c r="AB827">
        <v>822</v>
      </c>
      <c r="AC827" s="24">
        <f t="shared" ca="1" si="149"/>
        <v>-1.02775293096332</v>
      </c>
      <c r="AD827" s="24">
        <f t="shared" ca="1" si="150"/>
        <v>-0.84873082216453177</v>
      </c>
      <c r="AE827" s="24">
        <f t="shared" ca="1" si="151"/>
        <v>6.2433257156088495E-2</v>
      </c>
      <c r="AF827" s="24"/>
      <c r="AG827">
        <v>822</v>
      </c>
      <c r="AH827">
        <f t="shared" ca="1" si="157"/>
        <v>304.08075728556855</v>
      </c>
      <c r="AI827">
        <f t="shared" ca="1" si="158"/>
        <v>161.38777318342545</v>
      </c>
      <c r="AJ827">
        <f t="shared" ca="1" si="159"/>
        <v>53.089011699067221</v>
      </c>
      <c r="AL827">
        <v>822</v>
      </c>
      <c r="AM827" s="4">
        <f t="shared" ca="1" si="152"/>
        <v>-1.7319173712365354E-2</v>
      </c>
      <c r="AN827" s="4">
        <f t="shared" ca="1" si="153"/>
        <v>-1.7485823812626755E-2</v>
      </c>
      <c r="AO827" s="4">
        <f t="shared" ca="1" si="154"/>
        <v>1.112821443123746E-3</v>
      </c>
      <c r="AP827" s="4">
        <f t="shared" ca="1" si="155"/>
        <v>-1.1856235205823185E-2</v>
      </c>
    </row>
    <row r="828" spans="20:42" x14ac:dyDescent="0.3">
      <c r="T828">
        <v>822</v>
      </c>
      <c r="U828" s="4">
        <v>1.5239717058021563E-2</v>
      </c>
      <c r="V828" s="4"/>
      <c r="W828">
        <v>823</v>
      </c>
      <c r="X828">
        <f t="shared" ca="1" si="156"/>
        <v>-0.24058043804425033</v>
      </c>
      <c r="Y828">
        <f t="shared" ca="1" si="156"/>
        <v>0.20994558438143304</v>
      </c>
      <c r="Z828">
        <f t="shared" ca="1" si="156"/>
        <v>-9.1427397585892675E-2</v>
      </c>
      <c r="AB828">
        <v>823</v>
      </c>
      <c r="AC828" s="24">
        <f t="shared" ca="1" si="149"/>
        <v>-0.24058043804425033</v>
      </c>
      <c r="AD828" s="24">
        <f t="shared" ca="1" si="150"/>
        <v>-0.10589898820590865</v>
      </c>
      <c r="AE828" s="24">
        <f t="shared" ca="1" si="151"/>
        <v>-0.18481426920533434</v>
      </c>
      <c r="AF828" s="24"/>
      <c r="AG828">
        <v>823</v>
      </c>
      <c r="AH828">
        <f t="shared" ca="1" si="157"/>
        <v>308.17839967362278</v>
      </c>
      <c r="AI828">
        <f t="shared" ca="1" si="158"/>
        <v>163.89968972250992</v>
      </c>
      <c r="AJ828">
        <f t="shared" ca="1" si="159"/>
        <v>52.856573121981569</v>
      </c>
      <c r="AL828">
        <v>823</v>
      </c>
      <c r="AM828" s="4">
        <f t="shared" ca="1" si="152"/>
        <v>-4.0770513114966045E-3</v>
      </c>
      <c r="AN828" s="4">
        <f t="shared" ca="1" si="153"/>
        <v>-2.1935029610029577E-3</v>
      </c>
      <c r="AO828" s="4">
        <f t="shared" ca="1" si="154"/>
        <v>-3.2703311579734828E-3</v>
      </c>
      <c r="AP828" s="4">
        <f t="shared" ca="1" si="155"/>
        <v>-3.0816159252422095E-3</v>
      </c>
    </row>
    <row r="829" spans="20:42" x14ac:dyDescent="0.3">
      <c r="T829">
        <v>823</v>
      </c>
      <c r="U829" s="4">
        <v>1.5329088989152129E-2</v>
      </c>
      <c r="V829" s="4"/>
      <c r="W829">
        <v>824</v>
      </c>
      <c r="X829">
        <f t="shared" ca="1" si="156"/>
        <v>-0.66119646281900679</v>
      </c>
      <c r="Y829">
        <f t="shared" ca="1" si="156"/>
        <v>-0.39243381162528745</v>
      </c>
      <c r="Z829">
        <f t="shared" ca="1" si="156"/>
        <v>1.2609116249947958</v>
      </c>
      <c r="AB829">
        <v>824</v>
      </c>
      <c r="AC829" s="24">
        <f t="shared" ca="1" si="149"/>
        <v>-0.66119646281900679</v>
      </c>
      <c r="AD829" s="24">
        <f t="shared" ca="1" si="150"/>
        <v>-0.768725511849502</v>
      </c>
      <c r="AE829" s="24">
        <f t="shared" ca="1" si="151"/>
        <v>-8.0841473871314795E-3</v>
      </c>
      <c r="AF829" s="24"/>
      <c r="AG829">
        <v>824</v>
      </c>
      <c r="AH829">
        <f t="shared" ca="1" si="157"/>
        <v>305.98205169244602</v>
      </c>
      <c r="AI829">
        <f t="shared" ca="1" si="158"/>
        <v>161.65645402776877</v>
      </c>
      <c r="AJ829">
        <f t="shared" ca="1" si="159"/>
        <v>53.02261395595486</v>
      </c>
      <c r="AL829">
        <v>824</v>
      </c>
      <c r="AM829" s="4">
        <f t="shared" ca="1" si="152"/>
        <v>-1.1174866603146372E-2</v>
      </c>
      <c r="AN829" s="4">
        <f t="shared" ca="1" si="153"/>
        <v>-1.5850119116848527E-2</v>
      </c>
      <c r="AO829" s="4">
        <f t="shared" ca="1" si="154"/>
        <v>-1.3925746769616332E-4</v>
      </c>
      <c r="AP829" s="4">
        <f t="shared" ca="1" si="155"/>
        <v>-9.7342848679921705E-3</v>
      </c>
    </row>
    <row r="830" spans="20:42" x14ac:dyDescent="0.3">
      <c r="T830">
        <v>824</v>
      </c>
      <c r="U830" s="4">
        <v>1.5330390219533176E-2</v>
      </c>
      <c r="V830" s="4"/>
      <c r="W830">
        <v>825</v>
      </c>
      <c r="X830">
        <f t="shared" ca="1" si="156"/>
        <v>1.6421037157300746</v>
      </c>
      <c r="Y830">
        <f t="shared" ca="1" si="156"/>
        <v>-0.19683220260885062</v>
      </c>
      <c r="Z830">
        <f t="shared" ca="1" si="156"/>
        <v>-0.42557813750328549</v>
      </c>
      <c r="AB830">
        <v>825</v>
      </c>
      <c r="AC830" s="24">
        <f t="shared" ca="1" si="149"/>
        <v>1.6421037157300746</v>
      </c>
      <c r="AD830" s="24">
        <f t="shared" ca="1" si="150"/>
        <v>1.3319334684535593</v>
      </c>
      <c r="AE830" s="24">
        <f t="shared" ca="1" si="151"/>
        <v>1.0700067973302083</v>
      </c>
      <c r="AF830" s="24"/>
      <c r="AG830">
        <v>825</v>
      </c>
      <c r="AH830">
        <f t="shared" ca="1" si="157"/>
        <v>318.20411436845433</v>
      </c>
      <c r="AI830">
        <f t="shared" ca="1" si="158"/>
        <v>168.87339607012294</v>
      </c>
      <c r="AJ830">
        <f t="shared" ca="1" si="159"/>
        <v>54.046854311164729</v>
      </c>
      <c r="AL830">
        <v>825</v>
      </c>
      <c r="AM830" s="4">
        <f t="shared" ca="1" si="152"/>
        <v>2.8322491784842363E-2</v>
      </c>
      <c r="AN830" s="4">
        <f t="shared" ca="1" si="153"/>
        <v>2.8085971737299431E-2</v>
      </c>
      <c r="AO830" s="4">
        <f t="shared" ca="1" si="154"/>
        <v>1.9175100042901017E-2</v>
      </c>
      <c r="AP830" s="4">
        <f t="shared" ca="1" si="155"/>
        <v>2.5483666243242786E-2</v>
      </c>
    </row>
    <row r="831" spans="20:42" x14ac:dyDescent="0.3">
      <c r="T831">
        <v>825</v>
      </c>
      <c r="U831" s="4">
        <v>1.5356961003367009E-2</v>
      </c>
      <c r="V831" s="4"/>
      <c r="W831">
        <v>826</v>
      </c>
      <c r="X831">
        <f t="shared" ca="1" si="156"/>
        <v>2.7266463532311929</v>
      </c>
      <c r="Y831">
        <f t="shared" ca="1" si="156"/>
        <v>-0.10038055138329234</v>
      </c>
      <c r="Z831">
        <f t="shared" ca="1" si="156"/>
        <v>-1.3799253202575898</v>
      </c>
      <c r="AB831">
        <v>826</v>
      </c>
      <c r="AC831" s="24">
        <f t="shared" ca="1" si="149"/>
        <v>2.7266463532311929</v>
      </c>
      <c r="AD831" s="24">
        <f t="shared" ca="1" si="150"/>
        <v>2.32320283172447</v>
      </c>
      <c r="AE831" s="24">
        <f t="shared" ca="1" si="151"/>
        <v>1.4975187960520349</v>
      </c>
      <c r="AF831" s="24"/>
      <c r="AG831">
        <v>826</v>
      </c>
      <c r="AH831">
        <f t="shared" ca="1" si="157"/>
        <v>324.12693494550894</v>
      </c>
      <c r="AI831">
        <f t="shared" ca="1" si="158"/>
        <v>172.38998828689043</v>
      </c>
      <c r="AJ831">
        <f t="shared" ca="1" si="159"/>
        <v>54.458469468932428</v>
      </c>
      <c r="AL831">
        <v>826</v>
      </c>
      <c r="AM831" s="4">
        <f t="shared" ca="1" si="152"/>
        <v>4.7462940758229655E-2</v>
      </c>
      <c r="AN831" s="4">
        <f t="shared" ca="1" si="153"/>
        <v>4.9494667307547813E-2</v>
      </c>
      <c r="AO831" s="4">
        <f t="shared" ca="1" si="154"/>
        <v>2.6937030407651275E-2</v>
      </c>
      <c r="AP831" s="4">
        <f t="shared" ca="1" si="155"/>
        <v>4.2117858272783401E-2</v>
      </c>
    </row>
    <row r="832" spans="20:42" x14ac:dyDescent="0.3">
      <c r="T832">
        <v>826</v>
      </c>
      <c r="U832" s="41">
        <v>1.5374252938456092E-2</v>
      </c>
      <c r="V832" s="4"/>
      <c r="W832">
        <v>827</v>
      </c>
      <c r="X832">
        <f t="shared" ca="1" si="156"/>
        <v>-1.2137596335318761</v>
      </c>
      <c r="Y832">
        <f t="shared" ca="1" si="156"/>
        <v>-0.62528082036136357</v>
      </c>
      <c r="Z832">
        <f t="shared" ca="1" si="156"/>
        <v>0.89230607141491114</v>
      </c>
      <c r="AB832">
        <v>827</v>
      </c>
      <c r="AC832" s="24">
        <f t="shared" ca="1" si="149"/>
        <v>-1.2137596335318761</v>
      </c>
      <c r="AD832" s="24">
        <f t="shared" ca="1" si="150"/>
        <v>-1.3642861065409224</v>
      </c>
      <c r="AE832" s="24">
        <f t="shared" ca="1" si="151"/>
        <v>-0.710450708274323</v>
      </c>
      <c r="AF832" s="24"/>
      <c r="AG832">
        <v>827</v>
      </c>
      <c r="AH832">
        <f t="shared" ca="1" si="157"/>
        <v>303.12048096521659</v>
      </c>
      <c r="AI832">
        <f t="shared" ca="1" si="158"/>
        <v>159.66706860583474</v>
      </c>
      <c r="AJ832">
        <f t="shared" ca="1" si="159"/>
        <v>52.365795810374365</v>
      </c>
      <c r="AL832">
        <v>827</v>
      </c>
      <c r="AM832" s="4">
        <f t="shared" ca="1" si="152"/>
        <v>-2.0422445147136647E-2</v>
      </c>
      <c r="AN832" s="4">
        <f t="shared" ca="1" si="153"/>
        <v>-2.7961317755974657E-2</v>
      </c>
      <c r="AO832" s="4">
        <f t="shared" ca="1" si="154"/>
        <v>-1.2525042131091624E-2</v>
      </c>
      <c r="AP832" s="4">
        <f t="shared" ca="1" si="155"/>
        <v>-2.1068773285858346E-2</v>
      </c>
    </row>
    <row r="833" spans="20:42" x14ac:dyDescent="0.3">
      <c r="T833">
        <v>827</v>
      </c>
      <c r="U833" s="4">
        <v>1.5423668592226193E-2</v>
      </c>
      <c r="V833" s="4"/>
      <c r="W833">
        <v>828</v>
      </c>
      <c r="X833">
        <f t="shared" ca="1" si="156"/>
        <v>0.45646742837325666</v>
      </c>
      <c r="Y833">
        <f t="shared" ca="1" si="156"/>
        <v>-0.70577908147831581</v>
      </c>
      <c r="Z833">
        <f t="shared" ca="1" si="156"/>
        <v>-1.1593039468270498</v>
      </c>
      <c r="AB833">
        <v>828</v>
      </c>
      <c r="AC833" s="24">
        <f t="shared" ca="1" si="149"/>
        <v>0.45646742837325666</v>
      </c>
      <c r="AD833" s="24">
        <f t="shared" ca="1" si="150"/>
        <v>4.9441993434416132E-2</v>
      </c>
      <c r="AE833" s="24">
        <f t="shared" ca="1" si="151"/>
        <v>-0.41061166807512872</v>
      </c>
      <c r="AF833" s="24"/>
      <c r="AG833">
        <v>828</v>
      </c>
      <c r="AH833">
        <f t="shared" ca="1" si="157"/>
        <v>311.85296962489269</v>
      </c>
      <c r="AI833">
        <f t="shared" ca="1" si="158"/>
        <v>164.42990434821749</v>
      </c>
      <c r="AJ833">
        <f t="shared" ca="1" si="159"/>
        <v>52.645189101237818</v>
      </c>
      <c r="AL833">
        <v>828</v>
      </c>
      <c r="AM833" s="4">
        <f t="shared" ca="1" si="152"/>
        <v>7.797851488007268E-3</v>
      </c>
      <c r="AN833" s="4">
        <f t="shared" ca="1" si="153"/>
        <v>1.0343957571203877E-3</v>
      </c>
      <c r="AO833" s="4">
        <f t="shared" ca="1" si="154"/>
        <v>-7.256452704449412E-3</v>
      </c>
      <c r="AP833" s="4">
        <f t="shared" ca="1" si="155"/>
        <v>5.7617793791551195E-4</v>
      </c>
    </row>
    <row r="834" spans="20:42" x14ac:dyDescent="0.3">
      <c r="T834">
        <v>828</v>
      </c>
      <c r="U834" s="4">
        <v>1.5576662715136668E-2</v>
      </c>
      <c r="V834" s="4"/>
      <c r="W834">
        <v>829</v>
      </c>
      <c r="X834">
        <f t="shared" ca="1" si="156"/>
        <v>2.4667431132652697</v>
      </c>
      <c r="Y834">
        <f t="shared" ca="1" si="156"/>
        <v>1.958604174337919</v>
      </c>
      <c r="Z834">
        <f t="shared" ca="1" si="156"/>
        <v>-0.68201774089437728</v>
      </c>
      <c r="AB834">
        <v>829</v>
      </c>
      <c r="AC834" s="24">
        <f t="shared" ca="1" si="149"/>
        <v>2.4667431132652697</v>
      </c>
      <c r="AD834" s="24">
        <f t="shared" ca="1" si="150"/>
        <v>3.1115845437978411</v>
      </c>
      <c r="AE834" s="24">
        <f t="shared" ca="1" si="151"/>
        <v>2.2079534627983795</v>
      </c>
      <c r="AF834" s="24"/>
      <c r="AG834">
        <v>829</v>
      </c>
      <c r="AH834">
        <f t="shared" ca="1" si="157"/>
        <v>322.69760394399498</v>
      </c>
      <c r="AI834">
        <f t="shared" ca="1" si="158"/>
        <v>175.23903024868576</v>
      </c>
      <c r="AJ834">
        <f t="shared" ca="1" si="159"/>
        <v>55.149431751570972</v>
      </c>
      <c r="AL834">
        <v>829</v>
      </c>
      <c r="AM834" s="4">
        <f t="shared" ca="1" si="152"/>
        <v>4.2843851467133209E-2</v>
      </c>
      <c r="AN834" s="4">
        <f t="shared" ca="1" si="153"/>
        <v>6.6839377261722177E-2</v>
      </c>
      <c r="AO834" s="4">
        <f t="shared" ca="1" si="154"/>
        <v>3.9966679635331515E-2</v>
      </c>
      <c r="AP834" s="4">
        <f t="shared" ca="1" si="155"/>
        <v>5.1578910235428287E-2</v>
      </c>
    </row>
    <row r="835" spans="20:42" x14ac:dyDescent="0.3">
      <c r="T835">
        <v>829</v>
      </c>
      <c r="U835" s="4">
        <v>1.560417975889925E-2</v>
      </c>
      <c r="V835" s="4"/>
      <c r="W835">
        <v>830</v>
      </c>
      <c r="X835">
        <f t="shared" ca="1" si="156"/>
        <v>-1.7718137957080973</v>
      </c>
      <c r="Y835">
        <f t="shared" ca="1" si="156"/>
        <v>-0.4444069727169499</v>
      </c>
      <c r="Z835">
        <f t="shared" ca="1" si="156"/>
        <v>-0.41720001816706626</v>
      </c>
      <c r="AB835">
        <v>830</v>
      </c>
      <c r="AC835" s="24">
        <f t="shared" ca="1" si="149"/>
        <v>-1.7718137957080973</v>
      </c>
      <c r="AD835" s="24">
        <f t="shared" ca="1" si="150"/>
        <v>-1.7607681523254202</v>
      </c>
      <c r="AE835" s="24">
        <f t="shared" ca="1" si="151"/>
        <v>-1.7806145258959771</v>
      </c>
      <c r="AF835" s="24"/>
      <c r="AG835">
        <v>830</v>
      </c>
      <c r="AH835">
        <f t="shared" ca="1" si="157"/>
        <v>300.25763496721567</v>
      </c>
      <c r="AI835">
        <f t="shared" ca="1" si="158"/>
        <v>158.35626971794312</v>
      </c>
      <c r="AJ835">
        <f t="shared" ca="1" si="159"/>
        <v>51.380640991356685</v>
      </c>
      <c r="AL835">
        <v>830</v>
      </c>
      <c r="AM835" s="4">
        <f t="shared" ca="1" si="152"/>
        <v>-2.9674144912563705E-2</v>
      </c>
      <c r="AN835" s="4">
        <f t="shared" ca="1" si="153"/>
        <v>-3.594134290955564E-2</v>
      </c>
      <c r="AO835" s="4">
        <f t="shared" ca="1" si="154"/>
        <v>-3.1102353873408539E-2</v>
      </c>
      <c r="AP835" s="4">
        <f t="shared" ca="1" si="155"/>
        <v>-3.2609486799613931E-2</v>
      </c>
    </row>
    <row r="836" spans="20:42" x14ac:dyDescent="0.3">
      <c r="T836">
        <v>830</v>
      </c>
      <c r="U836" s="4">
        <v>1.5815826346524519E-2</v>
      </c>
      <c r="V836" s="4"/>
      <c r="W836">
        <v>831</v>
      </c>
      <c r="X836">
        <f t="shared" ca="1" si="156"/>
        <v>-1.8454958321765134</v>
      </c>
      <c r="Y836">
        <f t="shared" ca="1" si="156"/>
        <v>-1.2796539415774442</v>
      </c>
      <c r="Z836">
        <f t="shared" ca="1" si="156"/>
        <v>1.0521822527186788</v>
      </c>
      <c r="AB836">
        <v>831</v>
      </c>
      <c r="AC836" s="24">
        <f t="shared" ca="1" si="149"/>
        <v>-1.8454958321765134</v>
      </c>
      <c r="AD836" s="24">
        <f t="shared" ca="1" si="150"/>
        <v>-2.2364438723302715</v>
      </c>
      <c r="AE836" s="24">
        <f t="shared" ca="1" si="151"/>
        <v>-1.3255886065314422</v>
      </c>
      <c r="AF836" s="24"/>
      <c r="AG836">
        <v>831</v>
      </c>
      <c r="AH836">
        <f t="shared" ca="1" si="157"/>
        <v>299.88166861983962</v>
      </c>
      <c r="AI836">
        <f t="shared" ca="1" si="158"/>
        <v>156.7978428430456</v>
      </c>
      <c r="AJ836">
        <f t="shared" ca="1" si="159"/>
        <v>51.797236373775895</v>
      </c>
      <c r="AL836">
        <v>831</v>
      </c>
      <c r="AM836" s="4">
        <f t="shared" ca="1" si="152"/>
        <v>-3.0889134391654194E-2</v>
      </c>
      <c r="AN836" s="4">
        <f t="shared" ca="1" si="153"/>
        <v>-4.5428904866296582E-2</v>
      </c>
      <c r="AO836" s="4">
        <f t="shared" ca="1" si="154"/>
        <v>-2.3246510162134415E-2</v>
      </c>
      <c r="AP836" s="4">
        <f t="shared" ca="1" si="155"/>
        <v>-3.4412255312655217E-2</v>
      </c>
    </row>
    <row r="837" spans="20:42" x14ac:dyDescent="0.3">
      <c r="T837">
        <v>831</v>
      </c>
      <c r="U837" s="4">
        <v>1.582141391509315E-2</v>
      </c>
      <c r="V837" s="4"/>
      <c r="W837">
        <v>832</v>
      </c>
      <c r="X837">
        <f t="shared" ca="1" si="156"/>
        <v>0.41551511798351354</v>
      </c>
      <c r="Y837">
        <f t="shared" ca="1" si="156"/>
        <v>0.74907564217084321</v>
      </c>
      <c r="Z837">
        <f t="shared" ca="1" si="156"/>
        <v>0.96041851706219439</v>
      </c>
      <c r="AB837">
        <v>832</v>
      </c>
      <c r="AC837" s="24">
        <f t="shared" ca="1" si="149"/>
        <v>0.41551511798351354</v>
      </c>
      <c r="AD837" s="24">
        <f t="shared" ca="1" si="150"/>
        <v>0.73067089435277666</v>
      </c>
      <c r="AE837" s="24">
        <f t="shared" ca="1" si="151"/>
        <v>1.0333616753508856</v>
      </c>
      <c r="AF837" s="24"/>
      <c r="AG837">
        <v>832</v>
      </c>
      <c r="AH837">
        <f t="shared" ca="1" si="157"/>
        <v>311.63587832464503</v>
      </c>
      <c r="AI837">
        <f t="shared" ca="1" si="158"/>
        <v>166.77542426677437</v>
      </c>
      <c r="AJ837">
        <f t="shared" ca="1" si="159"/>
        <v>54.011716923971854</v>
      </c>
      <c r="AL837">
        <v>832</v>
      </c>
      <c r="AM837" s="4">
        <f t="shared" ca="1" si="152"/>
        <v>7.0962896390709407E-3</v>
      </c>
      <c r="AN837" s="4">
        <f t="shared" ca="1" si="153"/>
        <v>1.5313709022647615E-2</v>
      </c>
      <c r="AO837" s="4">
        <f t="shared" ca="1" si="154"/>
        <v>1.8512505511471433E-2</v>
      </c>
      <c r="AP837" s="4">
        <f t="shared" ca="1" si="155"/>
        <v>1.3808122154221759E-2</v>
      </c>
    </row>
    <row r="838" spans="20:42" x14ac:dyDescent="0.3">
      <c r="T838">
        <v>832</v>
      </c>
      <c r="U838" s="4">
        <v>1.584990377532558E-2</v>
      </c>
      <c r="V838" s="4"/>
      <c r="W838">
        <v>833</v>
      </c>
      <c r="X838">
        <f t="shared" ca="1" si="156"/>
        <v>1.3750450734033539</v>
      </c>
      <c r="Y838">
        <f t="shared" ca="1" si="156"/>
        <v>0.49349107765370076</v>
      </c>
      <c r="Z838">
        <f t="shared" ca="1" si="156"/>
        <v>-0.38779469605072525</v>
      </c>
      <c r="AB838">
        <v>833</v>
      </c>
      <c r="AC838" s="24">
        <f t="shared" ref="AC838:AC901" ca="1" si="160">SUMPRODUCT($Q$24:$S$24,X838:Z838)</f>
        <v>1.3750450734033539</v>
      </c>
      <c r="AD838" s="24">
        <f t="shared" ref="AD838:AD901" ca="1" si="161">SUMPRODUCT($Q$25:$S$25,X838:Z838)</f>
        <v>1.4396949138465236</v>
      </c>
      <c r="AE838" s="24">
        <f t="shared" ref="AE838:AE901" ca="1" si="162">SUMPRODUCT($Q$26:$S$26,X838:Z838)</f>
        <v>1.0617634458003242</v>
      </c>
      <c r="AF838" s="24"/>
      <c r="AG838">
        <v>833</v>
      </c>
      <c r="AH838">
        <f t="shared" ca="1" si="157"/>
        <v>316.76235751804637</v>
      </c>
      <c r="AI838">
        <f t="shared" ca="1" si="158"/>
        <v>169.25218498486916</v>
      </c>
      <c r="AJ838">
        <f t="shared" ca="1" si="159"/>
        <v>54.038948133712388</v>
      </c>
      <c r="AL838">
        <v>833</v>
      </c>
      <c r="AM838" s="4">
        <f t="shared" ref="AM838:AM901" ca="1" si="163">AH838/$AH$2-1</f>
        <v>2.3663246570801322E-2</v>
      </c>
      <c r="AN838" s="4">
        <f t="shared" ref="AN838:AN901" ca="1" si="164">AI838/$AI$2-1</f>
        <v>3.0392004413627438E-2</v>
      </c>
      <c r="AO838" s="4">
        <f t="shared" ref="AO838:AO901" ca="1" si="165">AJ838/$AJ$2-1</f>
        <v>1.9026011269860588E-2</v>
      </c>
      <c r="AP838" s="4">
        <f t="shared" ref="AP838:AP901" ca="1" si="166">SUMPRODUCT($P$6:$R$6,AM838:AO838)</f>
        <v>2.4963579117649546E-2</v>
      </c>
    </row>
    <row r="839" spans="20:42" x14ac:dyDescent="0.3">
      <c r="T839">
        <v>833</v>
      </c>
      <c r="U839" s="4">
        <v>1.5858626321310056E-2</v>
      </c>
      <c r="V839" s="4"/>
      <c r="W839">
        <v>834</v>
      </c>
      <c r="X839">
        <f t="shared" ref="X839:Z902" ca="1" si="167">_xlfn.NORM.S.INV(RAND())</f>
        <v>0.36046020659834632</v>
      </c>
      <c r="Y839">
        <f t="shared" ca="1" si="167"/>
        <v>-2.4611663328356855E-3</v>
      </c>
      <c r="Z839">
        <f t="shared" ca="1" si="167"/>
        <v>-0.87368735966001054</v>
      </c>
      <c r="AB839">
        <v>834</v>
      </c>
      <c r="AC839" s="24">
        <f t="shared" ca="1" si="160"/>
        <v>0.36046020659834632</v>
      </c>
      <c r="AD839" s="24">
        <f t="shared" ca="1" si="161"/>
        <v>0.31245138343156281</v>
      </c>
      <c r="AE839" s="24">
        <f t="shared" ca="1" si="162"/>
        <v>-0.14987196855970586</v>
      </c>
      <c r="AF839" s="24"/>
      <c r="AG839">
        <v>834</v>
      </c>
      <c r="AH839">
        <f t="shared" ref="AH839:AH902" ca="1" si="168">$L$21*EXP(($L$19-(($L$20^2)/2))*(1/252)+$L$20*AC839)</f>
        <v>311.34426619760802</v>
      </c>
      <c r="AI839">
        <f t="shared" ref="AI839:AI902" ca="1" si="169">$M$21*EXP(($M$19-(($M$20^2)/2))*(1/252)+$M$20*AD839)</f>
        <v>165.33152954619337</v>
      </c>
      <c r="AJ839">
        <f t="shared" ref="AJ839:AJ902" ca="1" si="170">$N$21*EXP(($N$19-(($N$20^2)/2))*(1/252)+$N$20*AE839)</f>
        <v>52.889360693123393</v>
      </c>
      <c r="AL839">
        <v>834</v>
      </c>
      <c r="AM839" s="4">
        <f t="shared" ca="1" si="163"/>
        <v>6.1539029898456388E-3</v>
      </c>
      <c r="AN839" s="4">
        <f t="shared" ca="1" si="164"/>
        <v>6.523408469454095E-3</v>
      </c>
      <c r="AO839" s="4">
        <f t="shared" ca="1" si="165"/>
        <v>-2.6520476977327512E-3</v>
      </c>
      <c r="AP839" s="4">
        <f t="shared" ca="1" si="166"/>
        <v>3.6599199754155042E-3</v>
      </c>
    </row>
    <row r="840" spans="20:42" x14ac:dyDescent="0.3">
      <c r="T840">
        <v>834</v>
      </c>
      <c r="U840" s="4">
        <v>1.5923898562901509E-2</v>
      </c>
      <c r="V840" s="4"/>
      <c r="W840">
        <v>835</v>
      </c>
      <c r="X840">
        <f t="shared" ca="1" si="167"/>
        <v>1.1199888998469971</v>
      </c>
      <c r="Y840">
        <f t="shared" ca="1" si="167"/>
        <v>1.7825439713538866</v>
      </c>
      <c r="Z840">
        <f t="shared" ca="1" si="167"/>
        <v>-1.1399185807838648</v>
      </c>
      <c r="AB840">
        <v>835</v>
      </c>
      <c r="AC840" s="24">
        <f t="shared" ca="1" si="160"/>
        <v>1.1199888998469971</v>
      </c>
      <c r="AD840" s="24">
        <f t="shared" ca="1" si="161"/>
        <v>1.8529184664716933</v>
      </c>
      <c r="AE840" s="24">
        <f t="shared" ca="1" si="162"/>
        <v>0.82770390439995023</v>
      </c>
      <c r="AF840" s="24"/>
      <c r="AG840">
        <v>835</v>
      </c>
      <c r="AH840">
        <f t="shared" ca="1" si="168"/>
        <v>315.39149693609318</v>
      </c>
      <c r="AI840">
        <f t="shared" ca="1" si="169"/>
        <v>170.71258664463505</v>
      </c>
      <c r="AJ840">
        <f t="shared" ca="1" si="170"/>
        <v>53.814944204990063</v>
      </c>
      <c r="AL840">
        <v>835</v>
      </c>
      <c r="AM840" s="4">
        <f t="shared" ca="1" si="163"/>
        <v>1.9233112874002423E-2</v>
      </c>
      <c r="AN840" s="4">
        <f t="shared" ca="1" si="164"/>
        <v>3.9282797720607165E-2</v>
      </c>
      <c r="AO840" s="4">
        <f t="shared" ca="1" si="165"/>
        <v>1.4801912950443308E-2</v>
      </c>
      <c r="AP840" s="4">
        <f t="shared" ca="1" si="166"/>
        <v>2.5923626835576582E-2</v>
      </c>
    </row>
    <row r="841" spans="20:42" x14ac:dyDescent="0.3">
      <c r="T841">
        <v>835</v>
      </c>
      <c r="U841" s="4">
        <v>1.6002039033125005E-2</v>
      </c>
      <c r="V841" s="4"/>
      <c r="W841">
        <v>836</v>
      </c>
      <c r="X841">
        <f t="shared" ca="1" si="167"/>
        <v>1.019121397611445</v>
      </c>
      <c r="Y841">
        <f t="shared" ca="1" si="167"/>
        <v>0.76782078085234196</v>
      </c>
      <c r="Z841">
        <f t="shared" ca="1" si="167"/>
        <v>0.3327423185312014</v>
      </c>
      <c r="AB841">
        <v>836</v>
      </c>
      <c r="AC841" s="24">
        <f t="shared" ca="1" si="160"/>
        <v>1.019121397611445</v>
      </c>
      <c r="AD841" s="24">
        <f t="shared" ca="1" si="161"/>
        <v>1.265151529813386</v>
      </c>
      <c r="AE841" s="24">
        <f t="shared" ca="1" si="162"/>
        <v>1.2126604679917921</v>
      </c>
      <c r="AF841" s="24"/>
      <c r="AG841">
        <v>836</v>
      </c>
      <c r="AH841">
        <f t="shared" ca="1" si="168"/>
        <v>314.85099882230799</v>
      </c>
      <c r="AI841">
        <f t="shared" ca="1" si="169"/>
        <v>168.63907853643988</v>
      </c>
      <c r="AJ841">
        <f t="shared" ca="1" si="170"/>
        <v>54.183856440335191</v>
      </c>
      <c r="AL841">
        <v>836</v>
      </c>
      <c r="AM841" s="4">
        <f t="shared" ca="1" si="163"/>
        <v>1.748641526050454E-2</v>
      </c>
      <c r="AN841" s="4">
        <f t="shared" ca="1" si="164"/>
        <v>2.6659467770910439E-2</v>
      </c>
      <c r="AO841" s="4">
        <f t="shared" ca="1" si="165"/>
        <v>2.1758583586633407E-2</v>
      </c>
      <c r="AP841" s="4">
        <f t="shared" ca="1" si="166"/>
        <v>2.2437286762505559E-2</v>
      </c>
    </row>
    <row r="842" spans="20:42" x14ac:dyDescent="0.3">
      <c r="T842">
        <v>836</v>
      </c>
      <c r="U842" s="4">
        <v>1.6061392453282752E-2</v>
      </c>
      <c r="V842" s="4"/>
      <c r="W842">
        <v>837</v>
      </c>
      <c r="X842">
        <f t="shared" ca="1" si="167"/>
        <v>0.24059310150172339</v>
      </c>
      <c r="Y842">
        <f t="shared" ca="1" si="167"/>
        <v>-1.0469252563679352</v>
      </c>
      <c r="Z842">
        <f t="shared" ca="1" si="167"/>
        <v>0.91900328693056244</v>
      </c>
      <c r="AB842">
        <v>837</v>
      </c>
      <c r="AC842" s="24">
        <f t="shared" ca="1" si="160"/>
        <v>0.24059310150172339</v>
      </c>
      <c r="AD842" s="24">
        <f t="shared" ca="1" si="161"/>
        <v>-0.30650308754648992</v>
      </c>
      <c r="AE842" s="24">
        <f t="shared" ca="1" si="162"/>
        <v>0.37378679052201258</v>
      </c>
      <c r="AF842" s="24"/>
      <c r="AG842">
        <v>837</v>
      </c>
      <c r="AH842">
        <f t="shared" ca="1" si="168"/>
        <v>310.71030352061405</v>
      </c>
      <c r="AI842">
        <f t="shared" ca="1" si="169"/>
        <v>163.21751038617771</v>
      </c>
      <c r="AJ842">
        <f t="shared" ca="1" si="170"/>
        <v>53.383171239895802</v>
      </c>
      <c r="AL842">
        <v>837</v>
      </c>
      <c r="AM842" s="4">
        <f t="shared" ca="1" si="163"/>
        <v>4.1051611594675741E-3</v>
      </c>
      <c r="AN842" s="4">
        <f t="shared" ca="1" si="164"/>
        <v>-6.3465491021547082E-3</v>
      </c>
      <c r="AO842" s="4">
        <f t="shared" ca="1" si="165"/>
        <v>6.6598617523800918E-3</v>
      </c>
      <c r="AP842" s="4">
        <f t="shared" ca="1" si="166"/>
        <v>6.9088723269241661E-4</v>
      </c>
    </row>
    <row r="843" spans="20:42" x14ac:dyDescent="0.3">
      <c r="T843">
        <v>837</v>
      </c>
      <c r="U843" s="4">
        <v>1.6147206629414958E-2</v>
      </c>
      <c r="V843" s="4"/>
      <c r="W843">
        <v>838</v>
      </c>
      <c r="X843">
        <f t="shared" ca="1" si="167"/>
        <v>-0.22088126883858317</v>
      </c>
      <c r="Y843">
        <f t="shared" ca="1" si="167"/>
        <v>-1.3906320259706015</v>
      </c>
      <c r="Z843">
        <f t="shared" ca="1" si="167"/>
        <v>1.0137286192257056</v>
      </c>
      <c r="AB843">
        <v>838</v>
      </c>
      <c r="AC843" s="24">
        <f t="shared" ca="1" si="160"/>
        <v>-0.22088126883858317</v>
      </c>
      <c r="AD843" s="24">
        <f t="shared" ca="1" si="161"/>
        <v>-0.87742532730799627</v>
      </c>
      <c r="AE843" s="24">
        <f t="shared" ca="1" si="162"/>
        <v>-4.968550149486517E-2</v>
      </c>
      <c r="AF843" s="24"/>
      <c r="AG843">
        <v>838</v>
      </c>
      <c r="AH843">
        <f t="shared" ca="1" si="168"/>
        <v>308.28164922711773</v>
      </c>
      <c r="AI843">
        <f t="shared" ca="1" si="169"/>
        <v>161.29151762315607</v>
      </c>
      <c r="AJ843">
        <f t="shared" ca="1" si="170"/>
        <v>52.983481926262535</v>
      </c>
      <c r="AL843">
        <v>838</v>
      </c>
      <c r="AM843" s="4">
        <f t="shared" ca="1" si="163"/>
        <v>-3.743385487167683E-3</v>
      </c>
      <c r="AN843" s="4">
        <f t="shared" ca="1" si="164"/>
        <v>-1.8071818963535935E-2</v>
      </c>
      <c r="AO843" s="4">
        <f t="shared" ca="1" si="165"/>
        <v>-8.7717997558056648E-4</v>
      </c>
      <c r="AP843" s="4">
        <f t="shared" ca="1" si="166"/>
        <v>-8.6148972242388495E-3</v>
      </c>
    </row>
    <row r="844" spans="20:42" x14ac:dyDescent="0.3">
      <c r="T844">
        <v>838</v>
      </c>
      <c r="U844" s="4">
        <v>1.6251160436966595E-2</v>
      </c>
      <c r="V844" s="4"/>
      <c r="W844">
        <v>839</v>
      </c>
      <c r="X844">
        <f t="shared" ca="1" si="167"/>
        <v>-0.86450172878902309</v>
      </c>
      <c r="Y844">
        <f t="shared" ca="1" si="167"/>
        <v>0.84567815512623667</v>
      </c>
      <c r="Z844">
        <f t="shared" ca="1" si="167"/>
        <v>0.58155206046608321</v>
      </c>
      <c r="AB844">
        <v>839</v>
      </c>
      <c r="AC844" s="24">
        <f t="shared" ca="1" si="160"/>
        <v>-0.86450172878902309</v>
      </c>
      <c r="AD844" s="24">
        <f t="shared" ca="1" si="161"/>
        <v>-0.33557013770583655</v>
      </c>
      <c r="AE844" s="24">
        <f t="shared" ca="1" si="162"/>
        <v>-0.17703625818891378</v>
      </c>
      <c r="AF844" s="24"/>
      <c r="AG844">
        <v>839</v>
      </c>
      <c r="AH844">
        <f t="shared" ca="1" si="168"/>
        <v>304.9260626100268</v>
      </c>
      <c r="AI844">
        <f t="shared" ca="1" si="169"/>
        <v>163.11890003966397</v>
      </c>
      <c r="AJ844">
        <f t="shared" ca="1" si="170"/>
        <v>52.863869740045132</v>
      </c>
      <c r="AL844">
        <v>839</v>
      </c>
      <c r="AM844" s="4">
        <f t="shared" ca="1" si="163"/>
        <v>-1.458744763367803E-2</v>
      </c>
      <c r="AN844" s="4">
        <f t="shared" ca="1" si="164"/>
        <v>-6.9468799788834357E-3</v>
      </c>
      <c r="AO844" s="4">
        <f t="shared" ca="1" si="165"/>
        <v>-3.1327369993552345E-3</v>
      </c>
      <c r="AP844" s="4">
        <f t="shared" ca="1" si="166"/>
        <v>-8.094807381463353E-3</v>
      </c>
    </row>
    <row r="845" spans="20:42" x14ac:dyDescent="0.3">
      <c r="T845">
        <v>839</v>
      </c>
      <c r="U845" s="4">
        <v>1.6643598368030709E-2</v>
      </c>
      <c r="V845" s="4"/>
      <c r="W845">
        <v>840</v>
      </c>
      <c r="X845">
        <f t="shared" ca="1" si="167"/>
        <v>0.31848243312455332</v>
      </c>
      <c r="Y845">
        <f t="shared" ca="1" si="167"/>
        <v>-0.47890937656967653</v>
      </c>
      <c r="Z845">
        <f t="shared" ca="1" si="167"/>
        <v>7.4723515273104807E-2</v>
      </c>
      <c r="AB845">
        <v>840</v>
      </c>
      <c r="AC845" s="24">
        <f t="shared" ca="1" si="160"/>
        <v>0.31848243312455332</v>
      </c>
      <c r="AD845" s="24">
        <f t="shared" ca="1" si="161"/>
        <v>4.1158361822393352E-2</v>
      </c>
      <c r="AE845" s="24">
        <f t="shared" ca="1" si="162"/>
        <v>0.16567594701275051</v>
      </c>
      <c r="AF845" s="24"/>
      <c r="AG845">
        <v>840</v>
      </c>
      <c r="AH845">
        <f t="shared" ca="1" si="168"/>
        <v>311.12210376956966</v>
      </c>
      <c r="AI845">
        <f t="shared" ca="1" si="169"/>
        <v>164.40158715631679</v>
      </c>
      <c r="AJ845">
        <f t="shared" ca="1" si="170"/>
        <v>53.186372908900175</v>
      </c>
      <c r="AL845">
        <v>840</v>
      </c>
      <c r="AM845" s="4">
        <f t="shared" ca="1" si="163"/>
        <v>5.4359530600189832E-3</v>
      </c>
      <c r="AN845" s="4">
        <f t="shared" ca="1" si="164"/>
        <v>8.6200325226415409E-4</v>
      </c>
      <c r="AO845" s="4">
        <f t="shared" ca="1" si="165"/>
        <v>2.9487862191772685E-3</v>
      </c>
      <c r="AP845" s="4">
        <f t="shared" ca="1" si="166"/>
        <v>2.8602230846645369E-3</v>
      </c>
    </row>
    <row r="846" spans="20:42" x14ac:dyDescent="0.3">
      <c r="T846">
        <v>840</v>
      </c>
      <c r="U846" s="4">
        <v>1.6656466369058088E-2</v>
      </c>
      <c r="V846" s="4"/>
      <c r="W846">
        <v>841</v>
      </c>
      <c r="X846">
        <f t="shared" ca="1" si="167"/>
        <v>-0.10390315154101371</v>
      </c>
      <c r="Y846">
        <f t="shared" ca="1" si="167"/>
        <v>0.25396456408182555</v>
      </c>
      <c r="Z846">
        <f t="shared" ca="1" si="167"/>
        <v>0.2971445273866708</v>
      </c>
      <c r="AB846">
        <v>841</v>
      </c>
      <c r="AC846" s="24">
        <f t="shared" ca="1" si="160"/>
        <v>-0.10390315154101371</v>
      </c>
      <c r="AD846" s="24">
        <f t="shared" ca="1" si="161"/>
        <v>3.4724309230259764E-2</v>
      </c>
      <c r="AE846" s="24">
        <f t="shared" ca="1" si="162"/>
        <v>0.13610296715804887</v>
      </c>
      <c r="AF846" s="24"/>
      <c r="AG846">
        <v>841</v>
      </c>
      <c r="AH846">
        <f t="shared" ca="1" si="168"/>
        <v>308.89548140140954</v>
      </c>
      <c r="AI846">
        <f t="shared" ca="1" si="169"/>
        <v>164.37959602530833</v>
      </c>
      <c r="AJ846">
        <f t="shared" ca="1" si="170"/>
        <v>53.158466395236509</v>
      </c>
      <c r="AL846">
        <v>841</v>
      </c>
      <c r="AM846" s="4">
        <f t="shared" ca="1" si="163"/>
        <v>-1.7596982797968286E-3</v>
      </c>
      <c r="AN846" s="4">
        <f t="shared" ca="1" si="164"/>
        <v>7.2812323434212622E-4</v>
      </c>
      <c r="AO846" s="4">
        <f t="shared" ca="1" si="165"/>
        <v>2.4225460851767799E-3</v>
      </c>
      <c r="AP846" s="4">
        <f t="shared" ca="1" si="166"/>
        <v>4.9010363535083594E-4</v>
      </c>
    </row>
    <row r="847" spans="20:42" x14ac:dyDescent="0.3">
      <c r="T847">
        <v>841</v>
      </c>
      <c r="U847" s="4">
        <v>1.6724629685901916E-2</v>
      </c>
      <c r="V847" s="4"/>
      <c r="W847">
        <v>842</v>
      </c>
      <c r="X847">
        <f t="shared" ca="1" si="167"/>
        <v>0.83475708956728401</v>
      </c>
      <c r="Y847">
        <f t="shared" ca="1" si="167"/>
        <v>0.83339327981048461</v>
      </c>
      <c r="Z847">
        <f t="shared" ca="1" si="167"/>
        <v>0.75296355758003963</v>
      </c>
      <c r="AB847">
        <v>842</v>
      </c>
      <c r="AC847" s="24">
        <f t="shared" ca="1" si="160"/>
        <v>0.83475708956728401</v>
      </c>
      <c r="AD847" s="24">
        <f t="shared" ca="1" si="161"/>
        <v>1.1370321641285186</v>
      </c>
      <c r="AE847" s="24">
        <f t="shared" ca="1" si="162"/>
        <v>1.293547224959984</v>
      </c>
      <c r="AF847" s="24"/>
      <c r="AG847">
        <v>842</v>
      </c>
      <c r="AH847">
        <f t="shared" ca="1" si="168"/>
        <v>313.86547603147352</v>
      </c>
      <c r="AI847">
        <f t="shared" ca="1" si="169"/>
        <v>168.19045640481752</v>
      </c>
      <c r="AJ847">
        <f t="shared" ca="1" si="170"/>
        <v>54.261692916997454</v>
      </c>
      <c r="AL847">
        <v>842</v>
      </c>
      <c r="AM847" s="4">
        <f t="shared" ca="1" si="163"/>
        <v>1.430155621494178E-2</v>
      </c>
      <c r="AN847" s="4">
        <f t="shared" ca="1" si="164"/>
        <v>2.392829678208086E-2</v>
      </c>
      <c r="AO847" s="4">
        <f t="shared" ca="1" si="165"/>
        <v>2.3226365567662777E-2</v>
      </c>
      <c r="AP847" s="4">
        <f t="shared" ca="1" si="166"/>
        <v>2.082969524761371E-2</v>
      </c>
    </row>
    <row r="848" spans="20:42" x14ac:dyDescent="0.3">
      <c r="T848">
        <v>842</v>
      </c>
      <c r="U848" s="4">
        <v>1.6821178114623268E-2</v>
      </c>
      <c r="V848" s="4"/>
      <c r="W848">
        <v>843</v>
      </c>
      <c r="X848">
        <f t="shared" ca="1" si="167"/>
        <v>-0.35613022675013573</v>
      </c>
      <c r="Y848">
        <f t="shared" ca="1" si="167"/>
        <v>1.7567408078382765</v>
      </c>
      <c r="Z848">
        <f t="shared" ca="1" si="167"/>
        <v>-1.1431929615812042</v>
      </c>
      <c r="AB848">
        <v>843</v>
      </c>
      <c r="AC848" s="24">
        <f t="shared" ca="1" si="160"/>
        <v>-0.35613022675013573</v>
      </c>
      <c r="AD848" s="24">
        <f t="shared" ca="1" si="161"/>
        <v>0.55571965248971367</v>
      </c>
      <c r="AE848" s="24">
        <f t="shared" ca="1" si="162"/>
        <v>-0.38592885068512206</v>
      </c>
      <c r="AF848" s="24"/>
      <c r="AG848">
        <v>843</v>
      </c>
      <c r="AH848">
        <f t="shared" ca="1" si="168"/>
        <v>307.5734627556713</v>
      </c>
      <c r="AI848">
        <f t="shared" ca="1" si="169"/>
        <v>166.16988062051934</v>
      </c>
      <c r="AJ848">
        <f t="shared" ca="1" si="170"/>
        <v>52.668255119241763</v>
      </c>
      <c r="AL848">
        <v>843</v>
      </c>
      <c r="AM848" s="4">
        <f t="shared" ca="1" si="163"/>
        <v>-6.0319922149953964E-3</v>
      </c>
      <c r="AN848" s="4">
        <f t="shared" ca="1" si="164"/>
        <v>1.1627214036007194E-2</v>
      </c>
      <c r="AO848" s="4">
        <f t="shared" ca="1" si="165"/>
        <v>-6.8214910122958994E-3</v>
      </c>
      <c r="AP848" s="4">
        <f t="shared" ca="1" si="166"/>
        <v>7.9484064621548932E-4</v>
      </c>
    </row>
    <row r="849" spans="20:42" x14ac:dyDescent="0.3">
      <c r="T849">
        <v>843</v>
      </c>
      <c r="U849" s="4">
        <v>1.6906136610093814E-2</v>
      </c>
      <c r="V849" s="4"/>
      <c r="W849">
        <v>844</v>
      </c>
      <c r="X849">
        <f t="shared" ca="1" si="167"/>
        <v>-0.16989500261150114</v>
      </c>
      <c r="Y849">
        <f t="shared" ca="1" si="167"/>
        <v>6.073098003427016E-2</v>
      </c>
      <c r="Z849">
        <f t="shared" ca="1" si="167"/>
        <v>0.22476539305909934</v>
      </c>
      <c r="AB849">
        <v>844</v>
      </c>
      <c r="AC849" s="24">
        <f t="shared" ca="1" si="160"/>
        <v>-0.16989500261150114</v>
      </c>
      <c r="AD849" s="24">
        <f t="shared" ca="1" si="161"/>
        <v>-0.11791412072353762</v>
      </c>
      <c r="AE849" s="24">
        <f t="shared" ca="1" si="162"/>
        <v>-7.8363630253681787E-3</v>
      </c>
      <c r="AF849" s="24"/>
      <c r="AG849">
        <v>844</v>
      </c>
      <c r="AH849">
        <f t="shared" ca="1" si="168"/>
        <v>308.54904497571113</v>
      </c>
      <c r="AI849">
        <f t="shared" ca="1" si="169"/>
        <v>163.85875060722907</v>
      </c>
      <c r="AJ849">
        <f t="shared" ca="1" si="170"/>
        <v>53.022847119186146</v>
      </c>
      <c r="AL849">
        <v>844</v>
      </c>
      <c r="AM849" s="4">
        <f t="shared" ca="1" si="163"/>
        <v>-2.8792575577347712E-3</v>
      </c>
      <c r="AN849" s="4">
        <f t="shared" ca="1" si="164"/>
        <v>-2.442736594571282E-3</v>
      </c>
      <c r="AO849" s="4">
        <f t="shared" ca="1" si="165"/>
        <v>-1.3486065010892556E-4</v>
      </c>
      <c r="AP849" s="4">
        <f t="shared" ca="1" si="166"/>
        <v>-1.8813301001816217E-3</v>
      </c>
    </row>
    <row r="850" spans="20:42" x14ac:dyDescent="0.3">
      <c r="T850">
        <v>844</v>
      </c>
      <c r="U850" s="4">
        <v>1.6965437680614249E-2</v>
      </c>
      <c r="V850" s="4"/>
      <c r="W850">
        <v>845</v>
      </c>
      <c r="X850">
        <f t="shared" ca="1" si="167"/>
        <v>0.99766637135763636</v>
      </c>
      <c r="Y850">
        <f t="shared" ca="1" si="167"/>
        <v>8.8802343720070384E-2</v>
      </c>
      <c r="Z850">
        <f t="shared" ca="1" si="167"/>
        <v>-2.2196448547969955E-2</v>
      </c>
      <c r="AB850">
        <v>845</v>
      </c>
      <c r="AC850" s="24">
        <f t="shared" ca="1" si="160"/>
        <v>0.99766637135763636</v>
      </c>
      <c r="AD850" s="24">
        <f t="shared" ca="1" si="161"/>
        <v>0.91190253741356442</v>
      </c>
      <c r="AE850" s="24">
        <f t="shared" ca="1" si="162"/>
        <v>0.82757063457111213</v>
      </c>
      <c r="AF850" s="24"/>
      <c r="AG850">
        <v>845</v>
      </c>
      <c r="AH850">
        <f t="shared" ca="1" si="168"/>
        <v>314.7361516675121</v>
      </c>
      <c r="AI850">
        <f t="shared" ca="1" si="169"/>
        <v>167.405032746346</v>
      </c>
      <c r="AJ850">
        <f t="shared" ca="1" si="170"/>
        <v>53.814816925536114</v>
      </c>
      <c r="AL850">
        <v>845</v>
      </c>
      <c r="AM850" s="4">
        <f t="shared" ca="1" si="163"/>
        <v>1.7115270114790526E-2</v>
      </c>
      <c r="AN850" s="4">
        <f t="shared" ca="1" si="164"/>
        <v>1.9146708539431456E-2</v>
      </c>
      <c r="AO850" s="4">
        <f t="shared" ca="1" si="165"/>
        <v>1.4799512809827053E-2</v>
      </c>
      <c r="AP850" s="4">
        <f t="shared" ca="1" si="166"/>
        <v>1.7233118293157854E-2</v>
      </c>
    </row>
    <row r="851" spans="20:42" x14ac:dyDescent="0.3">
      <c r="T851">
        <v>845</v>
      </c>
      <c r="U851" s="4">
        <v>1.7119388478963306E-2</v>
      </c>
      <c r="V851" s="4"/>
      <c r="W851">
        <v>846</v>
      </c>
      <c r="X851">
        <f t="shared" ca="1" si="167"/>
        <v>0.67658315469268071</v>
      </c>
      <c r="Y851">
        <f t="shared" ca="1" si="167"/>
        <v>0.31657339427982806</v>
      </c>
      <c r="Z851">
        <f t="shared" ca="1" si="167"/>
        <v>-0.62794209920828137</v>
      </c>
      <c r="AB851">
        <v>846</v>
      </c>
      <c r="AC851" s="24">
        <f t="shared" ca="1" si="160"/>
        <v>0.67658315469268071</v>
      </c>
      <c r="AD851" s="24">
        <f t="shared" ca="1" si="161"/>
        <v>0.74473521594331915</v>
      </c>
      <c r="AE851" s="24">
        <f t="shared" ca="1" si="162"/>
        <v>0.32094401082084062</v>
      </c>
      <c r="AF851" s="24"/>
      <c r="AG851">
        <v>846</v>
      </c>
      <c r="AH851">
        <f t="shared" ca="1" si="168"/>
        <v>313.02241332949711</v>
      </c>
      <c r="AI851">
        <f t="shared" ca="1" si="169"/>
        <v>166.82419961104017</v>
      </c>
      <c r="AJ851">
        <f t="shared" ca="1" si="170"/>
        <v>53.333132025518019</v>
      </c>
      <c r="AL851">
        <v>846</v>
      </c>
      <c r="AM851" s="4">
        <f t="shared" ca="1" si="163"/>
        <v>1.1577077494269394E-2</v>
      </c>
      <c r="AN851" s="4">
        <f t="shared" ca="1" si="164"/>
        <v>1.5610648910002745E-2</v>
      </c>
      <c r="AO851" s="4">
        <f t="shared" ca="1" si="165"/>
        <v>5.7162597246667168E-3</v>
      </c>
      <c r="AP851" s="4">
        <f t="shared" ca="1" si="166"/>
        <v>1.1432260729681931E-2</v>
      </c>
    </row>
    <row r="852" spans="20:42" x14ac:dyDescent="0.3">
      <c r="T852">
        <v>846</v>
      </c>
      <c r="U852" s="4">
        <v>1.7170764972346264E-2</v>
      </c>
      <c r="V852" s="4"/>
      <c r="W852">
        <v>847</v>
      </c>
      <c r="X852">
        <f t="shared" ca="1" si="167"/>
        <v>-1.6136706475404845</v>
      </c>
      <c r="Y852">
        <f t="shared" ca="1" si="167"/>
        <v>-2.1697655149235322</v>
      </c>
      <c r="Z852">
        <f t="shared" ca="1" si="167"/>
        <v>1.1157931811318362</v>
      </c>
      <c r="AB852">
        <v>847</v>
      </c>
      <c r="AC852" s="24">
        <f t="shared" ca="1" si="160"/>
        <v>-1.6136706475404845</v>
      </c>
      <c r="AD852" s="24">
        <f t="shared" ca="1" si="161"/>
        <v>-2.4733082735509857</v>
      </c>
      <c r="AE852" s="24">
        <f t="shared" ca="1" si="162"/>
        <v>-1.3497954171962023</v>
      </c>
      <c r="AF852" s="24"/>
      <c r="AG852">
        <v>847</v>
      </c>
      <c r="AH852">
        <f t="shared" ca="1" si="168"/>
        <v>301.06616070213158</v>
      </c>
      <c r="AI852">
        <f t="shared" ca="1" si="169"/>
        <v>156.02754812677333</v>
      </c>
      <c r="AJ852">
        <f t="shared" ca="1" si="170"/>
        <v>51.774989194106837</v>
      </c>
      <c r="AL852">
        <v>847</v>
      </c>
      <c r="AM852" s="4">
        <f t="shared" ca="1" si="163"/>
        <v>-2.7061277382390392E-2</v>
      </c>
      <c r="AN852" s="4">
        <f t="shared" ca="1" si="164"/>
        <v>-5.0118389476258685E-2</v>
      </c>
      <c r="AO852" s="4">
        <f t="shared" ca="1" si="165"/>
        <v>-2.3666030814240235E-2</v>
      </c>
      <c r="AP852" s="4">
        <f t="shared" ca="1" si="166"/>
        <v>-3.5265548249492656E-2</v>
      </c>
    </row>
    <row r="853" spans="20:42" x14ac:dyDescent="0.3">
      <c r="T853">
        <v>847</v>
      </c>
      <c r="U853" s="4">
        <v>1.7184411658252886E-2</v>
      </c>
      <c r="V853" s="4"/>
      <c r="W853">
        <v>848</v>
      </c>
      <c r="X853">
        <f t="shared" ca="1" si="167"/>
        <v>-5.8323939506530309E-2</v>
      </c>
      <c r="Y853">
        <f t="shared" ca="1" si="167"/>
        <v>0.12402993890455176</v>
      </c>
      <c r="Z853">
        <f t="shared" ca="1" si="167"/>
        <v>-0.23358132176844584</v>
      </c>
      <c r="AB853">
        <v>848</v>
      </c>
      <c r="AC853" s="24">
        <f t="shared" ca="1" si="160"/>
        <v>-5.8323939506530309E-2</v>
      </c>
      <c r="AD853" s="24">
        <f t="shared" ca="1" si="161"/>
        <v>1.0362335121427708E-2</v>
      </c>
      <c r="AE853" s="24">
        <f t="shared" ca="1" si="162"/>
        <v>-0.13191366207977803</v>
      </c>
      <c r="AF853" s="24"/>
      <c r="AG853">
        <v>848</v>
      </c>
      <c r="AH853">
        <f t="shared" ca="1" si="168"/>
        <v>309.13498498448394</v>
      </c>
      <c r="AI853">
        <f t="shared" ca="1" si="169"/>
        <v>164.29635519521676</v>
      </c>
      <c r="AJ853">
        <f t="shared" ca="1" si="170"/>
        <v>52.906219505875583</v>
      </c>
      <c r="AL853">
        <v>848</v>
      </c>
      <c r="AM853" s="4">
        <f t="shared" ca="1" si="163"/>
        <v>-9.8570790626806293E-4</v>
      </c>
      <c r="AN853" s="4">
        <f t="shared" ca="1" si="164"/>
        <v>2.2136058442545625E-4</v>
      </c>
      <c r="AO853" s="4">
        <f t="shared" ca="1" si="165"/>
        <v>-2.3341368333114065E-3</v>
      </c>
      <c r="AP853" s="4">
        <f t="shared" ca="1" si="166"/>
        <v>-9.0740918810365838E-4</v>
      </c>
    </row>
    <row r="854" spans="20:42" x14ac:dyDescent="0.3">
      <c r="T854">
        <v>848</v>
      </c>
      <c r="U854" s="4">
        <v>1.7195096523266184E-2</v>
      </c>
      <c r="V854" s="4"/>
      <c r="W854">
        <v>849</v>
      </c>
      <c r="X854">
        <f t="shared" ca="1" si="167"/>
        <v>-1.2061483565309996</v>
      </c>
      <c r="Y854">
        <f t="shared" ca="1" si="167"/>
        <v>-1.2948809750898382</v>
      </c>
      <c r="Z854">
        <f t="shared" ca="1" si="167"/>
        <v>0.53397588374223837</v>
      </c>
      <c r="AB854">
        <v>849</v>
      </c>
      <c r="AC854" s="24">
        <f t="shared" ca="1" si="160"/>
        <v>-1.2061483565309996</v>
      </c>
      <c r="AD854" s="24">
        <f t="shared" ca="1" si="161"/>
        <v>-1.6876015156514002</v>
      </c>
      <c r="AE854" s="24">
        <f t="shared" ca="1" si="162"/>
        <v>-1.0709371577960956</v>
      </c>
      <c r="AF854" s="24"/>
      <c r="AG854">
        <v>849</v>
      </c>
      <c r="AH854">
        <f t="shared" ca="1" si="168"/>
        <v>303.15971529596862</v>
      </c>
      <c r="AI854">
        <f t="shared" ca="1" si="169"/>
        <v>158.59735168826248</v>
      </c>
      <c r="AJ854">
        <f t="shared" ca="1" si="170"/>
        <v>52.031852869431482</v>
      </c>
      <c r="AL854">
        <v>849</v>
      </c>
      <c r="AM854" s="4">
        <f t="shared" ca="1" si="163"/>
        <v>-2.0295653748343634E-2</v>
      </c>
      <c r="AN854" s="4">
        <f t="shared" ca="1" si="164"/>
        <v>-3.4473657664324975E-2</v>
      </c>
      <c r="AO854" s="4">
        <f t="shared" ca="1" si="165"/>
        <v>-1.8822288003804255E-2</v>
      </c>
      <c r="AP854" s="4">
        <f t="shared" ca="1" si="166"/>
        <v>-2.5524845591374357E-2</v>
      </c>
    </row>
    <row r="855" spans="20:42" x14ac:dyDescent="0.3">
      <c r="T855">
        <v>849</v>
      </c>
      <c r="U855" s="4">
        <v>1.7297790963693369E-2</v>
      </c>
      <c r="V855" s="4"/>
      <c r="W855">
        <v>850</v>
      </c>
      <c r="X855">
        <f t="shared" ca="1" si="167"/>
        <v>7.8772017210699721E-2</v>
      </c>
      <c r="Y855">
        <f t="shared" ca="1" si="167"/>
        <v>-0.14753095355604195</v>
      </c>
      <c r="Z855">
        <f t="shared" ca="1" si="167"/>
        <v>-0.76609888473428445</v>
      </c>
      <c r="AB855">
        <v>850</v>
      </c>
      <c r="AC855" s="24">
        <f t="shared" ca="1" si="160"/>
        <v>7.8772017210699721E-2</v>
      </c>
      <c r="AD855" s="24">
        <f t="shared" ca="1" si="161"/>
        <v>-4.1487753671329008E-3</v>
      </c>
      <c r="AE855" s="24">
        <f t="shared" ca="1" si="162"/>
        <v>-0.36523664009045737</v>
      </c>
      <c r="AF855" s="24"/>
      <c r="AG855">
        <v>850</v>
      </c>
      <c r="AH855">
        <f t="shared" ca="1" si="168"/>
        <v>309.85649848697807</v>
      </c>
      <c r="AI855">
        <f t="shared" ca="1" si="169"/>
        <v>164.24679316751983</v>
      </c>
      <c r="AJ855">
        <f t="shared" ca="1" si="170"/>
        <v>52.6875997144842</v>
      </c>
      <c r="AL855">
        <v>850</v>
      </c>
      <c r="AM855" s="4">
        <f t="shared" ca="1" si="163"/>
        <v>1.3459670446160921E-3</v>
      </c>
      <c r="AN855" s="4">
        <f t="shared" ca="1" si="164"/>
        <v>-8.0368560554266999E-5</v>
      </c>
      <c r="AO855" s="4">
        <f t="shared" ca="1" si="165"/>
        <v>-6.456705123407791E-3</v>
      </c>
      <c r="AP855" s="4">
        <f t="shared" ca="1" si="166"/>
        <v>-1.5653688478592164E-3</v>
      </c>
    </row>
    <row r="856" spans="20:42" x14ac:dyDescent="0.3">
      <c r="T856">
        <v>850</v>
      </c>
      <c r="U856" s="4">
        <v>1.7337644322213741E-2</v>
      </c>
      <c r="V856" s="4"/>
      <c r="W856">
        <v>851</v>
      </c>
      <c r="X856">
        <f t="shared" ca="1" si="167"/>
        <v>1.512949372723946</v>
      </c>
      <c r="Y856">
        <f t="shared" ca="1" si="167"/>
        <v>0.46301226720637667</v>
      </c>
      <c r="Z856">
        <f t="shared" ca="1" si="167"/>
        <v>1.9260918809478129</v>
      </c>
      <c r="AB856">
        <v>851</v>
      </c>
      <c r="AC856" s="24">
        <f t="shared" ca="1" si="160"/>
        <v>1.512949372723946</v>
      </c>
      <c r="AD856" s="24">
        <f t="shared" ca="1" si="161"/>
        <v>1.5446779121011449</v>
      </c>
      <c r="AE856" s="24">
        <f t="shared" ca="1" si="162"/>
        <v>2.3402443629940026</v>
      </c>
      <c r="AF856" s="24"/>
      <c r="AG856">
        <v>851</v>
      </c>
      <c r="AH856">
        <f t="shared" ca="1" si="168"/>
        <v>317.50603737356016</v>
      </c>
      <c r="AI856">
        <f t="shared" ca="1" si="169"/>
        <v>169.62202450998009</v>
      </c>
      <c r="AJ856">
        <f t="shared" ca="1" si="170"/>
        <v>55.279061597869308</v>
      </c>
      <c r="AL856">
        <v>851</v>
      </c>
      <c r="AM856" s="4">
        <f t="shared" ca="1" si="163"/>
        <v>2.6066555288634552E-2</v>
      </c>
      <c r="AN856" s="4">
        <f t="shared" ca="1" si="164"/>
        <v>3.264355401474206E-2</v>
      </c>
      <c r="AO856" s="4">
        <f t="shared" ca="1" si="165"/>
        <v>4.2411142190155182E-2</v>
      </c>
      <c r="AP856" s="4">
        <f t="shared" ca="1" si="166"/>
        <v>3.3600730849533744E-2</v>
      </c>
    </row>
    <row r="857" spans="20:42" x14ac:dyDescent="0.3">
      <c r="T857">
        <v>851</v>
      </c>
      <c r="U857" s="4">
        <v>1.7468004729769816E-2</v>
      </c>
      <c r="V857" s="4"/>
      <c r="W857">
        <v>852</v>
      </c>
      <c r="X857">
        <f t="shared" ca="1" si="167"/>
        <v>-0.40659419429980537</v>
      </c>
      <c r="Y857">
        <f t="shared" ca="1" si="167"/>
        <v>1.6170403752044826</v>
      </c>
      <c r="Z857">
        <f t="shared" ca="1" si="167"/>
        <v>-8.3906632665225703E-2</v>
      </c>
      <c r="AB857">
        <v>852</v>
      </c>
      <c r="AC857" s="24">
        <f t="shared" ca="1" si="160"/>
        <v>-0.40659419429980537</v>
      </c>
      <c r="AD857" s="24">
        <f t="shared" ca="1" si="161"/>
        <v>0.44297113390163007</v>
      </c>
      <c r="AE857" s="24">
        <f t="shared" ca="1" si="162"/>
        <v>7.1921500004538952E-2</v>
      </c>
      <c r="AF857" s="24"/>
      <c r="AG857">
        <v>852</v>
      </c>
      <c r="AH857">
        <f t="shared" ca="1" si="168"/>
        <v>307.30964181474809</v>
      </c>
      <c r="AI857">
        <f t="shared" ca="1" si="169"/>
        <v>165.78079944967899</v>
      </c>
      <c r="AJ857">
        <f t="shared" ca="1" si="170"/>
        <v>53.09795197824112</v>
      </c>
      <c r="AL857">
        <v>852</v>
      </c>
      <c r="AM857" s="4">
        <f t="shared" ca="1" si="163"/>
        <v>-6.8845676378292975E-3</v>
      </c>
      <c r="AN857" s="4">
        <f t="shared" ca="1" si="164"/>
        <v>9.2585230348385394E-3</v>
      </c>
      <c r="AO857" s="4">
        <f t="shared" ca="1" si="165"/>
        <v>1.281410531935645E-3</v>
      </c>
      <c r="AP857" s="4">
        <f t="shared" ca="1" si="166"/>
        <v>2.0224620821673199E-3</v>
      </c>
    </row>
    <row r="858" spans="20:42" x14ac:dyDescent="0.3">
      <c r="T858">
        <v>852</v>
      </c>
      <c r="U858" s="4">
        <v>1.7584472775062768E-2</v>
      </c>
      <c r="V858" s="4"/>
      <c r="W858">
        <v>853</v>
      </c>
      <c r="X858">
        <f t="shared" ca="1" si="167"/>
        <v>0.30662333825402016</v>
      </c>
      <c r="Y858">
        <f t="shared" ca="1" si="167"/>
        <v>-0.57487927927339166</v>
      </c>
      <c r="Z858">
        <f t="shared" ca="1" si="167"/>
        <v>-0.59434026860580791</v>
      </c>
      <c r="AB858">
        <v>853</v>
      </c>
      <c r="AC858" s="24">
        <f t="shared" ca="1" si="160"/>
        <v>0.30662333825402016</v>
      </c>
      <c r="AD858" s="24">
        <f t="shared" ca="1" si="161"/>
        <v>-1.6449326114760354E-2</v>
      </c>
      <c r="AE858" s="24">
        <f t="shared" ca="1" si="162"/>
        <v>-0.21005617023261627</v>
      </c>
      <c r="AF858" s="24"/>
      <c r="AG858">
        <v>853</v>
      </c>
      <c r="AH858">
        <f t="shared" ca="1" si="168"/>
        <v>311.05936962849449</v>
      </c>
      <c r="AI858">
        <f t="shared" ca="1" si="169"/>
        <v>164.20479291282624</v>
      </c>
      <c r="AJ858">
        <f t="shared" ca="1" si="170"/>
        <v>52.832900417646357</v>
      </c>
      <c r="AL858">
        <v>853</v>
      </c>
      <c r="AM858" s="4">
        <f t="shared" ca="1" si="163"/>
        <v>5.233218634669301E-3</v>
      </c>
      <c r="AN858" s="4">
        <f t="shared" ca="1" si="164"/>
        <v>-3.3606231495686423E-4</v>
      </c>
      <c r="AO858" s="4">
        <f t="shared" ca="1" si="165"/>
        <v>-3.7167332865825076E-3</v>
      </c>
      <c r="AP858" s="4">
        <f t="shared" ca="1" si="166"/>
        <v>3.2052067844329235E-4</v>
      </c>
    </row>
    <row r="859" spans="20:42" x14ac:dyDescent="0.3">
      <c r="T859">
        <v>853</v>
      </c>
      <c r="U859" s="4">
        <v>1.7602767356265269E-2</v>
      </c>
      <c r="V859" s="4"/>
      <c r="W859">
        <v>854</v>
      </c>
      <c r="X859">
        <f t="shared" ca="1" si="167"/>
        <v>7.7583257293668689E-2</v>
      </c>
      <c r="Y859">
        <f t="shared" ca="1" si="167"/>
        <v>-2.4723916089978806</v>
      </c>
      <c r="Z859">
        <f t="shared" ca="1" si="167"/>
        <v>1.2247495645171245</v>
      </c>
      <c r="AB859">
        <v>854</v>
      </c>
      <c r="AC859" s="24">
        <f t="shared" ca="1" si="160"/>
        <v>7.7583257293668689E-2</v>
      </c>
      <c r="AD859" s="24">
        <f t="shared" ca="1" si="161"/>
        <v>-1.1507343005310768</v>
      </c>
      <c r="AE859" s="24">
        <f t="shared" ca="1" si="162"/>
        <v>2.4095923113370832E-3</v>
      </c>
      <c r="AF859" s="24"/>
      <c r="AG859">
        <v>854</v>
      </c>
      <c r="AH859">
        <f t="shared" ca="1" si="168"/>
        <v>309.85023500680052</v>
      </c>
      <c r="AI859">
        <f t="shared" ca="1" si="169"/>
        <v>160.37757682559737</v>
      </c>
      <c r="AJ859">
        <f t="shared" ca="1" si="170"/>
        <v>53.032489384351166</v>
      </c>
      <c r="AL859">
        <v>854</v>
      </c>
      <c r="AM859" s="4">
        <f t="shared" ca="1" si="163"/>
        <v>1.3257257050085514E-3</v>
      </c>
      <c r="AN859" s="4">
        <f t="shared" ca="1" si="164"/>
        <v>-2.3635807932990471E-2</v>
      </c>
      <c r="AO859" s="4">
        <f t="shared" ca="1" si="165"/>
        <v>4.6965964769052349E-5</v>
      </c>
      <c r="AP859" s="4">
        <f t="shared" ca="1" si="166"/>
        <v>-9.0425156722629078E-3</v>
      </c>
    </row>
    <row r="860" spans="20:42" x14ac:dyDescent="0.3">
      <c r="T860">
        <v>854</v>
      </c>
      <c r="U860" s="4">
        <v>1.7605691936484869E-2</v>
      </c>
      <c r="V860" s="4"/>
      <c r="W860">
        <v>855</v>
      </c>
      <c r="X860">
        <f t="shared" ca="1" si="167"/>
        <v>0.18872481636256452</v>
      </c>
      <c r="Y860">
        <f t="shared" ca="1" si="167"/>
        <v>-0.62785278990678983</v>
      </c>
      <c r="Z860">
        <f t="shared" ca="1" si="167"/>
        <v>-0.74707846889358032</v>
      </c>
      <c r="AB860">
        <v>855</v>
      </c>
      <c r="AC860" s="24">
        <f t="shared" ca="1" si="160"/>
        <v>0.18872481636256452</v>
      </c>
      <c r="AD860" s="24">
        <f t="shared" ca="1" si="161"/>
        <v>-0.14514403154579256</v>
      </c>
      <c r="AE860" s="24">
        <f t="shared" ca="1" si="162"/>
        <v>-0.39842827243944312</v>
      </c>
      <c r="AF860" s="24"/>
      <c r="AG860">
        <v>855</v>
      </c>
      <c r="AH860">
        <f t="shared" ca="1" si="168"/>
        <v>310.43637870963153</v>
      </c>
      <c r="AI860">
        <f t="shared" ca="1" si="169"/>
        <v>163.76600807974714</v>
      </c>
      <c r="AJ860">
        <f t="shared" ca="1" si="170"/>
        <v>52.656573184728757</v>
      </c>
      <c r="AL860">
        <v>855</v>
      </c>
      <c r="AM860" s="4">
        <f t="shared" ca="1" si="163"/>
        <v>3.2199336232043851E-3</v>
      </c>
      <c r="AN860" s="4">
        <f t="shared" ca="1" si="164"/>
        <v>-3.0073447193942338E-3</v>
      </c>
      <c r="AO860" s="4">
        <f t="shared" ca="1" si="165"/>
        <v>-7.0417801841214933E-3</v>
      </c>
      <c r="AP860" s="4">
        <f t="shared" ca="1" si="166"/>
        <v>-2.3494918560328258E-3</v>
      </c>
    </row>
    <row r="861" spans="20:42" x14ac:dyDescent="0.3">
      <c r="T861">
        <v>855</v>
      </c>
      <c r="U861" s="4">
        <v>1.7865001741725648E-2</v>
      </c>
      <c r="V861" s="4"/>
      <c r="W861">
        <v>856</v>
      </c>
      <c r="X861">
        <f t="shared" ca="1" si="167"/>
        <v>-0.73455788299053415</v>
      </c>
      <c r="Y861">
        <f t="shared" ca="1" si="167"/>
        <v>-0.77391237996073825</v>
      </c>
      <c r="Z861">
        <f t="shared" ca="1" si="167"/>
        <v>0.97264867356522988</v>
      </c>
      <c r="AB861">
        <v>856</v>
      </c>
      <c r="AC861" s="24">
        <f t="shared" ca="1" si="160"/>
        <v>-0.73455788299053415</v>
      </c>
      <c r="AD861" s="24">
        <f t="shared" ca="1" si="161"/>
        <v>-1.0205325428263574</v>
      </c>
      <c r="AE861" s="24">
        <f t="shared" ca="1" si="162"/>
        <v>-0.31956749094050474</v>
      </c>
      <c r="AF861" s="24"/>
      <c r="AG861">
        <v>856</v>
      </c>
      <c r="AH861">
        <f t="shared" ca="1" si="168"/>
        <v>305.60058365147455</v>
      </c>
      <c r="AI861">
        <f t="shared" ca="1" si="169"/>
        <v>160.81232169562625</v>
      </c>
      <c r="AJ861">
        <f t="shared" ca="1" si="170"/>
        <v>52.730319732222682</v>
      </c>
      <c r="AL861">
        <v>856</v>
      </c>
      <c r="AM861" s="4">
        <f t="shared" ca="1" si="163"/>
        <v>-1.2407635598627786E-2</v>
      </c>
      <c r="AN861" s="4">
        <f t="shared" ca="1" si="164"/>
        <v>-2.0989120458452803E-2</v>
      </c>
      <c r="AO861" s="4">
        <f t="shared" ca="1" si="165"/>
        <v>-5.6511230241836907E-3</v>
      </c>
      <c r="AP861" s="4">
        <f t="shared" ca="1" si="166"/>
        <v>-1.3813275770224565E-2</v>
      </c>
    </row>
    <row r="862" spans="20:42" x14ac:dyDescent="0.3">
      <c r="T862">
        <v>856</v>
      </c>
      <c r="U862" s="4">
        <v>1.7917063178918592E-2</v>
      </c>
      <c r="V862" s="4"/>
      <c r="W862">
        <v>857</v>
      </c>
      <c r="X862">
        <f t="shared" ca="1" si="167"/>
        <v>0.39542151394221298</v>
      </c>
      <c r="Y862">
        <f t="shared" ca="1" si="167"/>
        <v>-0.84473729417898824</v>
      </c>
      <c r="Z862">
        <f t="shared" ca="1" si="167"/>
        <v>-2.4081191414851491</v>
      </c>
      <c r="AB862">
        <v>857</v>
      </c>
      <c r="AC862" s="24">
        <f t="shared" ca="1" si="160"/>
        <v>0.39542151394221298</v>
      </c>
      <c r="AD862" s="24">
        <f t="shared" ca="1" si="161"/>
        <v>-7.2148968283210491E-2</v>
      </c>
      <c r="AE862" s="24">
        <f t="shared" ca="1" si="162"/>
        <v>-1.1325909914329175</v>
      </c>
      <c r="AF862" s="24"/>
      <c r="AG862">
        <v>857</v>
      </c>
      <c r="AH862">
        <f t="shared" ca="1" si="168"/>
        <v>311.52941588028466</v>
      </c>
      <c r="AI862">
        <f t="shared" ca="1" si="169"/>
        <v>164.01474076299436</v>
      </c>
      <c r="AJ862">
        <f t="shared" ca="1" si="170"/>
        <v>51.974952395138921</v>
      </c>
      <c r="AL862">
        <v>857</v>
      </c>
      <c r="AM862" s="4">
        <f t="shared" ca="1" si="163"/>
        <v>6.7522408944986623E-3</v>
      </c>
      <c r="AN862" s="4">
        <f t="shared" ca="1" si="164"/>
        <v>-1.4930826253645169E-3</v>
      </c>
      <c r="AO862" s="4">
        <f t="shared" ca="1" si="165"/>
        <v>-1.9895274532228946E-2</v>
      </c>
      <c r="AP862" s="4">
        <f t="shared" ca="1" si="166"/>
        <v>-4.5401431414648918E-3</v>
      </c>
    </row>
    <row r="863" spans="20:42" x14ac:dyDescent="0.3">
      <c r="T863">
        <v>857</v>
      </c>
      <c r="U863" s="4">
        <v>1.7935281216542021E-2</v>
      </c>
      <c r="V863" s="4"/>
      <c r="W863">
        <v>858</v>
      </c>
      <c r="X863">
        <f t="shared" ca="1" si="167"/>
        <v>-5.7528344009442747E-2</v>
      </c>
      <c r="Y863">
        <f t="shared" ca="1" si="167"/>
        <v>0.46588798588393604</v>
      </c>
      <c r="Z863">
        <f t="shared" ca="1" si="167"/>
        <v>1.0500115562011785</v>
      </c>
      <c r="AB863">
        <v>858</v>
      </c>
      <c r="AC863" s="24">
        <f t="shared" ca="1" si="160"/>
        <v>-5.7528344009442747E-2</v>
      </c>
      <c r="AD863" s="24">
        <f t="shared" ca="1" si="161"/>
        <v>0.17950166829267131</v>
      </c>
      <c r="AE863" s="24">
        <f t="shared" ca="1" si="162"/>
        <v>0.61454775793171079</v>
      </c>
      <c r="AF863" s="24"/>
      <c r="AG863">
        <v>858</v>
      </c>
      <c r="AH863">
        <f t="shared" ca="1" si="168"/>
        <v>309.13916722250912</v>
      </c>
      <c r="AI863">
        <f t="shared" ca="1" si="169"/>
        <v>164.87514703813358</v>
      </c>
      <c r="AJ863">
        <f t="shared" ca="1" si="170"/>
        <v>53.611753584994382</v>
      </c>
      <c r="AL863">
        <v>858</v>
      </c>
      <c r="AM863" s="4">
        <f t="shared" ca="1" si="163"/>
        <v>-9.7219240086410252E-4</v>
      </c>
      <c r="AN863" s="4">
        <f t="shared" ca="1" si="164"/>
        <v>3.7449930102912976E-3</v>
      </c>
      <c r="AO863" s="4">
        <f t="shared" ca="1" si="165"/>
        <v>1.0970296418801873E-2</v>
      </c>
      <c r="AP863" s="4">
        <f t="shared" ca="1" si="166"/>
        <v>4.4974284094978501E-3</v>
      </c>
    </row>
    <row r="864" spans="20:42" x14ac:dyDescent="0.3">
      <c r="T864">
        <v>858</v>
      </c>
      <c r="U864" s="4">
        <v>1.8035270423396185E-2</v>
      </c>
      <c r="V864" s="4"/>
      <c r="W864">
        <v>859</v>
      </c>
      <c r="X864">
        <f t="shared" ca="1" si="167"/>
        <v>0.73162348722794157</v>
      </c>
      <c r="Y864">
        <f t="shared" ca="1" si="167"/>
        <v>-0.13056340250083953</v>
      </c>
      <c r="Z864">
        <f t="shared" ca="1" si="167"/>
        <v>-0.66546276261442849</v>
      </c>
      <c r="AB864">
        <v>859</v>
      </c>
      <c r="AC864" s="24">
        <f t="shared" ca="1" si="160"/>
        <v>0.73162348722794157</v>
      </c>
      <c r="AD864" s="24">
        <f t="shared" ca="1" si="161"/>
        <v>0.57230799277233391</v>
      </c>
      <c r="AE864" s="24">
        <f t="shared" ca="1" si="162"/>
        <v>0.22339649209538492</v>
      </c>
      <c r="AF864" s="24"/>
      <c r="AG864">
        <v>859</v>
      </c>
      <c r="AH864">
        <f t="shared" ca="1" si="168"/>
        <v>313.31551957425239</v>
      </c>
      <c r="AI864">
        <f t="shared" ca="1" si="169"/>
        <v>166.227201934942</v>
      </c>
      <c r="AJ864">
        <f t="shared" ca="1" si="170"/>
        <v>53.240883053934105</v>
      </c>
      <c r="AL864">
        <v>859</v>
      </c>
      <c r="AM864" s="4">
        <f t="shared" ca="1" si="163"/>
        <v>1.252429260040544E-2</v>
      </c>
      <c r="AN864" s="4">
        <f t="shared" ca="1" si="164"/>
        <v>1.1976181017254062E-2</v>
      </c>
      <c r="AO864" s="4">
        <f t="shared" ca="1" si="165"/>
        <v>3.976697708687027E-3</v>
      </c>
      <c r="AP864" s="4">
        <f t="shared" ca="1" si="166"/>
        <v>9.7407694996293637E-3</v>
      </c>
    </row>
    <row r="865" spans="20:42" x14ac:dyDescent="0.3">
      <c r="T865">
        <v>859</v>
      </c>
      <c r="U865" s="4">
        <v>1.8096587389078135E-2</v>
      </c>
      <c r="V865" s="4"/>
      <c r="W865">
        <v>860</v>
      </c>
      <c r="X865">
        <f t="shared" ca="1" si="167"/>
        <v>0.52716187748367538</v>
      </c>
      <c r="Y865">
        <f t="shared" ca="1" si="167"/>
        <v>-1.3835971429102949</v>
      </c>
      <c r="Z865">
        <f t="shared" ca="1" si="167"/>
        <v>1.7435200976197391</v>
      </c>
      <c r="AB865">
        <v>860</v>
      </c>
      <c r="AC865" s="24">
        <f t="shared" ca="1" si="160"/>
        <v>0.52716187748367538</v>
      </c>
      <c r="AD865" s="24">
        <f t="shared" ca="1" si="161"/>
        <v>-0.22302919353871881</v>
      </c>
      <c r="AE865" s="24">
        <f t="shared" ca="1" si="162"/>
        <v>0.9332098477966857</v>
      </c>
      <c r="AF865" s="24"/>
      <c r="AG865">
        <v>860</v>
      </c>
      <c r="AH865">
        <f t="shared" ca="1" si="168"/>
        <v>312.22808217833528</v>
      </c>
      <c r="AI865">
        <f t="shared" ca="1" si="169"/>
        <v>163.50102819793241</v>
      </c>
      <c r="AJ865">
        <f t="shared" ca="1" si="170"/>
        <v>53.915802252004823</v>
      </c>
      <c r="AL865">
        <v>860</v>
      </c>
      <c r="AM865" s="4">
        <f t="shared" ca="1" si="163"/>
        <v>9.0100818088547641E-3</v>
      </c>
      <c r="AN865" s="4">
        <f t="shared" ca="1" si="164"/>
        <v>-4.6205182898079178E-3</v>
      </c>
      <c r="AO865" s="4">
        <f t="shared" ca="1" si="165"/>
        <v>1.6703818463104536E-2</v>
      </c>
      <c r="AP865" s="4">
        <f t="shared" ca="1" si="166"/>
        <v>5.8659627656646226E-3</v>
      </c>
    </row>
    <row r="866" spans="20:42" x14ac:dyDescent="0.3">
      <c r="T866">
        <v>860</v>
      </c>
      <c r="U866" s="4">
        <v>1.8172287653217101E-2</v>
      </c>
      <c r="V866" s="4"/>
      <c r="W866">
        <v>861</v>
      </c>
      <c r="X866">
        <f t="shared" ca="1" si="167"/>
        <v>-0.78480229960260395</v>
      </c>
      <c r="Y866">
        <f t="shared" ca="1" si="167"/>
        <v>-0.12855824108754765</v>
      </c>
      <c r="Z866">
        <f t="shared" ca="1" si="167"/>
        <v>0.56489145315960432</v>
      </c>
      <c r="AB866">
        <v>861</v>
      </c>
      <c r="AC866" s="24">
        <f t="shared" ca="1" si="160"/>
        <v>-0.78480229960260395</v>
      </c>
      <c r="AD866" s="24">
        <f t="shared" ca="1" si="161"/>
        <v>-0.74626247545075042</v>
      </c>
      <c r="AE866" s="24">
        <f t="shared" ca="1" si="162"/>
        <v>-0.38937361739514648</v>
      </c>
      <c r="AF866" s="24"/>
      <c r="AG866">
        <v>861</v>
      </c>
      <c r="AH866">
        <f t="shared" ca="1" si="168"/>
        <v>305.33959488884051</v>
      </c>
      <c r="AI866">
        <f t="shared" ca="1" si="169"/>
        <v>161.73197175848946</v>
      </c>
      <c r="AJ866">
        <f t="shared" ca="1" si="170"/>
        <v>52.66503538850354</v>
      </c>
      <c r="AL866">
        <v>861</v>
      </c>
      <c r="AM866" s="4">
        <f t="shared" ca="1" si="163"/>
        <v>-1.3251058428820794E-2</v>
      </c>
      <c r="AN866" s="4">
        <f t="shared" ca="1" si="164"/>
        <v>-1.5390373997853368E-2</v>
      </c>
      <c r="AO866" s="4">
        <f t="shared" ca="1" si="165"/>
        <v>-6.8822062831300768E-3</v>
      </c>
      <c r="AP866" s="4">
        <f t="shared" ca="1" si="166"/>
        <v>-1.2196129012726608E-2</v>
      </c>
    </row>
    <row r="867" spans="20:42" x14ac:dyDescent="0.3">
      <c r="T867">
        <v>861</v>
      </c>
      <c r="U867" s="4">
        <v>1.8208505413174359E-2</v>
      </c>
      <c r="V867" s="4"/>
      <c r="W867">
        <v>862</v>
      </c>
      <c r="X867">
        <f t="shared" ca="1" si="167"/>
        <v>-2.4233604624702898</v>
      </c>
      <c r="Y867">
        <f t="shared" ca="1" si="167"/>
        <v>0.31652852367016276</v>
      </c>
      <c r="Z867">
        <f t="shared" ca="1" si="167"/>
        <v>-0.22632191116099701</v>
      </c>
      <c r="AB867">
        <v>862</v>
      </c>
      <c r="AC867" s="24">
        <f t="shared" ca="1" si="160"/>
        <v>-2.4233604624702898</v>
      </c>
      <c r="AD867" s="24">
        <f t="shared" ca="1" si="161"/>
        <v>-1.9527858128211235</v>
      </c>
      <c r="AE867" s="24">
        <f t="shared" ca="1" si="162"/>
        <v>-2.0054971520445481</v>
      </c>
      <c r="AF867" s="24"/>
      <c r="AG867">
        <v>862</v>
      </c>
      <c r="AH867">
        <f t="shared" ca="1" si="168"/>
        <v>296.949362186972</v>
      </c>
      <c r="AI867">
        <f t="shared" ca="1" si="169"/>
        <v>157.72531847251801</v>
      </c>
      <c r="AJ867">
        <f t="shared" ca="1" si="170"/>
        <v>51.175990325521013</v>
      </c>
      <c r="AL867">
        <v>862</v>
      </c>
      <c r="AM867" s="4">
        <f t="shared" ca="1" si="163"/>
        <v>-4.0365305570986054E-2</v>
      </c>
      <c r="AN867" s="4">
        <f t="shared" ca="1" si="164"/>
        <v>-3.9782517063490341E-2</v>
      </c>
      <c r="AO867" s="4">
        <f t="shared" ca="1" si="165"/>
        <v>-3.4961502855994753E-2</v>
      </c>
      <c r="AP867" s="4">
        <f t="shared" ca="1" si="166"/>
        <v>-3.8511049353490381E-2</v>
      </c>
    </row>
    <row r="868" spans="20:42" x14ac:dyDescent="0.3">
      <c r="T868">
        <v>862</v>
      </c>
      <c r="U868" s="4">
        <v>1.8295514132532831E-2</v>
      </c>
      <c r="V868" s="4"/>
      <c r="W868">
        <v>863</v>
      </c>
      <c r="X868">
        <f t="shared" ca="1" si="167"/>
        <v>-2.9367347973102165</v>
      </c>
      <c r="Y868">
        <f t="shared" ca="1" si="167"/>
        <v>1.9817261784386286</v>
      </c>
      <c r="Z868">
        <f t="shared" ca="1" si="167"/>
        <v>1.5914781118439458</v>
      </c>
      <c r="AB868">
        <v>863</v>
      </c>
      <c r="AC868" s="24">
        <f t="shared" ca="1" si="160"/>
        <v>-2.9367347973102165</v>
      </c>
      <c r="AD868" s="24">
        <f t="shared" ca="1" si="161"/>
        <v>-1.5790032740610718</v>
      </c>
      <c r="AE868" s="24">
        <f t="shared" ca="1" si="162"/>
        <v>-1.0422932183048137</v>
      </c>
      <c r="AF868" s="24"/>
      <c r="AG868">
        <v>863</v>
      </c>
      <c r="AH868">
        <f t="shared" ca="1" si="168"/>
        <v>294.36836439538126</v>
      </c>
      <c r="AI868">
        <f t="shared" ca="1" si="169"/>
        <v>158.95585660772903</v>
      </c>
      <c r="AJ868">
        <f t="shared" ca="1" si="170"/>
        <v>52.058309620545828</v>
      </c>
      <c r="AL868">
        <v>863</v>
      </c>
      <c r="AM868" s="4">
        <f t="shared" ca="1" si="163"/>
        <v>-4.8706172204993625E-2</v>
      </c>
      <c r="AN868" s="4">
        <f t="shared" ca="1" si="164"/>
        <v>-3.22911121179007E-2</v>
      </c>
      <c r="AO868" s="4">
        <f t="shared" ca="1" si="165"/>
        <v>-1.8323386406154718E-2</v>
      </c>
      <c r="AP868" s="4">
        <f t="shared" ca="1" si="166"/>
        <v>-3.3025312430504779E-2</v>
      </c>
    </row>
    <row r="869" spans="20:42" x14ac:dyDescent="0.3">
      <c r="T869">
        <v>863</v>
      </c>
      <c r="U869" s="4">
        <v>1.8311338355963481E-2</v>
      </c>
      <c r="V869" s="4"/>
      <c r="W869">
        <v>864</v>
      </c>
      <c r="X869">
        <f t="shared" ca="1" si="167"/>
        <v>3.6250295247787431E-2</v>
      </c>
      <c r="Y869">
        <f t="shared" ca="1" si="167"/>
        <v>-1.2609347393272383</v>
      </c>
      <c r="Z869">
        <f t="shared" ca="1" si="167"/>
        <v>-1.2884479418933761</v>
      </c>
      <c r="AB869">
        <v>864</v>
      </c>
      <c r="AC869" s="24">
        <f t="shared" ca="1" si="160"/>
        <v>3.6250295247787431E-2</v>
      </c>
      <c r="AD869" s="24">
        <f t="shared" ca="1" si="161"/>
        <v>-0.5897684143651456</v>
      </c>
      <c r="AE869" s="24">
        <f t="shared" ca="1" si="162"/>
        <v>-0.97239559732479397</v>
      </c>
      <c r="AF869" s="24"/>
      <c r="AG869">
        <v>864</v>
      </c>
      <c r="AH869">
        <f t="shared" ca="1" si="168"/>
        <v>309.63253367725116</v>
      </c>
      <c r="AI869">
        <f t="shared" ca="1" si="169"/>
        <v>162.25906382263992</v>
      </c>
      <c r="AJ869">
        <f t="shared" ca="1" si="170"/>
        <v>52.122926492718534</v>
      </c>
      <c r="AL869">
        <v>864</v>
      </c>
      <c r="AM869" s="4">
        <f t="shared" ca="1" si="163"/>
        <v>6.2219245839623127E-4</v>
      </c>
      <c r="AN869" s="4">
        <f t="shared" ca="1" si="164"/>
        <v>-1.2181485152258587E-2</v>
      </c>
      <c r="AO869" s="4">
        <f t="shared" ca="1" si="165"/>
        <v>-1.7104889825726111E-2</v>
      </c>
      <c r="AP869" s="4">
        <f t="shared" ca="1" si="166"/>
        <v>-9.8174032711023998E-3</v>
      </c>
    </row>
    <row r="870" spans="20:42" x14ac:dyDescent="0.3">
      <c r="T870">
        <v>864</v>
      </c>
      <c r="U870" s="4">
        <v>1.8421709179706383E-2</v>
      </c>
      <c r="V870" s="4"/>
      <c r="W870">
        <v>865</v>
      </c>
      <c r="X870">
        <f t="shared" ca="1" si="167"/>
        <v>1.0949760385595932</v>
      </c>
      <c r="Y870">
        <f t="shared" ca="1" si="167"/>
        <v>-1.6238263796195629</v>
      </c>
      <c r="Z870">
        <f t="shared" ca="1" si="167"/>
        <v>-0.28266613483373032</v>
      </c>
      <c r="AB870">
        <v>865</v>
      </c>
      <c r="AC870" s="24">
        <f t="shared" ca="1" si="160"/>
        <v>1.0949760385595932</v>
      </c>
      <c r="AD870" s="24">
        <f t="shared" ca="1" si="161"/>
        <v>0.15269902117298839</v>
      </c>
      <c r="AE870" s="24">
        <f t="shared" ca="1" si="162"/>
        <v>0.30203963759716435</v>
      </c>
      <c r="AF870" s="24"/>
      <c r="AG870">
        <v>865</v>
      </c>
      <c r="AH870">
        <f t="shared" ca="1" si="168"/>
        <v>315.25737916306923</v>
      </c>
      <c r="AI870">
        <f t="shared" ca="1" si="169"/>
        <v>164.7832930785188</v>
      </c>
      <c r="AJ870">
        <f t="shared" ca="1" si="170"/>
        <v>53.315242014648987</v>
      </c>
      <c r="AL870">
        <v>865</v>
      </c>
      <c r="AM870" s="4">
        <f t="shared" ca="1" si="163"/>
        <v>1.8799691945984742E-2</v>
      </c>
      <c r="AN870" s="4">
        <f t="shared" ca="1" si="164"/>
        <v>3.1857944063307109E-3</v>
      </c>
      <c r="AO870" s="4">
        <f t="shared" ca="1" si="165"/>
        <v>5.3789032984770113E-3</v>
      </c>
      <c r="AP870" s="4">
        <f t="shared" ca="1" si="166"/>
        <v>8.5278963358708104E-3</v>
      </c>
    </row>
    <row r="871" spans="20:42" x14ac:dyDescent="0.3">
      <c r="T871">
        <v>865</v>
      </c>
      <c r="U871" s="4">
        <v>1.8487433897495228E-2</v>
      </c>
      <c r="V871" s="4"/>
      <c r="W871">
        <v>866</v>
      </c>
      <c r="X871">
        <f t="shared" ca="1" si="167"/>
        <v>-0.56755069647039447</v>
      </c>
      <c r="Y871">
        <f t="shared" ca="1" si="167"/>
        <v>1.4784670131184603</v>
      </c>
      <c r="Z871">
        <f t="shared" ca="1" si="167"/>
        <v>-0.13532104722415589</v>
      </c>
      <c r="AB871">
        <v>866</v>
      </c>
      <c r="AC871" s="24">
        <f t="shared" ca="1" si="160"/>
        <v>-0.56755069647039447</v>
      </c>
      <c r="AD871" s="24">
        <f t="shared" ca="1" si="161"/>
        <v>0.23462993097692419</v>
      </c>
      <c r="AE871" s="24">
        <f t="shared" ca="1" si="162"/>
        <v>-0.12380183986371772</v>
      </c>
      <c r="AF871" s="24"/>
      <c r="AG871">
        <v>866</v>
      </c>
      <c r="AH871">
        <f t="shared" ca="1" si="168"/>
        <v>306.46968713935354</v>
      </c>
      <c r="AI871">
        <f t="shared" ca="1" si="169"/>
        <v>165.06423523550842</v>
      </c>
      <c r="AJ871">
        <f t="shared" ca="1" si="170"/>
        <v>52.913836445215139</v>
      </c>
      <c r="AL871">
        <v>866</v>
      </c>
      <c r="AM871" s="4">
        <f t="shared" ca="1" si="163"/>
        <v>-9.5990023223159193E-3</v>
      </c>
      <c r="AN871" s="4">
        <f t="shared" ca="1" si="164"/>
        <v>4.8961448652669048E-3</v>
      </c>
      <c r="AO871" s="4">
        <f t="shared" ca="1" si="165"/>
        <v>-2.1905022959760601E-3</v>
      </c>
      <c r="AP871" s="4">
        <f t="shared" ca="1" si="166"/>
        <v>-1.5783934393808316E-3</v>
      </c>
    </row>
    <row r="872" spans="20:42" x14ac:dyDescent="0.3">
      <c r="T872">
        <v>866</v>
      </c>
      <c r="U872" s="4">
        <v>1.8531271416617433E-2</v>
      </c>
      <c r="V872" s="4"/>
      <c r="W872">
        <v>867</v>
      </c>
      <c r="X872">
        <f t="shared" ca="1" si="167"/>
        <v>1.4630682899170606</v>
      </c>
      <c r="Y872">
        <f t="shared" ca="1" si="167"/>
        <v>1.7805684385645875</v>
      </c>
      <c r="Z872">
        <f t="shared" ca="1" si="167"/>
        <v>6.5962517551341082E-2</v>
      </c>
      <c r="AB872">
        <v>867</v>
      </c>
      <c r="AC872" s="24">
        <f t="shared" ca="1" si="160"/>
        <v>1.4630682899170606</v>
      </c>
      <c r="AD872" s="24">
        <f t="shared" ca="1" si="161"/>
        <v>2.1504847580597595</v>
      </c>
      <c r="AE872" s="24">
        <f t="shared" ca="1" si="162"/>
        <v>1.7191925237188475</v>
      </c>
      <c r="AF872" s="24"/>
      <c r="AG872">
        <v>867</v>
      </c>
      <c r="AH872">
        <f t="shared" ca="1" si="168"/>
        <v>317.23684111301486</v>
      </c>
      <c r="AI872">
        <f t="shared" ca="1" si="169"/>
        <v>171.77203411306107</v>
      </c>
      <c r="AJ872">
        <f t="shared" ca="1" si="170"/>
        <v>54.673133007325177</v>
      </c>
      <c r="AL872">
        <v>867</v>
      </c>
      <c r="AM872" s="4">
        <f t="shared" ca="1" si="163"/>
        <v>2.5196608745132076E-2</v>
      </c>
      <c r="AN872" s="4">
        <f t="shared" ca="1" si="164"/>
        <v>4.5732618150754245E-2</v>
      </c>
      <c r="AO872" s="4">
        <f t="shared" ca="1" si="165"/>
        <v>3.098499464174731E-2</v>
      </c>
      <c r="AP872" s="4">
        <f t="shared" ca="1" si="166"/>
        <v>3.5147528276365511E-2</v>
      </c>
    </row>
    <row r="873" spans="20:42" x14ac:dyDescent="0.3">
      <c r="T873">
        <v>867</v>
      </c>
      <c r="U873" s="4">
        <v>1.8538844405179077E-2</v>
      </c>
      <c r="V873" s="4"/>
      <c r="W873">
        <v>868</v>
      </c>
      <c r="X873">
        <f t="shared" ca="1" si="167"/>
        <v>1.0724838637025742</v>
      </c>
      <c r="Y873">
        <f t="shared" ca="1" si="167"/>
        <v>1.6953330722866944</v>
      </c>
      <c r="Z873">
        <f t="shared" ca="1" si="167"/>
        <v>0.19518859625358881</v>
      </c>
      <c r="AB873">
        <v>868</v>
      </c>
      <c r="AC873" s="24">
        <f t="shared" ca="1" si="160"/>
        <v>1.0724838637025742</v>
      </c>
      <c r="AD873" s="24">
        <f t="shared" ca="1" si="161"/>
        <v>1.7686084171909151</v>
      </c>
      <c r="AE873" s="24">
        <f t="shared" ca="1" si="162"/>
        <v>1.4424423271933922</v>
      </c>
      <c r="AF873" s="24"/>
      <c r="AG873">
        <v>868</v>
      </c>
      <c r="AH873">
        <f t="shared" ca="1" si="168"/>
        <v>315.13682589244502</v>
      </c>
      <c r="AI873">
        <f t="shared" ca="1" si="169"/>
        <v>170.41360102631461</v>
      </c>
      <c r="AJ873">
        <f t="shared" ca="1" si="170"/>
        <v>54.405265580821251</v>
      </c>
      <c r="AL873">
        <v>868</v>
      </c>
      <c r="AM873" s="4">
        <f t="shared" ca="1" si="163"/>
        <v>1.8410106663949266E-2</v>
      </c>
      <c r="AN873" s="4">
        <f t="shared" ca="1" si="164"/>
        <v>3.7462600299938309E-2</v>
      </c>
      <c r="AO873" s="4">
        <f t="shared" ca="1" si="165"/>
        <v>2.5933751332865684E-2</v>
      </c>
      <c r="AP873" s="4">
        <f t="shared" ca="1" si="166"/>
        <v>2.8288197519019807E-2</v>
      </c>
    </row>
    <row r="874" spans="20:42" x14ac:dyDescent="0.3">
      <c r="T874">
        <v>868</v>
      </c>
      <c r="U874" s="4">
        <v>1.8577117233200768E-2</v>
      </c>
      <c r="V874" s="4"/>
      <c r="W874">
        <v>869</v>
      </c>
      <c r="X874">
        <f t="shared" ca="1" si="167"/>
        <v>-0.49745275584867993</v>
      </c>
      <c r="Y874">
        <f t="shared" ca="1" si="167"/>
        <v>0.31104683039490588</v>
      </c>
      <c r="Z874">
        <f t="shared" ca="1" si="167"/>
        <v>-0.34161863871714371</v>
      </c>
      <c r="AB874">
        <v>869</v>
      </c>
      <c r="AC874" s="24">
        <f t="shared" ca="1" si="160"/>
        <v>-0.49745275584867993</v>
      </c>
      <c r="AD874" s="24">
        <f t="shared" ca="1" si="161"/>
        <v>-0.27960671608062393</v>
      </c>
      <c r="AE874" s="24">
        <f t="shared" ca="1" si="162"/>
        <v>-0.4935476302289401</v>
      </c>
      <c r="AF874" s="24"/>
      <c r="AG874">
        <v>869</v>
      </c>
      <c r="AH874">
        <f t="shared" ca="1" si="168"/>
        <v>306.83521205116244</v>
      </c>
      <c r="AI874">
        <f t="shared" ca="1" si="169"/>
        <v>163.3088097776251</v>
      </c>
      <c r="AJ874">
        <f t="shared" ca="1" si="170"/>
        <v>52.567759666533412</v>
      </c>
      <c r="AL874">
        <v>869</v>
      </c>
      <c r="AM874" s="4">
        <f t="shared" ca="1" si="163"/>
        <v>-8.4177558482820825E-3</v>
      </c>
      <c r="AN874" s="4">
        <f t="shared" ca="1" si="164"/>
        <v>-5.7907266590728756E-3</v>
      </c>
      <c r="AO874" s="4">
        <f t="shared" ca="1" si="165"/>
        <v>-8.7165589930928711E-3</v>
      </c>
      <c r="AP874" s="4">
        <f t="shared" ca="1" si="166"/>
        <v>-7.4565851160416363E-3</v>
      </c>
    </row>
    <row r="875" spans="20:42" x14ac:dyDescent="0.3">
      <c r="T875">
        <v>869</v>
      </c>
      <c r="U875" s="4">
        <v>1.8642967765037755E-2</v>
      </c>
      <c r="V875" s="4"/>
      <c r="W875">
        <v>870</v>
      </c>
      <c r="X875">
        <f t="shared" ca="1" si="167"/>
        <v>-0.76547747107428876</v>
      </c>
      <c r="Y875">
        <f t="shared" ca="1" si="167"/>
        <v>-0.14869572933005909</v>
      </c>
      <c r="Z875">
        <f t="shared" ca="1" si="167"/>
        <v>0.12587940462440822</v>
      </c>
      <c r="AB875">
        <v>870</v>
      </c>
      <c r="AC875" s="24">
        <f t="shared" ca="1" si="160"/>
        <v>-0.76547747107428876</v>
      </c>
      <c r="AD875" s="24">
        <f t="shared" ca="1" si="161"/>
        <v>-0.73936899811023893</v>
      </c>
      <c r="AE875" s="24">
        <f t="shared" ca="1" si="162"/>
        <v>-0.60196447674736298</v>
      </c>
      <c r="AF875" s="24"/>
      <c r="AG875">
        <v>870</v>
      </c>
      <c r="AH875">
        <f t="shared" ca="1" si="168"/>
        <v>305.43994906911269</v>
      </c>
      <c r="AI875">
        <f t="shared" ca="1" si="169"/>
        <v>161.75515378287798</v>
      </c>
      <c r="AJ875">
        <f t="shared" ca="1" si="170"/>
        <v>52.466712862295793</v>
      </c>
      <c r="AL875">
        <v>870</v>
      </c>
      <c r="AM875" s="4">
        <f t="shared" ca="1" si="163"/>
        <v>-1.2926749420675732E-2</v>
      </c>
      <c r="AN875" s="4">
        <f t="shared" ca="1" si="164"/>
        <v>-1.5249243928671774E-2</v>
      </c>
      <c r="AO875" s="4">
        <f t="shared" ca="1" si="165"/>
        <v>-1.0622023948092418E-2</v>
      </c>
      <c r="AP875" s="4">
        <f t="shared" ca="1" si="166"/>
        <v>-1.3164329582099156E-2</v>
      </c>
    </row>
    <row r="876" spans="20:42" x14ac:dyDescent="0.3">
      <c r="T876">
        <v>870</v>
      </c>
      <c r="U876" s="4">
        <v>1.9098469993278668E-2</v>
      </c>
      <c r="V876" s="4"/>
      <c r="W876">
        <v>871</v>
      </c>
      <c r="X876">
        <f t="shared" ca="1" si="167"/>
        <v>0.37263494647935436</v>
      </c>
      <c r="Y876">
        <f t="shared" ca="1" si="167"/>
        <v>1.791132384836976</v>
      </c>
      <c r="Z876">
        <f t="shared" ca="1" si="167"/>
        <v>1.6113084001012128</v>
      </c>
      <c r="AB876">
        <v>871</v>
      </c>
      <c r="AC876" s="24">
        <f t="shared" ca="1" si="160"/>
        <v>0.37263494647935436</v>
      </c>
      <c r="AD876" s="24">
        <f t="shared" ca="1" si="161"/>
        <v>1.2068202705297351</v>
      </c>
      <c r="AE876" s="24">
        <f t="shared" ca="1" si="162"/>
        <v>1.6163546647429086</v>
      </c>
      <c r="AF876" s="24"/>
      <c r="AG876">
        <v>871</v>
      </c>
      <c r="AH876">
        <f t="shared" ca="1" si="168"/>
        <v>311.40872924822611</v>
      </c>
      <c r="AI876">
        <f t="shared" ca="1" si="169"/>
        <v>168.43467789896729</v>
      </c>
      <c r="AJ876">
        <f t="shared" ca="1" si="170"/>
        <v>54.573442266319084</v>
      </c>
      <c r="AL876">
        <v>871</v>
      </c>
      <c r="AM876" s="4">
        <f t="shared" ca="1" si="163"/>
        <v>6.3622246357526446E-3</v>
      </c>
      <c r="AN876" s="4">
        <f t="shared" ca="1" si="164"/>
        <v>2.5415095164626811E-2</v>
      </c>
      <c r="AO876" s="4">
        <f t="shared" ca="1" si="165"/>
        <v>2.9105101311540205E-2</v>
      </c>
      <c r="AP876" s="4">
        <f t="shared" ca="1" si="166"/>
        <v>2.0806235850038581E-2</v>
      </c>
    </row>
    <row r="877" spans="20:42" x14ac:dyDescent="0.3">
      <c r="T877">
        <v>871</v>
      </c>
      <c r="U877" s="4">
        <v>1.9219921173318943E-2</v>
      </c>
      <c r="V877" s="4"/>
      <c r="W877">
        <v>872</v>
      </c>
      <c r="X877">
        <f t="shared" ca="1" si="167"/>
        <v>-3.310543497815181E-3</v>
      </c>
      <c r="Y877">
        <f t="shared" ca="1" si="167"/>
        <v>-0.80019278203751476</v>
      </c>
      <c r="Z877">
        <f t="shared" ca="1" si="167"/>
        <v>0.64209994765341361</v>
      </c>
      <c r="AB877">
        <v>872</v>
      </c>
      <c r="AC877" s="24">
        <f t="shared" ca="1" si="160"/>
        <v>-3.310543497815181E-3</v>
      </c>
      <c r="AD877" s="24">
        <f t="shared" ca="1" si="161"/>
        <v>-0.39716749288389475</v>
      </c>
      <c r="AE877" s="24">
        <f t="shared" ca="1" si="162"/>
        <v>0.1022830121737297</v>
      </c>
      <c r="AF877" s="24"/>
      <c r="AG877">
        <v>872</v>
      </c>
      <c r="AH877">
        <f t="shared" ca="1" si="168"/>
        <v>309.42430941008968</v>
      </c>
      <c r="AI877">
        <f t="shared" ca="1" si="169"/>
        <v>162.91012706477065</v>
      </c>
      <c r="AJ877">
        <f t="shared" ca="1" si="170"/>
        <v>53.126570174695992</v>
      </c>
      <c r="AL877">
        <v>872</v>
      </c>
      <c r="AM877" s="4">
        <f t="shared" ca="1" si="163"/>
        <v>-5.0714294184794895E-5</v>
      </c>
      <c r="AN877" s="4">
        <f t="shared" ca="1" si="164"/>
        <v>-8.2178709801927763E-3</v>
      </c>
      <c r="AO877" s="4">
        <f t="shared" ca="1" si="165"/>
        <v>1.8210710469956926E-3</v>
      </c>
      <c r="AP877" s="4">
        <f t="shared" ca="1" si="166"/>
        <v>-2.7560413662338413E-3</v>
      </c>
    </row>
    <row r="878" spans="20:42" x14ac:dyDescent="0.3">
      <c r="T878">
        <v>872</v>
      </c>
      <c r="U878" s="4">
        <v>1.9307300962542032E-2</v>
      </c>
      <c r="V878" s="4"/>
      <c r="W878">
        <v>873</v>
      </c>
      <c r="X878">
        <f t="shared" ca="1" si="167"/>
        <v>-1.6115329169573389</v>
      </c>
      <c r="Y878">
        <f t="shared" ca="1" si="167"/>
        <v>-1.6170090040248011</v>
      </c>
      <c r="Z878">
        <f t="shared" ca="1" si="167"/>
        <v>1.3183118529227382</v>
      </c>
      <c r="AB878">
        <v>873</v>
      </c>
      <c r="AC878" s="24">
        <f t="shared" ca="1" si="160"/>
        <v>-1.6115329169573389</v>
      </c>
      <c r="AD878" s="24">
        <f t="shared" ca="1" si="161"/>
        <v>-2.1990830041202196</v>
      </c>
      <c r="AE878" s="24">
        <f t="shared" ca="1" si="162"/>
        <v>-1.0926826169145036</v>
      </c>
      <c r="AF878" s="24"/>
      <c r="AG878">
        <v>873</v>
      </c>
      <c r="AH878">
        <f t="shared" ca="1" si="168"/>
        <v>301.07710500601542</v>
      </c>
      <c r="AI878">
        <f t="shared" ca="1" si="169"/>
        <v>156.91968897126574</v>
      </c>
      <c r="AJ878">
        <f t="shared" ca="1" si="170"/>
        <v>52.011776824552875</v>
      </c>
      <c r="AL878">
        <v>873</v>
      </c>
      <c r="AM878" s="4">
        <f t="shared" ca="1" si="163"/>
        <v>-2.7025909285836924E-2</v>
      </c>
      <c r="AN878" s="4">
        <f t="shared" ca="1" si="164"/>
        <v>-4.4687116650693803E-2</v>
      </c>
      <c r="AO878" s="4">
        <f t="shared" ca="1" si="165"/>
        <v>-1.9200867022109769E-2</v>
      </c>
      <c r="AP878" s="4">
        <f t="shared" ca="1" si="166"/>
        <v>-3.1742879552661529E-2</v>
      </c>
    </row>
    <row r="879" spans="20:42" x14ac:dyDescent="0.3">
      <c r="T879">
        <v>873</v>
      </c>
      <c r="U879" s="4">
        <v>1.9322922915066921E-2</v>
      </c>
      <c r="V879" s="4"/>
      <c r="W879">
        <v>874</v>
      </c>
      <c r="X879">
        <f t="shared" ca="1" si="167"/>
        <v>-0.28136119941041149</v>
      </c>
      <c r="Y879">
        <f t="shared" ca="1" si="167"/>
        <v>-0.45749164585254987</v>
      </c>
      <c r="Z879">
        <f t="shared" ca="1" si="167"/>
        <v>-0.95246005570345837</v>
      </c>
      <c r="AB879">
        <v>874</v>
      </c>
      <c r="AC879" s="24">
        <f t="shared" ca="1" si="160"/>
        <v>-0.28136119941041149</v>
      </c>
      <c r="AD879" s="24">
        <f t="shared" ca="1" si="161"/>
        <v>-0.47025826616060867</v>
      </c>
      <c r="AE879" s="24">
        <f t="shared" ca="1" si="162"/>
        <v>-0.83933182646279492</v>
      </c>
      <c r="AF879" s="24"/>
      <c r="AG879">
        <v>874</v>
      </c>
      <c r="AH879">
        <f t="shared" ca="1" si="168"/>
        <v>307.96476473202506</v>
      </c>
      <c r="AI879">
        <f t="shared" ca="1" si="169"/>
        <v>162.66274586539043</v>
      </c>
      <c r="AJ879">
        <f t="shared" ca="1" si="170"/>
        <v>52.246159086721747</v>
      </c>
      <c r="AL879">
        <v>874</v>
      </c>
      <c r="AM879" s="4">
        <f t="shared" ca="1" si="163"/>
        <v>-4.7674434389274323E-3</v>
      </c>
      <c r="AN879" s="4">
        <f t="shared" ca="1" si="164"/>
        <v>-9.7239053625933769E-3</v>
      </c>
      <c r="AO879" s="4">
        <f t="shared" ca="1" si="165"/>
        <v>-1.4781061863442191E-2</v>
      </c>
      <c r="AP879" s="4">
        <f t="shared" ca="1" si="166"/>
        <v>-9.7541137357482384E-3</v>
      </c>
    </row>
    <row r="880" spans="20:42" x14ac:dyDescent="0.3">
      <c r="T880">
        <v>874</v>
      </c>
      <c r="U880" s="4">
        <v>1.9340675294095756E-2</v>
      </c>
      <c r="V880" s="4"/>
      <c r="W880">
        <v>875</v>
      </c>
      <c r="X880">
        <f t="shared" ca="1" si="167"/>
        <v>-1.0665760113919363</v>
      </c>
      <c r="Y880">
        <f t="shared" ca="1" si="167"/>
        <v>-1.4990483158635497</v>
      </c>
      <c r="Z880">
        <f t="shared" ca="1" si="167"/>
        <v>-1.6225065718699263</v>
      </c>
      <c r="AB880">
        <v>875</v>
      </c>
      <c r="AC880" s="24">
        <f t="shared" ca="1" si="160"/>
        <v>-1.0665760113919363</v>
      </c>
      <c r="AD880" s="24">
        <f t="shared" ca="1" si="161"/>
        <v>-1.6667502534169663</v>
      </c>
      <c r="AE880" s="24">
        <f t="shared" ca="1" si="162"/>
        <v>-2.1078224291087362</v>
      </c>
      <c r="AF880" s="24"/>
      <c r="AG880">
        <v>875</v>
      </c>
      <c r="AH880">
        <f t="shared" ca="1" si="168"/>
        <v>303.88007875204715</v>
      </c>
      <c r="AI880">
        <f t="shared" ca="1" si="169"/>
        <v>158.66612317699969</v>
      </c>
      <c r="AJ880">
        <f t="shared" ca="1" si="170"/>
        <v>51.083140948133313</v>
      </c>
      <c r="AL880">
        <v>875</v>
      </c>
      <c r="AM880" s="4">
        <f t="shared" ca="1" si="163"/>
        <v>-1.7967695338328649E-2</v>
      </c>
      <c r="AN880" s="4">
        <f t="shared" ca="1" si="164"/>
        <v>-3.4054983056769461E-2</v>
      </c>
      <c r="AO880" s="4">
        <f t="shared" ca="1" si="165"/>
        <v>-3.671238687494649E-2</v>
      </c>
      <c r="AP880" s="4">
        <f t="shared" ca="1" si="166"/>
        <v>-3.0026017886690327E-2</v>
      </c>
    </row>
    <row r="881" spans="20:42" x14ac:dyDescent="0.3">
      <c r="T881">
        <v>875</v>
      </c>
      <c r="U881" s="4">
        <v>1.9507796277663157E-2</v>
      </c>
      <c r="V881" s="4"/>
      <c r="W881">
        <v>876</v>
      </c>
      <c r="X881">
        <f t="shared" ca="1" si="167"/>
        <v>0.13270243701606479</v>
      </c>
      <c r="Y881">
        <f t="shared" ca="1" si="167"/>
        <v>1.5038635481295353</v>
      </c>
      <c r="Z881">
        <f t="shared" ca="1" si="167"/>
        <v>-0.62987403645634699</v>
      </c>
      <c r="AB881">
        <v>876</v>
      </c>
      <c r="AC881" s="24">
        <f t="shared" ca="1" si="160"/>
        <v>0.13270243701606479</v>
      </c>
      <c r="AD881" s="24">
        <f t="shared" ca="1" si="161"/>
        <v>0.85648782030601012</v>
      </c>
      <c r="AE881" s="24">
        <f t="shared" ca="1" si="162"/>
        <v>0.2037808980350439</v>
      </c>
      <c r="AF881" s="24"/>
      <c r="AG881">
        <v>876</v>
      </c>
      <c r="AH881">
        <f t="shared" ca="1" si="168"/>
        <v>310.14078672882596</v>
      </c>
      <c r="AI881">
        <f t="shared" ca="1" si="169"/>
        <v>167.21226717544747</v>
      </c>
      <c r="AJ881">
        <f t="shared" ca="1" si="170"/>
        <v>53.222352209610335</v>
      </c>
      <c r="AL881">
        <v>876</v>
      </c>
      <c r="AM881" s="4">
        <f t="shared" ca="1" si="163"/>
        <v>2.2646855024912593E-3</v>
      </c>
      <c r="AN881" s="4">
        <f t="shared" ca="1" si="164"/>
        <v>1.7973169166821235E-2</v>
      </c>
      <c r="AO881" s="4">
        <f t="shared" ca="1" si="165"/>
        <v>3.6272569251620812E-3</v>
      </c>
      <c r="AP881" s="4">
        <f t="shared" ca="1" si="166"/>
        <v>8.9568503950244963E-3</v>
      </c>
    </row>
    <row r="882" spans="20:42" x14ac:dyDescent="0.3">
      <c r="T882">
        <v>876</v>
      </c>
      <c r="U882" s="4">
        <v>1.9731588919118394E-2</v>
      </c>
      <c r="V882" s="4"/>
      <c r="W882">
        <v>877</v>
      </c>
      <c r="X882">
        <f t="shared" ca="1" si="167"/>
        <v>0.17811238769826623</v>
      </c>
      <c r="Y882">
        <f t="shared" ca="1" si="167"/>
        <v>0.10786822343978074</v>
      </c>
      <c r="Z882">
        <f t="shared" ca="1" si="167"/>
        <v>0.47788686940636549</v>
      </c>
      <c r="AB882">
        <v>877</v>
      </c>
      <c r="AC882" s="24">
        <f t="shared" ca="1" si="160"/>
        <v>0.17811238769826623</v>
      </c>
      <c r="AD882" s="24">
        <f t="shared" ca="1" si="161"/>
        <v>0.2081402157824781</v>
      </c>
      <c r="AE882" s="24">
        <f t="shared" ca="1" si="162"/>
        <v>0.41769176483307408</v>
      </c>
      <c r="AF882" s="24"/>
      <c r="AG882">
        <v>877</v>
      </c>
      <c r="AH882">
        <f t="shared" ca="1" si="168"/>
        <v>310.38036252280494</v>
      </c>
      <c r="AI882">
        <f t="shared" ca="1" si="169"/>
        <v>164.97334929958055</v>
      </c>
      <c r="AJ882">
        <f t="shared" ca="1" si="170"/>
        <v>53.424782549806153</v>
      </c>
      <c r="AL882">
        <v>877</v>
      </c>
      <c r="AM882" s="4">
        <f t="shared" ca="1" si="163"/>
        <v>3.0389092359737191E-3</v>
      </c>
      <c r="AN882" s="4">
        <f t="shared" ca="1" si="164"/>
        <v>4.34283950201797E-3</v>
      </c>
      <c r="AO882" s="4">
        <f t="shared" ca="1" si="165"/>
        <v>7.4445366697515336E-3</v>
      </c>
      <c r="AP882" s="4">
        <f t="shared" ca="1" si="166"/>
        <v>4.8821695725247641E-3</v>
      </c>
    </row>
    <row r="883" spans="20:42" x14ac:dyDescent="0.3">
      <c r="T883">
        <v>877</v>
      </c>
      <c r="U883" s="4">
        <v>1.9759280043399639E-2</v>
      </c>
      <c r="V883" s="4"/>
      <c r="W883">
        <v>878</v>
      </c>
      <c r="X883">
        <f t="shared" ca="1" si="167"/>
        <v>0.45637826544750271</v>
      </c>
      <c r="Y883">
        <f t="shared" ca="1" si="167"/>
        <v>-0.71171883662379543</v>
      </c>
      <c r="Z883">
        <f t="shared" ca="1" si="167"/>
        <v>-0.95190317109008982</v>
      </c>
      <c r="AB883">
        <v>878</v>
      </c>
      <c r="AC883" s="24">
        <f t="shared" ca="1" si="160"/>
        <v>0.45637826544750271</v>
      </c>
      <c r="AD883" s="24">
        <f t="shared" ca="1" si="161"/>
        <v>4.6437652882001912E-2</v>
      </c>
      <c r="AE883" s="24">
        <f t="shared" ca="1" si="162"/>
        <v>-0.30706498674677019</v>
      </c>
      <c r="AF883" s="24"/>
      <c r="AG883">
        <v>878</v>
      </c>
      <c r="AH883">
        <f t="shared" ca="1" si="168"/>
        <v>311.85249680123263</v>
      </c>
      <c r="AI883">
        <f t="shared" ca="1" si="169"/>
        <v>164.41963359246014</v>
      </c>
      <c r="AJ883">
        <f t="shared" ca="1" si="170"/>
        <v>52.742020912706977</v>
      </c>
      <c r="AL883">
        <v>878</v>
      </c>
      <c r="AM883" s="4">
        <f t="shared" ca="1" si="163"/>
        <v>7.7963234901519129E-3</v>
      </c>
      <c r="AN883" s="4">
        <f t="shared" ca="1" si="164"/>
        <v>9.7186832438689308E-4</v>
      </c>
      <c r="AO883" s="4">
        <f t="shared" ca="1" si="165"/>
        <v>-5.4304709262458228E-3</v>
      </c>
      <c r="AP883" s="4">
        <f t="shared" ca="1" si="166"/>
        <v>1.0985030989265846E-3</v>
      </c>
    </row>
    <row r="884" spans="20:42" x14ac:dyDescent="0.3">
      <c r="T884">
        <v>878</v>
      </c>
      <c r="U884" s="4">
        <v>1.9771817676049141E-2</v>
      </c>
      <c r="V884" s="4"/>
      <c r="W884">
        <v>879</v>
      </c>
      <c r="X884">
        <f t="shared" ca="1" si="167"/>
        <v>0.13923528370515378</v>
      </c>
      <c r="Y884">
        <f t="shared" ca="1" si="167"/>
        <v>-0.15608735136177579</v>
      </c>
      <c r="Z884">
        <f t="shared" ca="1" si="167"/>
        <v>0.38911916163544974</v>
      </c>
      <c r="AB884">
        <v>879</v>
      </c>
      <c r="AC884" s="24">
        <f t="shared" ca="1" si="160"/>
        <v>0.13923528370515378</v>
      </c>
      <c r="AD884" s="24">
        <f t="shared" ca="1" si="161"/>
        <v>4.4248877771189521E-2</v>
      </c>
      <c r="AE884" s="24">
        <f t="shared" ca="1" si="162"/>
        <v>0.26804419849910666</v>
      </c>
      <c r="AF884" s="24"/>
      <c r="AG884">
        <v>879</v>
      </c>
      <c r="AH884">
        <f t="shared" ca="1" si="168"/>
        <v>310.17524161411171</v>
      </c>
      <c r="AI884">
        <f t="shared" ca="1" si="169"/>
        <v>164.41215136447161</v>
      </c>
      <c r="AJ884">
        <f t="shared" ca="1" si="170"/>
        <v>53.283085785048584</v>
      </c>
      <c r="AL884">
        <v>879</v>
      </c>
      <c r="AM884" s="4">
        <f t="shared" ca="1" si="163"/>
        <v>2.3760314338960864E-3</v>
      </c>
      <c r="AN884" s="4">
        <f t="shared" ca="1" si="164"/>
        <v>9.2631719667002343E-4</v>
      </c>
      <c r="AO884" s="4">
        <f t="shared" ca="1" si="165"/>
        <v>4.7725252041792565E-3</v>
      </c>
      <c r="AP884" s="4">
        <f t="shared" ca="1" si="166"/>
        <v>2.5150938700906119E-3</v>
      </c>
    </row>
    <row r="885" spans="20:42" x14ac:dyDescent="0.3">
      <c r="T885">
        <v>879</v>
      </c>
      <c r="U885" s="4">
        <v>1.9966413195028586E-2</v>
      </c>
      <c r="V885" s="4"/>
      <c r="W885">
        <v>880</v>
      </c>
      <c r="X885">
        <f t="shared" ca="1" si="167"/>
        <v>-0.55703122696088581</v>
      </c>
      <c r="Y885">
        <f t="shared" ca="1" si="167"/>
        <v>-2.3410966884947024</v>
      </c>
      <c r="Z885">
        <f t="shared" ca="1" si="167"/>
        <v>-0.9581323831385492</v>
      </c>
      <c r="AB885">
        <v>880</v>
      </c>
      <c r="AC885" s="24">
        <f t="shared" ca="1" si="160"/>
        <v>-0.55703122696088581</v>
      </c>
      <c r="AD885" s="24">
        <f t="shared" ca="1" si="161"/>
        <v>-1.6382668646372269</v>
      </c>
      <c r="AE885" s="24">
        <f t="shared" ca="1" si="162"/>
        <v>-1.5871826943070761</v>
      </c>
      <c r="AF885" s="24"/>
      <c r="AG885">
        <v>880</v>
      </c>
      <c r="AH885">
        <f t="shared" ca="1" si="168"/>
        <v>306.52451301071551</v>
      </c>
      <c r="AI885">
        <f t="shared" ca="1" si="169"/>
        <v>158.76011508666113</v>
      </c>
      <c r="AJ885">
        <f t="shared" ca="1" si="170"/>
        <v>51.557324976836206</v>
      </c>
      <c r="AL885">
        <v>880</v>
      </c>
      <c r="AM885" s="4">
        <f t="shared" ca="1" si="163"/>
        <v>-9.4218246111944515E-3</v>
      </c>
      <c r="AN885" s="4">
        <f t="shared" ca="1" si="164"/>
        <v>-3.3482768806162411E-2</v>
      </c>
      <c r="AO885" s="4">
        <f t="shared" ca="1" si="165"/>
        <v>-2.7770579603247691E-2</v>
      </c>
      <c r="AP885" s="4">
        <f t="shared" ca="1" si="166"/>
        <v>-2.455082878679761E-2</v>
      </c>
    </row>
    <row r="886" spans="20:42" x14ac:dyDescent="0.3">
      <c r="T886">
        <v>880</v>
      </c>
      <c r="U886" s="4">
        <v>2.0285691003601225E-2</v>
      </c>
      <c r="V886" s="4"/>
      <c r="W886">
        <v>881</v>
      </c>
      <c r="X886">
        <f t="shared" ca="1" si="167"/>
        <v>-1.3553776513570335</v>
      </c>
      <c r="Y886">
        <f t="shared" ca="1" si="167"/>
        <v>-1.7378804955669447</v>
      </c>
      <c r="Z886">
        <f t="shared" ca="1" si="167"/>
        <v>-0.74632570194795866</v>
      </c>
      <c r="AB886">
        <v>881</v>
      </c>
      <c r="AC886" s="24">
        <f t="shared" ca="1" si="160"/>
        <v>-1.3553776513570335</v>
      </c>
      <c r="AD886" s="24">
        <f t="shared" ca="1" si="161"/>
        <v>-2.0357408228578269</v>
      </c>
      <c r="AE886" s="24">
        <f t="shared" ca="1" si="162"/>
        <v>-1.9648035295584272</v>
      </c>
      <c r="AF886" s="24"/>
      <c r="AG886">
        <v>881</v>
      </c>
      <c r="AH886">
        <f t="shared" ca="1" si="168"/>
        <v>302.39139907777826</v>
      </c>
      <c r="AI886">
        <f t="shared" ca="1" si="169"/>
        <v>157.45351464899218</v>
      </c>
      <c r="AJ886">
        <f t="shared" ca="1" si="170"/>
        <v>51.212962374591626</v>
      </c>
      <c r="AL886">
        <v>881</v>
      </c>
      <c r="AM886" s="4">
        <f t="shared" ca="1" si="163"/>
        <v>-2.2778578425594609E-2</v>
      </c>
      <c r="AN886" s="4">
        <f t="shared" ca="1" si="164"/>
        <v>-4.1437234174262594E-2</v>
      </c>
      <c r="AO886" s="4">
        <f t="shared" ca="1" si="165"/>
        <v>-3.4264311644950474E-2</v>
      </c>
      <c r="AP886" s="4">
        <f t="shared" ca="1" si="166"/>
        <v>-3.3687760690868561E-2</v>
      </c>
    </row>
    <row r="887" spans="20:42" x14ac:dyDescent="0.3">
      <c r="T887">
        <v>881</v>
      </c>
      <c r="U887" s="4">
        <v>2.0286693330694505E-2</v>
      </c>
      <c r="V887" s="4"/>
      <c r="W887">
        <v>882</v>
      </c>
      <c r="X887">
        <f t="shared" ca="1" si="167"/>
        <v>-1.784619505113181</v>
      </c>
      <c r="Y887">
        <f t="shared" ca="1" si="167"/>
        <v>0.29749539336097042</v>
      </c>
      <c r="Z887">
        <f t="shared" ca="1" si="167"/>
        <v>-0.5693933676365921</v>
      </c>
      <c r="AB887">
        <v>882</v>
      </c>
      <c r="AC887" s="24">
        <f t="shared" ca="1" si="160"/>
        <v>-1.784619505113181</v>
      </c>
      <c r="AD887" s="24">
        <f t="shared" ca="1" si="161"/>
        <v>-1.4063466491817145</v>
      </c>
      <c r="AE887" s="24">
        <f t="shared" ca="1" si="162"/>
        <v>-1.6635077377824898</v>
      </c>
      <c r="AF887" s="24"/>
      <c r="AG887">
        <v>882</v>
      </c>
      <c r="AH887">
        <f t="shared" ca="1" si="168"/>
        <v>300.19225935744544</v>
      </c>
      <c r="AI887">
        <f t="shared" ca="1" si="169"/>
        <v>159.52750044903266</v>
      </c>
      <c r="AJ887">
        <f t="shared" ca="1" si="170"/>
        <v>51.487535905674434</v>
      </c>
      <c r="AL887">
        <v>882</v>
      </c>
      <c r="AM887" s="4">
        <f t="shared" ca="1" si="163"/>
        <v>-2.9885415624994027E-2</v>
      </c>
      <c r="AN887" s="4">
        <f t="shared" ca="1" si="164"/>
        <v>-2.8810996079787543E-2</v>
      </c>
      <c r="AO887" s="4">
        <f t="shared" ca="1" si="165"/>
        <v>-2.9086609638477867E-2</v>
      </c>
      <c r="AP887" s="4">
        <f t="shared" ca="1" si="166"/>
        <v>-2.9216006010956586E-2</v>
      </c>
    </row>
    <row r="888" spans="20:42" x14ac:dyDescent="0.3">
      <c r="T888">
        <v>882</v>
      </c>
      <c r="U888" s="4">
        <v>2.0305473938941221E-2</v>
      </c>
      <c r="V888" s="4"/>
      <c r="W888">
        <v>883</v>
      </c>
      <c r="X888">
        <f t="shared" ca="1" si="167"/>
        <v>-0.67948328025309679</v>
      </c>
      <c r="Y888">
        <f t="shared" ca="1" si="167"/>
        <v>1.8359483071542968</v>
      </c>
      <c r="Z888">
        <f t="shared" ca="1" si="167"/>
        <v>0.67052862096254406</v>
      </c>
      <c r="AB888">
        <v>883</v>
      </c>
      <c r="AC888" s="24">
        <f t="shared" ca="1" si="160"/>
        <v>-0.67948328025309679</v>
      </c>
      <c r="AD888" s="24">
        <f t="shared" ca="1" si="161"/>
        <v>0.31337401513155294</v>
      </c>
      <c r="AE888" s="24">
        <f t="shared" ca="1" si="162"/>
        <v>0.29249847414664193</v>
      </c>
      <c r="AF888" s="24"/>
      <c r="AG888">
        <v>883</v>
      </c>
      <c r="AH888">
        <f t="shared" ca="1" si="168"/>
        <v>305.88691853868625</v>
      </c>
      <c r="AI888">
        <f t="shared" ca="1" si="169"/>
        <v>165.33470111562085</v>
      </c>
      <c r="AJ888">
        <f t="shared" ca="1" si="170"/>
        <v>53.306215085470022</v>
      </c>
      <c r="AL888">
        <v>883</v>
      </c>
      <c r="AM888" s="4">
        <f t="shared" ca="1" si="163"/>
        <v>-1.1482303111061354E-2</v>
      </c>
      <c r="AN888" s="4">
        <f t="shared" ca="1" si="164"/>
        <v>6.5427166974678652E-3</v>
      </c>
      <c r="AO888" s="4">
        <f t="shared" ca="1" si="165"/>
        <v>5.2086802287663048E-3</v>
      </c>
      <c r="AP888" s="4">
        <f t="shared" ca="1" si="166"/>
        <v>7.3499981429863185E-4</v>
      </c>
    </row>
    <row r="889" spans="20:42" x14ac:dyDescent="0.3">
      <c r="T889">
        <v>883</v>
      </c>
      <c r="U889" s="4">
        <v>2.0322469956373723E-2</v>
      </c>
      <c r="V889" s="4"/>
      <c r="W889">
        <v>884</v>
      </c>
      <c r="X889">
        <f t="shared" ca="1" si="167"/>
        <v>0.63730923192675271</v>
      </c>
      <c r="Y889">
        <f t="shared" ca="1" si="167"/>
        <v>-1.4452997828441014</v>
      </c>
      <c r="Z889">
        <f t="shared" ca="1" si="167"/>
        <v>-0.3470323694797337</v>
      </c>
      <c r="AB889">
        <v>884</v>
      </c>
      <c r="AC889" s="24">
        <f t="shared" ca="1" si="160"/>
        <v>0.63730923192675271</v>
      </c>
      <c r="AD889" s="24">
        <f t="shared" ca="1" si="161"/>
        <v>-0.15758486360964141</v>
      </c>
      <c r="AE889" s="24">
        <f t="shared" ca="1" si="162"/>
        <v>-5.4905502222109631E-2</v>
      </c>
      <c r="AF889" s="24"/>
      <c r="AG889">
        <v>884</v>
      </c>
      <c r="AH889">
        <f t="shared" ca="1" si="168"/>
        <v>312.81343558307532</v>
      </c>
      <c r="AI889">
        <f t="shared" ca="1" si="169"/>
        <v>163.72365324172085</v>
      </c>
      <c r="AJ889">
        <f t="shared" ca="1" si="170"/>
        <v>52.978573807921812</v>
      </c>
      <c r="AL889">
        <v>884</v>
      </c>
      <c r="AM889" s="4">
        <f t="shared" ca="1" si="163"/>
        <v>1.0901735764780707E-2</v>
      </c>
      <c r="AN889" s="4">
        <f t="shared" ca="1" si="164"/>
        <v>-3.2651971450774475E-3</v>
      </c>
      <c r="AO889" s="4">
        <f t="shared" ca="1" si="165"/>
        <v>-9.6973359529972658E-4</v>
      </c>
      <c r="AP889" s="4">
        <f t="shared" ca="1" si="166"/>
        <v>1.6735217928133149E-3</v>
      </c>
    </row>
    <row r="890" spans="20:42" x14ac:dyDescent="0.3">
      <c r="T890">
        <v>884</v>
      </c>
      <c r="U890" s="4">
        <v>2.047214183556607E-2</v>
      </c>
      <c r="V890" s="4"/>
      <c r="W890">
        <v>885</v>
      </c>
      <c r="X890">
        <f t="shared" ca="1" si="167"/>
        <v>0.39511493826919686</v>
      </c>
      <c r="Y890">
        <f t="shared" ca="1" si="167"/>
        <v>-0.48421878848242805</v>
      </c>
      <c r="Z890">
        <f t="shared" ca="1" si="167"/>
        <v>0.16532727257832916</v>
      </c>
      <c r="AB890">
        <v>885</v>
      </c>
      <c r="AC890" s="24">
        <f t="shared" ca="1" si="160"/>
        <v>0.39511493826919686</v>
      </c>
      <c r="AD890" s="24">
        <f t="shared" ca="1" si="161"/>
        <v>0.10522602958579239</v>
      </c>
      <c r="AE890" s="24">
        <f t="shared" ca="1" si="162"/>
        <v>0.27274262183688919</v>
      </c>
      <c r="AF890" s="24"/>
      <c r="AG890">
        <v>885</v>
      </c>
      <c r="AH890">
        <f t="shared" ca="1" si="168"/>
        <v>311.52779182445767</v>
      </c>
      <c r="AI890">
        <f t="shared" ca="1" si="169"/>
        <v>164.62072642517796</v>
      </c>
      <c r="AJ890">
        <f t="shared" ca="1" si="170"/>
        <v>53.287528860643363</v>
      </c>
      <c r="AL890">
        <v>885</v>
      </c>
      <c r="AM890" s="4">
        <f t="shared" ca="1" si="163"/>
        <v>6.7469925238479167E-3</v>
      </c>
      <c r="AN890" s="4">
        <f t="shared" ca="1" si="164"/>
        <v>2.1961033142976483E-3</v>
      </c>
      <c r="AO890" s="4">
        <f t="shared" ca="1" si="165"/>
        <v>4.8563093960904968E-3</v>
      </c>
      <c r="AP890" s="4">
        <f t="shared" ca="1" si="166"/>
        <v>4.3594319017005835E-3</v>
      </c>
    </row>
    <row r="891" spans="20:42" x14ac:dyDescent="0.3">
      <c r="T891">
        <v>885</v>
      </c>
      <c r="U891" s="4">
        <v>2.048955366697245E-2</v>
      </c>
      <c r="V891" s="4"/>
      <c r="W891">
        <v>886</v>
      </c>
      <c r="X891">
        <f t="shared" ca="1" si="167"/>
        <v>-0.81315101013622315</v>
      </c>
      <c r="Y891">
        <f t="shared" ca="1" si="167"/>
        <v>-0.38894894484308062</v>
      </c>
      <c r="Z891">
        <f t="shared" ca="1" si="167"/>
        <v>-1.6155123069078101</v>
      </c>
      <c r="AB891">
        <v>886</v>
      </c>
      <c r="AC891" s="24">
        <f t="shared" ca="1" si="160"/>
        <v>-0.81315101013622315</v>
      </c>
      <c r="AD891" s="24">
        <f t="shared" ca="1" si="161"/>
        <v>-0.89923569664808456</v>
      </c>
      <c r="AE891" s="24">
        <f t="shared" ca="1" si="162"/>
        <v>-1.5909812664215095</v>
      </c>
      <c r="AF891" s="24"/>
      <c r="AG891">
        <v>886</v>
      </c>
      <c r="AH891">
        <f t="shared" ca="1" si="168"/>
        <v>305.19243918637102</v>
      </c>
      <c r="AI891">
        <f t="shared" ca="1" si="169"/>
        <v>161.21839326219697</v>
      </c>
      <c r="AJ891">
        <f t="shared" ca="1" si="170"/>
        <v>51.553849453602531</v>
      </c>
      <c r="AL891">
        <v>886</v>
      </c>
      <c r="AM891" s="4">
        <f t="shared" ca="1" si="163"/>
        <v>-1.3726613306368818E-2</v>
      </c>
      <c r="AN891" s="4">
        <f t="shared" ca="1" si="164"/>
        <v>-1.8516993463746134E-2</v>
      </c>
      <c r="AO891" s="4">
        <f t="shared" ca="1" si="165"/>
        <v>-2.7836118417384537E-2</v>
      </c>
      <c r="AP891" s="4">
        <f t="shared" ca="1" si="166"/>
        <v>-1.987561690262446E-2</v>
      </c>
    </row>
    <row r="892" spans="20:42" x14ac:dyDescent="0.3">
      <c r="T892">
        <v>886</v>
      </c>
      <c r="U892" s="4">
        <v>2.0549723620526872E-2</v>
      </c>
      <c r="V892" s="4"/>
      <c r="W892">
        <v>887</v>
      </c>
      <c r="X892">
        <f t="shared" ca="1" si="167"/>
        <v>-0.53465526715729483</v>
      </c>
      <c r="Y892">
        <f t="shared" ca="1" si="167"/>
        <v>-0.2143041603341421</v>
      </c>
      <c r="Z892">
        <f t="shared" ca="1" si="167"/>
        <v>1.189554816439246</v>
      </c>
      <c r="AB892">
        <v>887</v>
      </c>
      <c r="AC892" s="24">
        <f t="shared" ca="1" si="160"/>
        <v>-0.53465526715729483</v>
      </c>
      <c r="AD892" s="24">
        <f t="shared" ca="1" si="161"/>
        <v>-0.57084075586944127</v>
      </c>
      <c r="AE892" s="24">
        <f t="shared" ca="1" si="162"/>
        <v>0.1081595762418423</v>
      </c>
      <c r="AF892" s="24"/>
      <c r="AG892">
        <v>887</v>
      </c>
      <c r="AH892">
        <f t="shared" ca="1" si="168"/>
        <v>306.64116572406556</v>
      </c>
      <c r="AI892">
        <f t="shared" ca="1" si="169"/>
        <v>162.32293094030206</v>
      </c>
      <c r="AJ892">
        <f t="shared" ca="1" si="170"/>
        <v>53.132111096021646</v>
      </c>
      <c r="AL892">
        <v>887</v>
      </c>
      <c r="AM892" s="4">
        <f t="shared" ca="1" si="163"/>
        <v>-9.0448445425876933E-3</v>
      </c>
      <c r="AN892" s="4">
        <f t="shared" ca="1" si="164"/>
        <v>-1.1792667912528976E-2</v>
      </c>
      <c r="AO892" s="4">
        <f t="shared" ca="1" si="165"/>
        <v>1.9255575914649548E-3</v>
      </c>
      <c r="AP892" s="4">
        <f t="shared" ca="1" si="166"/>
        <v>-6.8528532503484112E-3</v>
      </c>
    </row>
    <row r="893" spans="20:42" x14ac:dyDescent="0.3">
      <c r="T893">
        <v>887</v>
      </c>
      <c r="U893" s="4">
        <v>2.0567249776639752E-2</v>
      </c>
      <c r="V893" s="4"/>
      <c r="W893">
        <v>888</v>
      </c>
      <c r="X893">
        <f t="shared" ca="1" si="167"/>
        <v>1.1142459160774485</v>
      </c>
      <c r="Y893">
        <f t="shared" ca="1" si="167"/>
        <v>-0.42574217001215919</v>
      </c>
      <c r="Z893">
        <f t="shared" ca="1" si="167"/>
        <v>-0.44573054490892355</v>
      </c>
      <c r="AB893">
        <v>888</v>
      </c>
      <c r="AC893" s="24">
        <f t="shared" ca="1" si="160"/>
        <v>1.1142459160774485</v>
      </c>
      <c r="AD893" s="24">
        <f t="shared" ca="1" si="161"/>
        <v>0.75981085019919747</v>
      </c>
      <c r="AE893" s="24">
        <f t="shared" ca="1" si="162"/>
        <v>0.56573760251569483</v>
      </c>
      <c r="AF893" s="24"/>
      <c r="AG893">
        <v>888</v>
      </c>
      <c r="AH893">
        <f t="shared" ca="1" si="168"/>
        <v>315.36069828481027</v>
      </c>
      <c r="AI893">
        <f t="shared" ca="1" si="169"/>
        <v>166.8764980480357</v>
      </c>
      <c r="AJ893">
        <f t="shared" ca="1" si="170"/>
        <v>53.565333471317643</v>
      </c>
      <c r="AL893">
        <v>888</v>
      </c>
      <c r="AM893" s="4">
        <f t="shared" ca="1" si="163"/>
        <v>1.913358259013509E-2</v>
      </c>
      <c r="AN893" s="4">
        <f t="shared" ca="1" si="164"/>
        <v>1.5929037067463403E-2</v>
      </c>
      <c r="AO893" s="4">
        <f t="shared" ca="1" si="165"/>
        <v>1.009494068157224E-2</v>
      </c>
      <c r="AP893" s="4">
        <f t="shared" ca="1" si="166"/>
        <v>1.514017180849756E-2</v>
      </c>
    </row>
    <row r="894" spans="20:42" x14ac:dyDescent="0.3">
      <c r="T894">
        <v>888</v>
      </c>
      <c r="U894" s="4">
        <v>2.0574944800236895E-2</v>
      </c>
      <c r="V894" s="4"/>
      <c r="W894">
        <v>889</v>
      </c>
      <c r="X894">
        <f t="shared" ca="1" si="167"/>
        <v>0.47298491226073069</v>
      </c>
      <c r="Y894">
        <f t="shared" ca="1" si="167"/>
        <v>0.98151415342159443</v>
      </c>
      <c r="Z894">
        <f t="shared" ca="1" si="167"/>
        <v>1.1246564120379199</v>
      </c>
      <c r="AB894">
        <v>889</v>
      </c>
      <c r="AC894" s="24">
        <f t="shared" ca="1" si="160"/>
        <v>0.47298491226073069</v>
      </c>
      <c r="AD894" s="24">
        <f t="shared" ca="1" si="161"/>
        <v>0.89521145172458105</v>
      </c>
      <c r="AE894" s="24">
        <f t="shared" ca="1" si="162"/>
        <v>1.2277872058230492</v>
      </c>
      <c r="AF894" s="24"/>
      <c r="AG894">
        <v>889</v>
      </c>
      <c r="AH894">
        <f t="shared" ca="1" si="168"/>
        <v>311.94057285159573</v>
      </c>
      <c r="AI894">
        <f t="shared" ca="1" si="169"/>
        <v>167.34694777981787</v>
      </c>
      <c r="AJ894">
        <f t="shared" ca="1" si="170"/>
        <v>54.198404248645616</v>
      </c>
      <c r="AL894">
        <v>889</v>
      </c>
      <c r="AM894" s="4">
        <f t="shared" ca="1" si="163"/>
        <v>8.0809539505584116E-3</v>
      </c>
      <c r="AN894" s="4">
        <f t="shared" ca="1" si="164"/>
        <v>1.8793092513188947E-2</v>
      </c>
      <c r="AO894" s="4">
        <f t="shared" ca="1" si="165"/>
        <v>2.2032915260125741E-2</v>
      </c>
      <c r="AP894" s="4">
        <f t="shared" ca="1" si="166"/>
        <v>1.6551397768480823E-2</v>
      </c>
    </row>
    <row r="895" spans="20:42" x14ac:dyDescent="0.3">
      <c r="T895">
        <v>889</v>
      </c>
      <c r="U895" s="4">
        <v>2.0624297600386643E-2</v>
      </c>
      <c r="V895" s="4"/>
      <c r="W895">
        <v>890</v>
      </c>
      <c r="X895">
        <f t="shared" ca="1" si="167"/>
        <v>-0.6042332127831932</v>
      </c>
      <c r="Y895">
        <f t="shared" ca="1" si="167"/>
        <v>3.0107148168862258E-2</v>
      </c>
      <c r="Z895">
        <f t="shared" ca="1" si="167"/>
        <v>1.0227016589961011</v>
      </c>
      <c r="AB895">
        <v>890</v>
      </c>
      <c r="AC895" s="24">
        <f t="shared" ca="1" si="160"/>
        <v>-0.6042332127831932</v>
      </c>
      <c r="AD895" s="24">
        <f t="shared" ca="1" si="161"/>
        <v>-0.5109547179694377</v>
      </c>
      <c r="AE895" s="24">
        <f t="shared" ca="1" si="162"/>
        <v>3.4156538942341275E-2</v>
      </c>
      <c r="AF895" s="24"/>
      <c r="AG895">
        <v>890</v>
      </c>
      <c r="AH895">
        <f t="shared" ca="1" si="168"/>
        <v>306.27858016512732</v>
      </c>
      <c r="AI895">
        <f t="shared" ca="1" si="169"/>
        <v>162.5251685207933</v>
      </c>
      <c r="AJ895">
        <f t="shared" ca="1" si="170"/>
        <v>53.062376940664684</v>
      </c>
      <c r="AL895">
        <v>890</v>
      </c>
      <c r="AM895" s="4">
        <f t="shared" ca="1" si="163"/>
        <v>-1.0216592073861941E-2</v>
      </c>
      <c r="AN895" s="4">
        <f t="shared" ca="1" si="164"/>
        <v>-1.0561463801641024E-2</v>
      </c>
      <c r="AO895" s="4">
        <f t="shared" ca="1" si="165"/>
        <v>6.10563117352525E-4</v>
      </c>
      <c r="AP895" s="4">
        <f t="shared" ca="1" si="166"/>
        <v>-7.1063942076092339E-3</v>
      </c>
    </row>
    <row r="896" spans="20:42" x14ac:dyDescent="0.3">
      <c r="T896">
        <v>890</v>
      </c>
      <c r="U896" s="4">
        <v>2.0799485156395226E-2</v>
      </c>
      <c r="V896" s="4"/>
      <c r="W896">
        <v>891</v>
      </c>
      <c r="X896">
        <f t="shared" ca="1" si="167"/>
        <v>-0.80179413288741452</v>
      </c>
      <c r="Y896">
        <f t="shared" ca="1" si="167"/>
        <v>-0.68180588371332129</v>
      </c>
      <c r="Z896">
        <f t="shared" ca="1" si="167"/>
        <v>0.5923169491050525</v>
      </c>
      <c r="AB896">
        <v>891</v>
      </c>
      <c r="AC896" s="24">
        <f t="shared" ca="1" si="160"/>
        <v>-0.80179413288741452</v>
      </c>
      <c r="AD896" s="24">
        <f t="shared" ca="1" si="161"/>
        <v>-1.0336554400587357</v>
      </c>
      <c r="AE896" s="24">
        <f t="shared" ca="1" si="162"/>
        <v>-0.54204608194679693</v>
      </c>
      <c r="AF896" s="24"/>
      <c r="AG896">
        <v>891</v>
      </c>
      <c r="AH896">
        <f t="shared" ca="1" si="168"/>
        <v>305.25138323639965</v>
      </c>
      <c r="AI896">
        <f t="shared" ca="1" si="169"/>
        <v>160.76845087024637</v>
      </c>
      <c r="AJ896">
        <f t="shared" ca="1" si="170"/>
        <v>52.522534045390152</v>
      </c>
      <c r="AL896">
        <v>891</v>
      </c>
      <c r="AM896" s="4">
        <f t="shared" ca="1" si="163"/>
        <v>-1.353612710690022E-2</v>
      </c>
      <c r="AN896" s="4">
        <f t="shared" ca="1" si="164"/>
        <v>-2.1256202078122843E-2</v>
      </c>
      <c r="AO896" s="4">
        <f t="shared" ca="1" si="165"/>
        <v>-9.5693898847449832E-3</v>
      </c>
      <c r="AP896" s="4">
        <f t="shared" ca="1" si="166"/>
        <v>-1.5434135928742697E-2</v>
      </c>
    </row>
    <row r="897" spans="20:42" x14ac:dyDescent="0.3">
      <c r="T897">
        <v>891</v>
      </c>
      <c r="U897" s="4">
        <v>2.1060572931158174E-2</v>
      </c>
      <c r="V897" s="4"/>
      <c r="W897">
        <v>892</v>
      </c>
      <c r="X897">
        <f t="shared" ca="1" si="167"/>
        <v>0.67878139459584619</v>
      </c>
      <c r="Y897">
        <f t="shared" ca="1" si="167"/>
        <v>2.4512806936700497E-2</v>
      </c>
      <c r="Z897">
        <f t="shared" ca="1" si="167"/>
        <v>-0.81891116212925463</v>
      </c>
      <c r="AB897">
        <v>892</v>
      </c>
      <c r="AC897" s="24">
        <f t="shared" ca="1" si="160"/>
        <v>0.67878139459584619</v>
      </c>
      <c r="AD897" s="24">
        <f t="shared" ca="1" si="161"/>
        <v>0.60273823307973196</v>
      </c>
      <c r="AE897" s="24">
        <f t="shared" ca="1" si="162"/>
        <v>0.14519617838360738</v>
      </c>
      <c r="AF897" s="24"/>
      <c r="AG897">
        <v>892</v>
      </c>
      <c r="AH897">
        <f t="shared" ca="1" si="168"/>
        <v>313.03411435630801</v>
      </c>
      <c r="AI897">
        <f t="shared" ca="1" si="169"/>
        <v>166.33240560059616</v>
      </c>
      <c r="AJ897">
        <f t="shared" ca="1" si="170"/>
        <v>53.167045635851942</v>
      </c>
      <c r="AL897">
        <v>892</v>
      </c>
      <c r="AM897" s="4">
        <f t="shared" ca="1" si="163"/>
        <v>1.1614891050107712E-2</v>
      </c>
      <c r="AN897" s="4">
        <f t="shared" ca="1" si="164"/>
        <v>1.26166514249757E-2</v>
      </c>
      <c r="AO897" s="4">
        <f t="shared" ca="1" si="165"/>
        <v>2.5843269792540369E-3</v>
      </c>
      <c r="AP897" s="4">
        <f t="shared" ca="1" si="166"/>
        <v>9.3064259787988043E-3</v>
      </c>
    </row>
    <row r="898" spans="20:42" x14ac:dyDescent="0.3">
      <c r="T898">
        <v>892</v>
      </c>
      <c r="U898" s="4">
        <v>2.1082879573609235E-2</v>
      </c>
      <c r="V898" s="4"/>
      <c r="W898">
        <v>893</v>
      </c>
      <c r="X898">
        <f t="shared" ca="1" si="167"/>
        <v>-0.54399121029280795</v>
      </c>
      <c r="Y898">
        <f t="shared" ca="1" si="167"/>
        <v>-0.68362510978429547</v>
      </c>
      <c r="Z898">
        <f t="shared" ca="1" si="167"/>
        <v>0.60167666643344175</v>
      </c>
      <c r="AB898">
        <v>893</v>
      </c>
      <c r="AC898" s="24">
        <f t="shared" ca="1" si="160"/>
        <v>-0.54399121029280795</v>
      </c>
      <c r="AD898" s="24">
        <f t="shared" ca="1" si="161"/>
        <v>-0.81021773084307669</v>
      </c>
      <c r="AE898" s="24">
        <f t="shared" ca="1" si="162"/>
        <v>-0.32737240145440416</v>
      </c>
      <c r="AF898" s="24"/>
      <c r="AG898">
        <v>893</v>
      </c>
      <c r="AH898">
        <f t="shared" ca="1" si="168"/>
        <v>306.59248920455371</v>
      </c>
      <c r="AI898">
        <f t="shared" ca="1" si="169"/>
        <v>161.51705543331821</v>
      </c>
      <c r="AJ898">
        <f t="shared" ca="1" si="170"/>
        <v>52.723016378454133</v>
      </c>
      <c r="AL898">
        <v>893</v>
      </c>
      <c r="AM898" s="4">
        <f t="shared" ca="1" si="163"/>
        <v>-9.2021497362529958E-3</v>
      </c>
      <c r="AN898" s="4">
        <f t="shared" ca="1" si="164"/>
        <v>-1.669876516039126E-2</v>
      </c>
      <c r="AO898" s="4">
        <f t="shared" ca="1" si="165"/>
        <v>-5.7888441996817308E-3</v>
      </c>
      <c r="AP898" s="4">
        <f t="shared" ca="1" si="166"/>
        <v>-1.1176804244936923E-2</v>
      </c>
    </row>
    <row r="899" spans="20:42" x14ac:dyDescent="0.3">
      <c r="T899">
        <v>893</v>
      </c>
      <c r="U899" s="4">
        <v>2.1256408707000275E-2</v>
      </c>
      <c r="V899" s="4"/>
      <c r="W899">
        <v>894</v>
      </c>
      <c r="X899">
        <f t="shared" ca="1" si="167"/>
        <v>-0.2006377886674536</v>
      </c>
      <c r="Y899">
        <f t="shared" ca="1" si="167"/>
        <v>-6.5876928619756428E-2</v>
      </c>
      <c r="Z899">
        <f t="shared" ca="1" si="167"/>
        <v>0.48455123502684394</v>
      </c>
      <c r="AB899">
        <v>894</v>
      </c>
      <c r="AC899" s="24">
        <f t="shared" ca="1" si="160"/>
        <v>-0.2006377886674536</v>
      </c>
      <c r="AD899" s="24">
        <f t="shared" ca="1" si="161"/>
        <v>-0.20705051926122719</v>
      </c>
      <c r="AE899" s="24">
        <f t="shared" ca="1" si="162"/>
        <v>6.3966205564469247E-2</v>
      </c>
      <c r="AF899" s="24"/>
      <c r="AG899">
        <v>894</v>
      </c>
      <c r="AH899">
        <f t="shared" ca="1" si="168"/>
        <v>308.38778772482573</v>
      </c>
      <c r="AI899">
        <f t="shared" ca="1" si="169"/>
        <v>163.55535565488205</v>
      </c>
      <c r="AJ899">
        <f t="shared" ca="1" si="170"/>
        <v>53.090456014892233</v>
      </c>
      <c r="AL899">
        <v>894</v>
      </c>
      <c r="AM899" s="4">
        <f t="shared" ca="1" si="163"/>
        <v>-3.4003836229271611E-3</v>
      </c>
      <c r="AN899" s="4">
        <f t="shared" ca="1" si="164"/>
        <v>-4.2897776422586853E-3</v>
      </c>
      <c r="AO899" s="4">
        <f t="shared" ca="1" si="165"/>
        <v>1.1400572692270572E-3</v>
      </c>
      <c r="AP899" s="4">
        <f t="shared" ca="1" si="166"/>
        <v>-2.3940089630135057E-3</v>
      </c>
    </row>
    <row r="900" spans="20:42" x14ac:dyDescent="0.3">
      <c r="T900">
        <v>894</v>
      </c>
      <c r="U900" s="4">
        <v>2.1266496952606139E-2</v>
      </c>
      <c r="V900" s="4"/>
      <c r="W900">
        <v>895</v>
      </c>
      <c r="X900">
        <f t="shared" ca="1" si="167"/>
        <v>0.42683452954212847</v>
      </c>
      <c r="Y900">
        <f t="shared" ca="1" si="167"/>
        <v>0.67574784708179125</v>
      </c>
      <c r="Z900">
        <f t="shared" ca="1" si="167"/>
        <v>-0.66302209414014779</v>
      </c>
      <c r="AB900">
        <v>895</v>
      </c>
      <c r="AC900" s="24">
        <f t="shared" ca="1" si="160"/>
        <v>0.42683452954212847</v>
      </c>
      <c r="AD900" s="24">
        <f t="shared" ca="1" si="161"/>
        <v>0.70438926908410004</v>
      </c>
      <c r="AE900" s="24">
        <f t="shared" ca="1" si="162"/>
        <v>0.19843772483037009</v>
      </c>
      <c r="AF900" s="24"/>
      <c r="AG900">
        <v>895</v>
      </c>
      <c r="AH900">
        <f t="shared" ca="1" si="168"/>
        <v>311.69586826564597</v>
      </c>
      <c r="AI900">
        <f t="shared" ca="1" si="169"/>
        <v>166.68431729262858</v>
      </c>
      <c r="AJ900">
        <f t="shared" ca="1" si="170"/>
        <v>53.217305633714012</v>
      </c>
      <c r="AL900">
        <v>895</v>
      </c>
      <c r="AM900" s="4">
        <f t="shared" ca="1" si="163"/>
        <v>7.2901557860707289E-3</v>
      </c>
      <c r="AN900" s="4">
        <f t="shared" ca="1" si="164"/>
        <v>1.4759057998706471E-2</v>
      </c>
      <c r="AO900" s="4">
        <f t="shared" ca="1" si="165"/>
        <v>3.5320923765576051E-3</v>
      </c>
      <c r="AP900" s="4">
        <f t="shared" ca="1" si="166"/>
        <v>9.1502976482710878E-3</v>
      </c>
    </row>
    <row r="901" spans="20:42" x14ac:dyDescent="0.3">
      <c r="T901">
        <v>895</v>
      </c>
      <c r="U901" s="4">
        <v>2.1415917194173618E-2</v>
      </c>
      <c r="V901" s="4"/>
      <c r="W901">
        <v>896</v>
      </c>
      <c r="X901">
        <f t="shared" ca="1" si="167"/>
        <v>-0.44134551354466367</v>
      </c>
      <c r="Y901">
        <f t="shared" ca="1" si="167"/>
        <v>-1.1420689088089866</v>
      </c>
      <c r="Z901">
        <f t="shared" ca="1" si="167"/>
        <v>-0.18544950514238548</v>
      </c>
      <c r="AB901">
        <v>896</v>
      </c>
      <c r="AC901" s="24">
        <f t="shared" ca="1" si="160"/>
        <v>-0.44134551354466367</v>
      </c>
      <c r="AD901" s="24">
        <f t="shared" ca="1" si="161"/>
        <v>-0.94679128068141905</v>
      </c>
      <c r="AE901" s="24">
        <f t="shared" ca="1" si="162"/>
        <v>-0.76962081498726742</v>
      </c>
      <c r="AF901" s="24"/>
      <c r="AG901">
        <v>896</v>
      </c>
      <c r="AH901">
        <f t="shared" ca="1" si="168"/>
        <v>307.12809672592414</v>
      </c>
      <c r="AI901">
        <f t="shared" ca="1" si="169"/>
        <v>161.05906697984523</v>
      </c>
      <c r="AJ901">
        <f t="shared" ca="1" si="170"/>
        <v>52.310835884407119</v>
      </c>
      <c r="AL901">
        <v>896</v>
      </c>
      <c r="AM901" s="4">
        <f t="shared" ca="1" si="163"/>
        <v>-7.4712567775384597E-3</v>
      </c>
      <c r="AN901" s="4">
        <f t="shared" ca="1" si="164"/>
        <v>-1.9486957470077004E-2</v>
      </c>
      <c r="AO901" s="4">
        <f t="shared" ca="1" si="165"/>
        <v>-1.3561435252577136E-2</v>
      </c>
      <c r="AP901" s="4">
        <f t="shared" ca="1" si="166"/>
        <v>-1.4104590597065481E-2</v>
      </c>
    </row>
    <row r="902" spans="20:42" x14ac:dyDescent="0.3">
      <c r="T902">
        <v>896</v>
      </c>
      <c r="U902" s="4">
        <v>2.1520321519634081E-2</v>
      </c>
      <c r="V902" s="4"/>
      <c r="W902">
        <v>897</v>
      </c>
      <c r="X902">
        <f t="shared" ca="1" si="167"/>
        <v>-3.9267168104293877E-2</v>
      </c>
      <c r="Y902">
        <f t="shared" ca="1" si="167"/>
        <v>-0.58112594842552989</v>
      </c>
      <c r="Z902">
        <f t="shared" ca="1" si="167"/>
        <v>-0.51772866997732492</v>
      </c>
      <c r="AB902">
        <v>897</v>
      </c>
      <c r="AC902" s="24">
        <f t="shared" ref="AC902:AC965" ca="1" si="171">SUMPRODUCT($Q$24:$S$24,X902:Z902)</f>
        <v>-3.9267168104293877E-2</v>
      </c>
      <c r="AD902" s="24">
        <f t="shared" ref="AD902:AD965" ca="1" si="172">SUMPRODUCT($Q$25:$S$25,X902:Z902)</f>
        <v>-0.3205131909385337</v>
      </c>
      <c r="AE902" s="24">
        <f t="shared" ref="AE902:AE965" ca="1" si="173">SUMPRODUCT($Q$26:$S$26,X902:Z902)</f>
        <v>-0.45522409056109953</v>
      </c>
      <c r="AF902" s="24"/>
      <c r="AG902">
        <v>897</v>
      </c>
      <c r="AH902">
        <f t="shared" ca="1" si="168"/>
        <v>309.23517701666498</v>
      </c>
      <c r="AI902">
        <f t="shared" ca="1" si="169"/>
        <v>163.16997348808505</v>
      </c>
      <c r="AJ902">
        <f t="shared" ca="1" si="170"/>
        <v>52.603524553944801</v>
      </c>
      <c r="AL902">
        <v>897</v>
      </c>
      <c r="AM902" s="4">
        <f t="shared" ref="AM902:AM965" ca="1" si="174">AH902/$AH$2-1</f>
        <v>-6.6192290306688051E-4</v>
      </c>
      <c r="AN902" s="4">
        <f t="shared" ref="AN902:AN965" ca="1" si="175">AI902/$AI$2-1</f>
        <v>-6.6359494411439846E-3</v>
      </c>
      <c r="AO902" s="4">
        <f t="shared" ref="AO902:AO965" ca="1" si="176">AJ902/$AJ$2-1</f>
        <v>-8.0421315325108766E-3</v>
      </c>
      <c r="AP902" s="4">
        <f t="shared" ref="AP902:AP965" ca="1" si="177">SUMPRODUCT($P$6:$R$6,AM902:AO902)</f>
        <v>-5.2655961071309213E-3</v>
      </c>
    </row>
    <row r="903" spans="20:42" x14ac:dyDescent="0.3">
      <c r="T903">
        <v>897</v>
      </c>
      <c r="U903" s="4">
        <v>2.1556166904920859E-2</v>
      </c>
      <c r="V903" s="4"/>
      <c r="W903">
        <v>898</v>
      </c>
      <c r="X903">
        <f t="shared" ref="X903:Z966" ca="1" si="178">_xlfn.NORM.S.INV(RAND())</f>
        <v>-1.5643562335391801E-2</v>
      </c>
      <c r="Y903">
        <f t="shared" ca="1" si="178"/>
        <v>0.80098812388064711</v>
      </c>
      <c r="Z903">
        <f t="shared" ca="1" si="178"/>
        <v>1.2481900469393188</v>
      </c>
      <c r="AB903">
        <v>898</v>
      </c>
      <c r="AC903" s="24">
        <f t="shared" ca="1" si="171"/>
        <v>-1.5643562335391801E-2</v>
      </c>
      <c r="AD903" s="24">
        <f t="shared" ca="1" si="172"/>
        <v>0.3810659668054</v>
      </c>
      <c r="AE903" s="24">
        <f t="shared" ca="1" si="173"/>
        <v>0.84181715520047939</v>
      </c>
      <c r="AF903" s="24"/>
      <c r="AG903">
        <v>898</v>
      </c>
      <c r="AH903">
        <f t="shared" ref="AH903:AH966" ca="1" si="179">$L$21*EXP(($L$19-(($L$20^2)/2))*(1/252)+$L$20*AC903)</f>
        <v>309.35942451282142</v>
      </c>
      <c r="AI903">
        <f t="shared" ref="AI903:AI966" ca="1" si="180">$M$21*EXP(($M$19-(($M$20^2)/2))*(1/252)+$M$20*AD903)</f>
        <v>165.56755994220612</v>
      </c>
      <c r="AJ903">
        <f t="shared" ref="AJ903:AJ966" ca="1" si="181">$N$21*EXP(($N$19-(($N$20^2)/2))*(1/252)+$N$20*AE903)</f>
        <v>53.828424780262161</v>
      </c>
      <c r="AL903">
        <v>898</v>
      </c>
      <c r="AM903" s="4">
        <f t="shared" ca="1" si="174"/>
        <v>-2.6039919838694026E-4</v>
      </c>
      <c r="AN903" s="4">
        <f t="shared" ca="1" si="175"/>
        <v>7.9603401868901802E-3</v>
      </c>
      <c r="AO903" s="4">
        <f t="shared" ca="1" si="176"/>
        <v>1.5056119542606439E-2</v>
      </c>
      <c r="AP903" s="4">
        <f t="shared" ca="1" si="177"/>
        <v>7.6228521780219213E-3</v>
      </c>
    </row>
    <row r="904" spans="20:42" x14ac:dyDescent="0.3">
      <c r="T904">
        <v>898</v>
      </c>
      <c r="U904" s="4">
        <v>2.1606721957999439E-2</v>
      </c>
      <c r="V904" s="4"/>
      <c r="W904">
        <v>899</v>
      </c>
      <c r="X904">
        <f t="shared" ca="1" si="178"/>
        <v>-1.0355402302583421</v>
      </c>
      <c r="Y904">
        <f t="shared" ca="1" si="178"/>
        <v>0.47098861631179917</v>
      </c>
      <c r="Z904">
        <f t="shared" ca="1" si="178"/>
        <v>0.21566847299447997</v>
      </c>
      <c r="AB904">
        <v>899</v>
      </c>
      <c r="AC904" s="24">
        <f t="shared" ca="1" si="171"/>
        <v>-1.0355402302583421</v>
      </c>
      <c r="AD904" s="24">
        <f t="shared" ca="1" si="172"/>
        <v>-0.66902827141108467</v>
      </c>
      <c r="AE904" s="24">
        <f t="shared" ca="1" si="173"/>
        <v>-0.60576584621577811</v>
      </c>
      <c r="AF904" s="24"/>
      <c r="AG904">
        <v>899</v>
      </c>
      <c r="AH904">
        <f t="shared" ca="1" si="179"/>
        <v>304.04049370572545</v>
      </c>
      <c r="AI904">
        <f t="shared" ca="1" si="180"/>
        <v>161.99189212043458</v>
      </c>
      <c r="AJ904">
        <f t="shared" ca="1" si="181"/>
        <v>52.463173431939147</v>
      </c>
      <c r="AL904">
        <v>899</v>
      </c>
      <c r="AM904" s="4">
        <f t="shared" ca="1" si="174"/>
        <v>-1.744929127804995E-2</v>
      </c>
      <c r="AN904" s="4">
        <f t="shared" ca="1" si="175"/>
        <v>-1.3808002327103663E-2</v>
      </c>
      <c r="AO904" s="4">
        <f t="shared" ca="1" si="176"/>
        <v>-1.0688767874890925E-2</v>
      </c>
      <c r="AP904" s="4">
        <f t="shared" ca="1" si="177"/>
        <v>-1.3964618676723727E-2</v>
      </c>
    </row>
    <row r="905" spans="20:42" x14ac:dyDescent="0.3">
      <c r="T905">
        <v>899</v>
      </c>
      <c r="U905" s="4">
        <v>2.1644389156054621E-2</v>
      </c>
      <c r="V905" s="4"/>
      <c r="W905">
        <v>900</v>
      </c>
      <c r="X905">
        <f t="shared" ca="1" si="178"/>
        <v>-1.0186978028954419</v>
      </c>
      <c r="Y905">
        <f t="shared" ca="1" si="178"/>
        <v>0.62066202334413245</v>
      </c>
      <c r="Z905">
        <f t="shared" ca="1" si="178"/>
        <v>2.2024054683421905</v>
      </c>
      <c r="AB905">
        <v>900</v>
      </c>
      <c r="AC905" s="24">
        <f t="shared" ca="1" si="171"/>
        <v>-1.0186978028954419</v>
      </c>
      <c r="AD905" s="24">
        <f t="shared" ca="1" si="172"/>
        <v>-0.58062235580652088</v>
      </c>
      <c r="AE905" s="24">
        <f t="shared" ca="1" si="173"/>
        <v>0.45759804627105238</v>
      </c>
      <c r="AF905" s="24"/>
      <c r="AG905">
        <v>900</v>
      </c>
      <c r="AH905">
        <f t="shared" ca="1" si="179"/>
        <v>304.12758277296331</v>
      </c>
      <c r="AI905">
        <f t="shared" ca="1" si="180"/>
        <v>162.2899219977088</v>
      </c>
      <c r="AJ905">
        <f t="shared" ca="1" si="181"/>
        <v>53.462632202870601</v>
      </c>
      <c r="AL905">
        <v>900</v>
      </c>
      <c r="AM905" s="4">
        <f t="shared" ca="1" si="174"/>
        <v>-1.7167850395970241E-2</v>
      </c>
      <c r="AN905" s="4">
        <f t="shared" ca="1" si="175"/>
        <v>-1.1993623371539974E-2</v>
      </c>
      <c r="AO905" s="4">
        <f t="shared" ca="1" si="176"/>
        <v>8.1582770796273518E-3</v>
      </c>
      <c r="AP905" s="4">
        <f t="shared" ca="1" si="177"/>
        <v>-7.5003213435188565E-3</v>
      </c>
    </row>
    <row r="906" spans="20:42" x14ac:dyDescent="0.3">
      <c r="T906">
        <v>900</v>
      </c>
      <c r="U906" s="4">
        <v>2.1672461521640242E-2</v>
      </c>
      <c r="V906" s="4"/>
      <c r="W906">
        <v>901</v>
      </c>
      <c r="X906">
        <f t="shared" ca="1" si="178"/>
        <v>-0.47096255699387762</v>
      </c>
      <c r="Y906">
        <f t="shared" ca="1" si="178"/>
        <v>2.2456876377129511E-3</v>
      </c>
      <c r="Z906">
        <f t="shared" ca="1" si="178"/>
        <v>-1.0695029810372778</v>
      </c>
      <c r="AB906">
        <v>901</v>
      </c>
      <c r="AC906" s="24">
        <f t="shared" ca="1" si="171"/>
        <v>-0.47096255699387762</v>
      </c>
      <c r="AD906" s="24">
        <f t="shared" ca="1" si="172"/>
        <v>-0.40871413651067517</v>
      </c>
      <c r="AE906" s="24">
        <f t="shared" ca="1" si="173"/>
        <v>-0.92658171182387661</v>
      </c>
      <c r="AF906" s="24"/>
      <c r="AG906">
        <v>901</v>
      </c>
      <c r="AH906">
        <f t="shared" ca="1" si="179"/>
        <v>306.9734583678615</v>
      </c>
      <c r="AI906">
        <f t="shared" ca="1" si="180"/>
        <v>162.87102157621055</v>
      </c>
      <c r="AJ906">
        <f t="shared" ca="1" si="181"/>
        <v>52.165322656923074</v>
      </c>
      <c r="AL906">
        <v>901</v>
      </c>
      <c r="AM906" s="4">
        <f t="shared" ca="1" si="174"/>
        <v>-7.9709929358974252E-3</v>
      </c>
      <c r="AN906" s="4">
        <f t="shared" ca="1" si="175"/>
        <v>-8.4559416600166193E-3</v>
      </c>
      <c r="AO906" s="4">
        <f t="shared" ca="1" si="176"/>
        <v>-1.6305414713893907E-2</v>
      </c>
      <c r="AP906" s="4">
        <f t="shared" ca="1" si="177"/>
        <v>-1.0665298958944046E-2</v>
      </c>
    </row>
    <row r="907" spans="20:42" x14ac:dyDescent="0.3">
      <c r="T907">
        <v>901</v>
      </c>
      <c r="U907" s="4">
        <v>2.1737191548376569E-2</v>
      </c>
      <c r="V907" s="4"/>
      <c r="W907">
        <v>902</v>
      </c>
      <c r="X907">
        <f t="shared" ca="1" si="178"/>
        <v>0.68423841084104486</v>
      </c>
      <c r="Y907">
        <f t="shared" ca="1" si="178"/>
        <v>-0.23629995851037158</v>
      </c>
      <c r="Z907">
        <f t="shared" ca="1" si="178"/>
        <v>0.42886968869822606</v>
      </c>
      <c r="AB907">
        <v>902</v>
      </c>
      <c r="AC907" s="24">
        <f t="shared" ca="1" si="171"/>
        <v>0.68423841084104486</v>
      </c>
      <c r="AD907" s="24">
        <f t="shared" ca="1" si="172"/>
        <v>0.47897400342415042</v>
      </c>
      <c r="AE907" s="24">
        <f t="shared" ca="1" si="173"/>
        <v>0.71092197979570915</v>
      </c>
      <c r="AF907" s="24"/>
      <c r="AG907">
        <v>902</v>
      </c>
      <c r="AH907">
        <f t="shared" ca="1" si="179"/>
        <v>313.06316343754935</v>
      </c>
      <c r="AI907">
        <f t="shared" ca="1" si="180"/>
        <v>165.90494178310837</v>
      </c>
      <c r="AJ907">
        <f t="shared" ca="1" si="181"/>
        <v>53.703526902385754</v>
      </c>
      <c r="AL907">
        <v>902</v>
      </c>
      <c r="AM907" s="4">
        <f t="shared" ca="1" si="174"/>
        <v>1.170876734603632E-2</v>
      </c>
      <c r="AN907" s="4">
        <f t="shared" ca="1" si="175"/>
        <v>1.0014290340213838E-2</v>
      </c>
      <c r="AO907" s="4">
        <f t="shared" ca="1" si="176"/>
        <v>1.2700888904261243E-2</v>
      </c>
      <c r="AP907" s="4">
        <f t="shared" ca="1" si="177"/>
        <v>1.1328613011174804E-2</v>
      </c>
    </row>
    <row r="908" spans="20:42" x14ac:dyDescent="0.3">
      <c r="T908">
        <v>902</v>
      </c>
      <c r="U908" s="4">
        <v>2.176353700617022E-2</v>
      </c>
      <c r="V908" s="4"/>
      <c r="W908">
        <v>903</v>
      </c>
      <c r="X908">
        <f t="shared" ca="1" si="178"/>
        <v>-1.9536173758609003</v>
      </c>
      <c r="Y908">
        <f t="shared" ca="1" si="178"/>
        <v>0.40986628470970971</v>
      </c>
      <c r="Z908">
        <f t="shared" ca="1" si="178"/>
        <v>-0.13065459782451411</v>
      </c>
      <c r="AB908">
        <v>903</v>
      </c>
      <c r="AC908" s="24">
        <f t="shared" ca="1" si="171"/>
        <v>-1.9536173758609003</v>
      </c>
      <c r="AD908" s="24">
        <f t="shared" ca="1" si="172"/>
        <v>-1.4980350732562662</v>
      </c>
      <c r="AE908" s="24">
        <f t="shared" ca="1" si="173"/>
        <v>-1.5477620103909207</v>
      </c>
      <c r="AF908" s="24"/>
      <c r="AG908">
        <v>903</v>
      </c>
      <c r="AH908">
        <f t="shared" ca="1" si="179"/>
        <v>299.33082501156565</v>
      </c>
      <c r="AI908">
        <f t="shared" ca="1" si="180"/>
        <v>159.22367637746746</v>
      </c>
      <c r="AJ908">
        <f t="shared" ca="1" si="181"/>
        <v>51.593406971506454</v>
      </c>
      <c r="AL908">
        <v>903</v>
      </c>
      <c r="AM908" s="4">
        <f t="shared" ca="1" si="174"/>
        <v>-3.2669264962776112E-2</v>
      </c>
      <c r="AN908" s="4">
        <f t="shared" ca="1" si="175"/>
        <v>-3.0660649566489395E-2</v>
      </c>
      <c r="AO908" s="4">
        <f t="shared" ca="1" si="176"/>
        <v>-2.7090172371476595E-2</v>
      </c>
      <c r="AP908" s="4">
        <f t="shared" ca="1" si="177"/>
        <v>-3.0192091026871572E-2</v>
      </c>
    </row>
    <row r="909" spans="20:42" x14ac:dyDescent="0.3">
      <c r="T909">
        <v>903</v>
      </c>
      <c r="U909" s="4">
        <v>2.1795424203242587E-2</v>
      </c>
      <c r="V909" s="4"/>
      <c r="W909">
        <v>904</v>
      </c>
      <c r="X909">
        <f t="shared" ca="1" si="178"/>
        <v>-0.23438294001889223</v>
      </c>
      <c r="Y909">
        <f t="shared" ca="1" si="178"/>
        <v>0.78989865252084568</v>
      </c>
      <c r="Z909">
        <f t="shared" ca="1" si="178"/>
        <v>-0.50608970331043757</v>
      </c>
      <c r="AB909">
        <v>904</v>
      </c>
      <c r="AC909" s="24">
        <f t="shared" ca="1" si="171"/>
        <v>-0.23438294001889223</v>
      </c>
      <c r="AD909" s="24">
        <f t="shared" ca="1" si="172"/>
        <v>0.18525981943273395</v>
      </c>
      <c r="AE909" s="24">
        <f t="shared" ca="1" si="173"/>
        <v>-0.2301091707699017</v>
      </c>
      <c r="AF909" s="24"/>
      <c r="AG909">
        <v>904</v>
      </c>
      <c r="AH909">
        <f t="shared" ca="1" si="179"/>
        <v>308.2108789849438</v>
      </c>
      <c r="AI909">
        <f t="shared" ca="1" si="180"/>
        <v>164.89488717933062</v>
      </c>
      <c r="AJ909">
        <f t="shared" ca="1" si="181"/>
        <v>52.814101596095341</v>
      </c>
      <c r="AL909">
        <v>904</v>
      </c>
      <c r="AM909" s="4">
        <f t="shared" ca="1" si="174"/>
        <v>-3.9720897323058946E-3</v>
      </c>
      <c r="AN909" s="4">
        <f t="shared" ca="1" si="175"/>
        <v>3.8651692056961284E-3</v>
      </c>
      <c r="AO909" s="4">
        <f t="shared" ca="1" si="176"/>
        <v>-4.0712273839565993E-3</v>
      </c>
      <c r="AP909" s="4">
        <f t="shared" ca="1" si="177"/>
        <v>-8.6692745260029663E-4</v>
      </c>
    </row>
    <row r="910" spans="20:42" x14ac:dyDescent="0.3">
      <c r="T910">
        <v>904</v>
      </c>
      <c r="U910" s="4">
        <v>2.190417106871834E-2</v>
      </c>
      <c r="V910" s="4"/>
      <c r="W910">
        <v>905</v>
      </c>
      <c r="X910">
        <f t="shared" ca="1" si="178"/>
        <v>-0.10877411733544273</v>
      </c>
      <c r="Y910">
        <f t="shared" ca="1" si="178"/>
        <v>1.204530227381795</v>
      </c>
      <c r="Z910">
        <f t="shared" ca="1" si="178"/>
        <v>0.71999597173909557</v>
      </c>
      <c r="AB910">
        <v>905</v>
      </c>
      <c r="AC910" s="24">
        <f t="shared" ca="1" si="171"/>
        <v>-0.10877411733544273</v>
      </c>
      <c r="AD910" s="24">
        <f t="shared" ca="1" si="172"/>
        <v>0.49886712809351058</v>
      </c>
      <c r="AE910" s="24">
        <f t="shared" ca="1" si="173"/>
        <v>0.60913124702517374</v>
      </c>
      <c r="AF910" s="24"/>
      <c r="AG910">
        <v>905</v>
      </c>
      <c r="AH910">
        <f t="shared" ca="1" si="179"/>
        <v>308.86989707517449</v>
      </c>
      <c r="AI910">
        <f t="shared" ca="1" si="180"/>
        <v>165.97357559899029</v>
      </c>
      <c r="AJ910">
        <f t="shared" ca="1" si="181"/>
        <v>53.606600315628647</v>
      </c>
      <c r="AL910">
        <v>905</v>
      </c>
      <c r="AM910" s="4">
        <f t="shared" ca="1" si="174"/>
        <v>-1.8423777201833635E-3</v>
      </c>
      <c r="AN910" s="4">
        <f t="shared" ca="1" si="175"/>
        <v>1.0432126807869757E-2</v>
      </c>
      <c r="AO910" s="4">
        <f t="shared" ca="1" si="176"/>
        <v>1.0873119924659669E-2</v>
      </c>
      <c r="AP910" s="4">
        <f t="shared" ca="1" si="177"/>
        <v>6.8820733844907941E-3</v>
      </c>
    </row>
    <row r="911" spans="20:42" x14ac:dyDescent="0.3">
      <c r="T911">
        <v>905</v>
      </c>
      <c r="U911" s="4">
        <v>2.1987652082404496E-2</v>
      </c>
      <c r="V911" s="4"/>
      <c r="W911">
        <v>906</v>
      </c>
      <c r="X911">
        <f t="shared" ca="1" si="178"/>
        <v>0.82057754437911601</v>
      </c>
      <c r="Y911">
        <f t="shared" ca="1" si="178"/>
        <v>-1.6612330173148018</v>
      </c>
      <c r="Z911">
        <f t="shared" ca="1" si="178"/>
        <v>2.0010449004273774</v>
      </c>
      <c r="AB911">
        <v>906</v>
      </c>
      <c r="AC911" s="24">
        <f t="shared" ca="1" si="171"/>
        <v>0.82057754437911601</v>
      </c>
      <c r="AD911" s="24">
        <f t="shared" ca="1" si="172"/>
        <v>-0.10450790843071822</v>
      </c>
      <c r="AE911" s="24">
        <f t="shared" ca="1" si="173"/>
        <v>1.2267609818290723</v>
      </c>
      <c r="AF911" s="24"/>
      <c r="AG911">
        <v>906</v>
      </c>
      <c r="AH911">
        <f t="shared" ca="1" si="179"/>
        <v>313.7898068864813</v>
      </c>
      <c r="AI911">
        <f t="shared" ca="1" si="180"/>
        <v>163.90443020394326</v>
      </c>
      <c r="AJ911">
        <f t="shared" ca="1" si="181"/>
        <v>54.197417176736799</v>
      </c>
      <c r="AL911">
        <v>906</v>
      </c>
      <c r="AM911" s="4">
        <f t="shared" ca="1" si="174"/>
        <v>1.4057020458752456E-2</v>
      </c>
      <c r="AN911" s="4">
        <f t="shared" ca="1" si="175"/>
        <v>-2.1646433385028585E-3</v>
      </c>
      <c r="AO911" s="4">
        <f t="shared" ca="1" si="176"/>
        <v>2.2014301797339764E-2</v>
      </c>
      <c r="AP911" s="4">
        <f t="shared" ca="1" si="177"/>
        <v>9.9555393414265218E-3</v>
      </c>
    </row>
    <row r="912" spans="20:42" x14ac:dyDescent="0.3">
      <c r="T912">
        <v>906</v>
      </c>
      <c r="U912" s="4">
        <v>2.2053078031261778E-2</v>
      </c>
      <c r="V912" s="4"/>
      <c r="W912">
        <v>907</v>
      </c>
      <c r="X912">
        <f t="shared" ca="1" si="178"/>
        <v>1.1916768500815611</v>
      </c>
      <c r="Y912">
        <f t="shared" ca="1" si="178"/>
        <v>1.3549314201950129</v>
      </c>
      <c r="Z912">
        <f t="shared" ca="1" si="178"/>
        <v>-0.64493333713952239</v>
      </c>
      <c r="AB912">
        <v>907</v>
      </c>
      <c r="AC912" s="24">
        <f t="shared" ca="1" si="171"/>
        <v>1.1916768500815611</v>
      </c>
      <c r="AD912" s="24">
        <f t="shared" ca="1" si="172"/>
        <v>1.7045979840003547</v>
      </c>
      <c r="AE912" s="24">
        <f t="shared" ca="1" si="173"/>
        <v>1.0193892204003281</v>
      </c>
      <c r="AF912" s="24"/>
      <c r="AG912">
        <v>907</v>
      </c>
      <c r="AH912">
        <f t="shared" ca="1" si="179"/>
        <v>315.77620050238988</v>
      </c>
      <c r="AI912">
        <f t="shared" ca="1" si="180"/>
        <v>170.18695293916807</v>
      </c>
      <c r="AJ912">
        <f t="shared" ca="1" si="181"/>
        <v>53.998325371139913</v>
      </c>
      <c r="AL912">
        <v>907</v>
      </c>
      <c r="AM912" s="4">
        <f t="shared" ca="1" si="174"/>
        <v>2.0476337936248701E-2</v>
      </c>
      <c r="AN912" s="4">
        <f t="shared" ca="1" si="175"/>
        <v>3.6082787230864222E-2</v>
      </c>
      <c r="AO912" s="4">
        <f t="shared" ca="1" si="176"/>
        <v>1.8259977637811176E-2</v>
      </c>
      <c r="AP912" s="4">
        <f t="shared" ca="1" si="177"/>
        <v>2.6054009564563652E-2</v>
      </c>
    </row>
    <row r="913" spans="20:42" x14ac:dyDescent="0.3">
      <c r="T913">
        <v>907</v>
      </c>
      <c r="U913" s="4">
        <v>2.2123889237239115E-2</v>
      </c>
      <c r="V913" s="4"/>
      <c r="W913">
        <v>908</v>
      </c>
      <c r="X913">
        <f t="shared" ca="1" si="178"/>
        <v>0.32285204951509455</v>
      </c>
      <c r="Y913">
        <f t="shared" ca="1" si="178"/>
        <v>0.92299310415037172</v>
      </c>
      <c r="Z913">
        <f t="shared" ca="1" si="178"/>
        <v>1.2400097182842722</v>
      </c>
      <c r="AB913">
        <v>908</v>
      </c>
      <c r="AC913" s="24">
        <f t="shared" ca="1" si="171"/>
        <v>0.32285204951509455</v>
      </c>
      <c r="AD913" s="24">
        <f t="shared" ca="1" si="172"/>
        <v>0.73573367932557177</v>
      </c>
      <c r="AE913" s="24">
        <f t="shared" ca="1" si="173"/>
        <v>1.14763378373681</v>
      </c>
      <c r="AF913" s="24"/>
      <c r="AG913">
        <v>908</v>
      </c>
      <c r="AH913">
        <f t="shared" ca="1" si="179"/>
        <v>311.14522205643891</v>
      </c>
      <c r="AI913">
        <f t="shared" ca="1" si="180"/>
        <v>166.79298046176828</v>
      </c>
      <c r="AJ913">
        <f t="shared" ca="1" si="181"/>
        <v>54.121362913508683</v>
      </c>
      <c r="AL913">
        <v>908</v>
      </c>
      <c r="AM913" s="4">
        <f t="shared" ca="1" si="174"/>
        <v>5.5106631385053451E-3</v>
      </c>
      <c r="AN913" s="4">
        <f t="shared" ca="1" si="175"/>
        <v>1.5420589550962704E-2</v>
      </c>
      <c r="AO913" s="4">
        <f t="shared" ca="1" si="176"/>
        <v>2.0580127462457298E-2</v>
      </c>
      <c r="AP913" s="4">
        <f t="shared" ca="1" si="177"/>
        <v>1.3995473000673875E-2</v>
      </c>
    </row>
    <row r="914" spans="20:42" x14ac:dyDescent="0.3">
      <c r="T914">
        <v>908</v>
      </c>
      <c r="U914" s="4">
        <v>2.2294317849335686E-2</v>
      </c>
      <c r="V914" s="4"/>
      <c r="W914">
        <v>909</v>
      </c>
      <c r="X914">
        <f t="shared" ca="1" si="178"/>
        <v>0.11853471279321466</v>
      </c>
      <c r="Y914">
        <f t="shared" ca="1" si="178"/>
        <v>0.95823739737451941</v>
      </c>
      <c r="Z914">
        <f t="shared" ca="1" si="178"/>
        <v>0.44288234601208354</v>
      </c>
      <c r="AB914">
        <v>909</v>
      </c>
      <c r="AC914" s="24">
        <f t="shared" ca="1" si="171"/>
        <v>0.11853471279321466</v>
      </c>
      <c r="AD914" s="24">
        <f t="shared" ca="1" si="172"/>
        <v>0.57530774125596229</v>
      </c>
      <c r="AE914" s="24">
        <f t="shared" ca="1" si="173"/>
        <v>0.58603905867048112</v>
      </c>
      <c r="AF914" s="24"/>
      <c r="AG914">
        <v>909</v>
      </c>
      <c r="AH914">
        <f t="shared" ca="1" si="179"/>
        <v>310.0660778875411</v>
      </c>
      <c r="AI914">
        <f t="shared" ca="1" si="180"/>
        <v>166.23756973186568</v>
      </c>
      <c r="AJ914">
        <f t="shared" ca="1" si="181"/>
        <v>53.584635960748848</v>
      </c>
      <c r="AL914">
        <v>909</v>
      </c>
      <c r="AM914" s="4">
        <f t="shared" ca="1" si="174"/>
        <v>2.0232531062418513E-3</v>
      </c>
      <c r="AN914" s="4">
        <f t="shared" ca="1" si="175"/>
        <v>1.2039299227837086E-2</v>
      </c>
      <c r="AO914" s="4">
        <f t="shared" ca="1" si="176"/>
        <v>1.045893257060726E-2</v>
      </c>
      <c r="AP914" s="4">
        <f t="shared" ca="1" si="177"/>
        <v>8.5603753941895684E-3</v>
      </c>
    </row>
    <row r="915" spans="20:42" x14ac:dyDescent="0.3">
      <c r="T915">
        <v>909</v>
      </c>
      <c r="U915" s="4">
        <v>2.2509080377769577E-2</v>
      </c>
      <c r="V915" s="4"/>
      <c r="W915">
        <v>910</v>
      </c>
      <c r="X915">
        <f t="shared" ca="1" si="178"/>
        <v>1.5494630538110123</v>
      </c>
      <c r="Y915">
        <f t="shared" ca="1" si="178"/>
        <v>1.0113507381240261</v>
      </c>
      <c r="Z915">
        <f t="shared" ca="1" si="178"/>
        <v>0.31025807442747527</v>
      </c>
      <c r="AB915">
        <v>910</v>
      </c>
      <c r="AC915" s="24">
        <f t="shared" ca="1" si="171"/>
        <v>1.5494630538110123</v>
      </c>
      <c r="AD915" s="24">
        <f t="shared" ca="1" si="172"/>
        <v>1.8466393914509931</v>
      </c>
      <c r="AE915" s="24">
        <f t="shared" ca="1" si="173"/>
        <v>1.701354090540852</v>
      </c>
      <c r="AF915" s="24"/>
      <c r="AG915">
        <v>910</v>
      </c>
      <c r="AH915">
        <f t="shared" ca="1" si="179"/>
        <v>317.70323776575475</v>
      </c>
      <c r="AI915">
        <f t="shared" ca="1" si="180"/>
        <v>170.69030132498636</v>
      </c>
      <c r="AJ915">
        <f t="shared" ca="1" si="181"/>
        <v>54.655827433359619</v>
      </c>
      <c r="AL915">
        <v>910</v>
      </c>
      <c r="AM915" s="4">
        <f t="shared" ca="1" si="174"/>
        <v>2.6703836799230274E-2</v>
      </c>
      <c r="AN915" s="4">
        <f t="shared" ca="1" si="175"/>
        <v>3.9147126708833468E-2</v>
      </c>
      <c r="AO915" s="4">
        <f t="shared" ca="1" si="176"/>
        <v>3.0658659088967477E-2</v>
      </c>
      <c r="AP915" s="4">
        <f t="shared" ca="1" si="177"/>
        <v>3.2867599449992714E-2</v>
      </c>
    </row>
    <row r="916" spans="20:42" x14ac:dyDescent="0.3">
      <c r="T916">
        <v>910</v>
      </c>
      <c r="U916" s="4">
        <v>2.2551172707072742E-2</v>
      </c>
      <c r="V916" s="4"/>
      <c r="W916">
        <v>911</v>
      </c>
      <c r="X916">
        <f t="shared" ca="1" si="178"/>
        <v>-2.1750211640801425</v>
      </c>
      <c r="Y916">
        <f t="shared" ca="1" si="178"/>
        <v>0.52449862572262718</v>
      </c>
      <c r="Z916">
        <f t="shared" ca="1" si="178"/>
        <v>0.31744800101688658</v>
      </c>
      <c r="AB916">
        <v>911</v>
      </c>
      <c r="AC916" s="24">
        <f t="shared" ca="1" si="171"/>
        <v>-2.1750211640801425</v>
      </c>
      <c r="AD916" s="24">
        <f t="shared" ca="1" si="172"/>
        <v>-1.634211603262707</v>
      </c>
      <c r="AE916" s="24">
        <f t="shared" ca="1" si="173"/>
        <v>-1.4694148466150279</v>
      </c>
      <c r="AF916" s="24"/>
      <c r="AG916">
        <v>911</v>
      </c>
      <c r="AH916">
        <f t="shared" ca="1" si="179"/>
        <v>298.20600107511325</v>
      </c>
      <c r="AI916">
        <f t="shared" ca="1" si="180"/>
        <v>158.77350151035165</v>
      </c>
      <c r="AJ916">
        <f t="shared" ca="1" si="181"/>
        <v>51.665193595767938</v>
      </c>
      <c r="AL916">
        <v>911</v>
      </c>
      <c r="AM916" s="4">
        <f t="shared" ca="1" si="174"/>
        <v>-3.6304295752518256E-2</v>
      </c>
      <c r="AN916" s="4">
        <f t="shared" ca="1" si="175"/>
        <v>-3.3401273468659731E-2</v>
      </c>
      <c r="AO916" s="4">
        <f t="shared" ca="1" si="176"/>
        <v>-2.5736473975965568E-2</v>
      </c>
      <c r="AP916" s="4">
        <f t="shared" ca="1" si="177"/>
        <v>-3.1972740306009037E-2</v>
      </c>
    </row>
    <row r="917" spans="20:42" x14ac:dyDescent="0.3">
      <c r="T917">
        <v>911</v>
      </c>
      <c r="U917" s="4">
        <v>2.262881322401622E-2</v>
      </c>
      <c r="V917" s="4"/>
      <c r="W917">
        <v>912</v>
      </c>
      <c r="X917">
        <f t="shared" ca="1" si="178"/>
        <v>0.12717378692980633</v>
      </c>
      <c r="Y917">
        <f t="shared" ca="1" si="178"/>
        <v>5.2745981414734758E-2</v>
      </c>
      <c r="Z917">
        <f t="shared" ca="1" si="178"/>
        <v>0.37106572300790425</v>
      </c>
      <c r="AB917">
        <v>912</v>
      </c>
      <c r="AC917" s="24">
        <f t="shared" ca="1" si="171"/>
        <v>0.12717378692980633</v>
      </c>
      <c r="AD917" s="24">
        <f t="shared" ca="1" si="172"/>
        <v>0.13665371291459705</v>
      </c>
      <c r="AE917" s="24">
        <f t="shared" ca="1" si="173"/>
        <v>0.30668461521903256</v>
      </c>
      <c r="AF917" s="24"/>
      <c r="AG917">
        <v>912</v>
      </c>
      <c r="AH917">
        <f t="shared" ca="1" si="179"/>
        <v>310.11163106669903</v>
      </c>
      <c r="AI917">
        <f t="shared" ca="1" si="180"/>
        <v>164.7283295247997</v>
      </c>
      <c r="AJ917">
        <f t="shared" ca="1" si="181"/>
        <v>53.319637197971794</v>
      </c>
      <c r="AL917">
        <v>912</v>
      </c>
      <c r="AM917" s="4">
        <f t="shared" ca="1" si="174"/>
        <v>2.1704647750582229E-3</v>
      </c>
      <c r="AN917" s="4">
        <f t="shared" ca="1" si="175"/>
        <v>2.8511812591422991E-3</v>
      </c>
      <c r="AO917" s="4">
        <f t="shared" ca="1" si="176"/>
        <v>5.461784373792522E-3</v>
      </c>
      <c r="AP917" s="4">
        <f t="shared" ca="1" si="177"/>
        <v>3.4301472483121431E-3</v>
      </c>
    </row>
    <row r="918" spans="20:42" x14ac:dyDescent="0.3">
      <c r="T918">
        <v>912</v>
      </c>
      <c r="U918" s="4">
        <v>2.2640270903145375E-2</v>
      </c>
      <c r="V918" s="4"/>
      <c r="W918">
        <v>913</v>
      </c>
      <c r="X918">
        <f t="shared" ca="1" si="178"/>
        <v>0.6210707958470193</v>
      </c>
      <c r="Y918">
        <f t="shared" ca="1" si="178"/>
        <v>-0.47860612971564392</v>
      </c>
      <c r="Z918">
        <f t="shared" ca="1" si="178"/>
        <v>0.38022038260873409</v>
      </c>
      <c r="AB918">
        <v>913</v>
      </c>
      <c r="AC918" s="24">
        <f t="shared" ca="1" si="171"/>
        <v>0.6210707958470193</v>
      </c>
      <c r="AD918" s="24">
        <f t="shared" ca="1" si="172"/>
        <v>0.30461314723170241</v>
      </c>
      <c r="AE918" s="24">
        <f t="shared" ca="1" si="173"/>
        <v>0.56778480104445017</v>
      </c>
      <c r="AF918" s="24"/>
      <c r="AG918">
        <v>913</v>
      </c>
      <c r="AH918">
        <f t="shared" ca="1" si="179"/>
        <v>312.72707114051212</v>
      </c>
      <c r="AI918">
        <f t="shared" ca="1" si="180"/>
        <v>165.30458786802762</v>
      </c>
      <c r="AJ918">
        <f t="shared" ca="1" si="181"/>
        <v>53.5672796187866</v>
      </c>
      <c r="AL918">
        <v>913</v>
      </c>
      <c r="AM918" s="4">
        <f t="shared" ca="1" si="174"/>
        <v>1.0622636611853364E-2</v>
      </c>
      <c r="AN918" s="4">
        <f t="shared" ca="1" si="175"/>
        <v>6.3593899678910937E-3</v>
      </c>
      <c r="AO918" s="4">
        <f t="shared" ca="1" si="176"/>
        <v>1.0131639672968706E-2</v>
      </c>
      <c r="AP918" s="4">
        <f t="shared" ca="1" si="177"/>
        <v>8.7700388726030601E-3</v>
      </c>
    </row>
    <row r="919" spans="20:42" x14ac:dyDescent="0.3">
      <c r="T919">
        <v>913</v>
      </c>
      <c r="U919" s="4">
        <v>2.2763262386561012E-2</v>
      </c>
      <c r="V919" s="4"/>
      <c r="W919">
        <v>914</v>
      </c>
      <c r="X919">
        <f t="shared" ca="1" si="178"/>
        <v>0.40584769892757061</v>
      </c>
      <c r="Y919">
        <f t="shared" ca="1" si="178"/>
        <v>-0.43367361888141698</v>
      </c>
      <c r="Z919">
        <f t="shared" ca="1" si="178"/>
        <v>0.51943493818932451</v>
      </c>
      <c r="AB919">
        <v>914</v>
      </c>
      <c r="AC919" s="24">
        <f t="shared" ca="1" si="171"/>
        <v>0.40584769892757061</v>
      </c>
      <c r="AD919" s="24">
        <f t="shared" ca="1" si="172"/>
        <v>0.13947103923430393</v>
      </c>
      <c r="AE919" s="24">
        <f t="shared" ca="1" si="173"/>
        <v>0.47517094019082051</v>
      </c>
      <c r="AF919" s="24"/>
      <c r="AG919">
        <v>914</v>
      </c>
      <c r="AH919">
        <f t="shared" ca="1" si="179"/>
        <v>311.58465265613142</v>
      </c>
      <c r="AI919">
        <f t="shared" ca="1" si="180"/>
        <v>164.73797901052981</v>
      </c>
      <c r="AJ919">
        <f t="shared" ca="1" si="181"/>
        <v>53.479307954949959</v>
      </c>
      <c r="AL919">
        <v>914</v>
      </c>
      <c r="AM919" s="4">
        <f t="shared" ca="1" si="174"/>
        <v>6.9307465027295123E-3</v>
      </c>
      <c r="AN919" s="4">
        <f t="shared" ca="1" si="175"/>
        <v>2.9099264561032179E-3</v>
      </c>
      <c r="AO919" s="4">
        <f t="shared" ca="1" si="176"/>
        <v>8.4727359229843646E-3</v>
      </c>
      <c r="AP919" s="4">
        <f t="shared" ca="1" si="177"/>
        <v>5.7850153101554492E-3</v>
      </c>
    </row>
    <row r="920" spans="20:42" x14ac:dyDescent="0.3">
      <c r="T920">
        <v>914</v>
      </c>
      <c r="U920" s="4">
        <v>2.2777224493954473E-2</v>
      </c>
      <c r="V920" s="4"/>
      <c r="W920">
        <v>915</v>
      </c>
      <c r="X920">
        <f t="shared" ca="1" si="178"/>
        <v>-0.2923182608238063</v>
      </c>
      <c r="Y920">
        <f t="shared" ca="1" si="178"/>
        <v>0.67275295411597635</v>
      </c>
      <c r="Z920">
        <f t="shared" ca="1" si="178"/>
        <v>-0.93862723765658973</v>
      </c>
      <c r="AB920">
        <v>915</v>
      </c>
      <c r="AC920" s="24">
        <f t="shared" ca="1" si="171"/>
        <v>-0.2923182608238063</v>
      </c>
      <c r="AD920" s="24">
        <f t="shared" ca="1" si="172"/>
        <v>7.712351532470707E-2</v>
      </c>
      <c r="AE920" s="24">
        <f t="shared" ca="1" si="173"/>
        <v>-0.52925471082568909</v>
      </c>
      <c r="AF920" s="24"/>
      <c r="AG920">
        <v>915</v>
      </c>
      <c r="AH920">
        <f t="shared" ca="1" si="179"/>
        <v>307.90739008815638</v>
      </c>
      <c r="AI920">
        <f t="shared" ca="1" si="180"/>
        <v>164.5245676726353</v>
      </c>
      <c r="AJ920">
        <f t="shared" ca="1" si="181"/>
        <v>52.534458434755152</v>
      </c>
      <c r="AL920">
        <v>915</v>
      </c>
      <c r="AM920" s="4">
        <f t="shared" ca="1" si="174"/>
        <v>-4.9528578760267283E-3</v>
      </c>
      <c r="AN920" s="4">
        <f t="shared" ca="1" si="175"/>
        <v>1.6106975200786966E-3</v>
      </c>
      <c r="AO920" s="4">
        <f t="shared" ca="1" si="176"/>
        <v>-9.3445286809078487E-3</v>
      </c>
      <c r="AP920" s="4">
        <f t="shared" ca="1" si="177"/>
        <v>-3.6449369590488942E-3</v>
      </c>
    </row>
    <row r="921" spans="20:42" x14ac:dyDescent="0.3">
      <c r="T921">
        <v>915</v>
      </c>
      <c r="U921" s="4">
        <v>2.2797676520861378E-2</v>
      </c>
      <c r="V921" s="4"/>
      <c r="W921">
        <v>916</v>
      </c>
      <c r="X921">
        <f t="shared" ca="1" si="178"/>
        <v>1.0689404101805451</v>
      </c>
      <c r="Y921">
        <f t="shared" ca="1" si="178"/>
        <v>-0.22864153769284939</v>
      </c>
      <c r="Z921">
        <f t="shared" ca="1" si="178"/>
        <v>-0.10684644678013346</v>
      </c>
      <c r="AB921">
        <v>916</v>
      </c>
      <c r="AC921" s="24">
        <f t="shared" ca="1" si="171"/>
        <v>1.0689404101805451</v>
      </c>
      <c r="AD921" s="24">
        <f t="shared" ca="1" si="172"/>
        <v>0.81750635385287174</v>
      </c>
      <c r="AE921" s="24">
        <f t="shared" ca="1" si="173"/>
        <v>0.75515592521635932</v>
      </c>
      <c r="AF921" s="24"/>
      <c r="AG921">
        <v>916</v>
      </c>
      <c r="AH921">
        <f t="shared" ca="1" si="179"/>
        <v>315.11783793944971</v>
      </c>
      <c r="AI921">
        <f t="shared" ca="1" si="180"/>
        <v>167.07679929759806</v>
      </c>
      <c r="AJ921">
        <f t="shared" ca="1" si="181"/>
        <v>53.745701703617712</v>
      </c>
      <c r="AL921">
        <v>916</v>
      </c>
      <c r="AM921" s="4">
        <f t="shared" ca="1" si="174"/>
        <v>1.8348744355115576E-2</v>
      </c>
      <c r="AN921" s="4">
        <f t="shared" ca="1" si="175"/>
        <v>1.7148452970670469E-2</v>
      </c>
      <c r="AO921" s="4">
        <f t="shared" ca="1" si="176"/>
        <v>1.3496189718946949E-2</v>
      </c>
      <c r="AP921" s="4">
        <f t="shared" ca="1" si="177"/>
        <v>1.6412861410486944E-2</v>
      </c>
    </row>
    <row r="922" spans="20:42" x14ac:dyDescent="0.3">
      <c r="T922">
        <v>916</v>
      </c>
      <c r="U922" s="4">
        <v>2.2910163759851221E-2</v>
      </c>
      <c r="V922" s="4"/>
      <c r="W922">
        <v>917</v>
      </c>
      <c r="X922">
        <f t="shared" ca="1" si="178"/>
        <v>1.3548981794878159</v>
      </c>
      <c r="Y922">
        <f t="shared" ca="1" si="178"/>
        <v>0.29651011192217075</v>
      </c>
      <c r="Z922">
        <f t="shared" ca="1" si="178"/>
        <v>-0.14686718201874496</v>
      </c>
      <c r="AB922">
        <v>917</v>
      </c>
      <c r="AC922" s="24">
        <f t="shared" ca="1" si="171"/>
        <v>1.3548981794878159</v>
      </c>
      <c r="AD922" s="24">
        <f t="shared" ca="1" si="172"/>
        <v>1.3251032169112797</v>
      </c>
      <c r="AE922" s="24">
        <f t="shared" ca="1" si="173"/>
        <v>1.1132175284187633</v>
      </c>
      <c r="AF922" s="24"/>
      <c r="AG922">
        <v>917</v>
      </c>
      <c r="AH922">
        <f t="shared" ca="1" si="179"/>
        <v>316.65385680031915</v>
      </c>
      <c r="AI922">
        <f t="shared" ca="1" si="180"/>
        <v>168.84941585361733</v>
      </c>
      <c r="AJ922">
        <f t="shared" ca="1" si="181"/>
        <v>54.088316540625584</v>
      </c>
      <c r="AL922">
        <v>917</v>
      </c>
      <c r="AM922" s="4">
        <f t="shared" ca="1" si="174"/>
        <v>2.3312610851853544E-2</v>
      </c>
      <c r="AN922" s="4">
        <f t="shared" ca="1" si="175"/>
        <v>2.7939982346653292E-2</v>
      </c>
      <c r="AO922" s="4">
        <f t="shared" ca="1" si="176"/>
        <v>1.9956963712810083E-2</v>
      </c>
      <c r="AP922" s="4">
        <f t="shared" ca="1" si="177"/>
        <v>2.4156865308060403E-2</v>
      </c>
    </row>
    <row r="923" spans="20:42" x14ac:dyDescent="0.3">
      <c r="T923">
        <v>917</v>
      </c>
      <c r="U923" s="4">
        <v>2.3132836293813172E-2</v>
      </c>
      <c r="V923" s="4"/>
      <c r="W923">
        <v>918</v>
      </c>
      <c r="X923">
        <f t="shared" ca="1" si="178"/>
        <v>1.2303233992171847</v>
      </c>
      <c r="Y923">
        <f t="shared" ca="1" si="178"/>
        <v>1.3587149373353746</v>
      </c>
      <c r="Z923">
        <f t="shared" ca="1" si="178"/>
        <v>-1.2841560915218868</v>
      </c>
      <c r="AB923">
        <v>918</v>
      </c>
      <c r="AC923" s="24">
        <f t="shared" ca="1" si="171"/>
        <v>1.2303233992171847</v>
      </c>
      <c r="AD923" s="24">
        <f t="shared" ca="1" si="172"/>
        <v>1.7400916022624302</v>
      </c>
      <c r="AE923" s="24">
        <f t="shared" ca="1" si="173"/>
        <v>0.72756254501638618</v>
      </c>
      <c r="AF923" s="24"/>
      <c r="AG923">
        <v>918</v>
      </c>
      <c r="AH923">
        <f t="shared" ca="1" si="179"/>
        <v>315.98378655010123</v>
      </c>
      <c r="AI923">
        <f t="shared" ca="1" si="180"/>
        <v>170.31259145442237</v>
      </c>
      <c r="AJ923">
        <f t="shared" ca="1" si="181"/>
        <v>53.719388944333623</v>
      </c>
      <c r="AL923">
        <v>918</v>
      </c>
      <c r="AM923" s="4">
        <f t="shared" ca="1" si="174"/>
        <v>2.1147182190622837E-2</v>
      </c>
      <c r="AN923" s="4">
        <f t="shared" ca="1" si="175"/>
        <v>3.6847663155957999E-2</v>
      </c>
      <c r="AO923" s="4">
        <f t="shared" ca="1" si="176"/>
        <v>1.3000003411389294E-2</v>
      </c>
      <c r="AP923" s="4">
        <f t="shared" ca="1" si="177"/>
        <v>2.4983220942986842E-2</v>
      </c>
    </row>
    <row r="924" spans="20:42" x14ac:dyDescent="0.3">
      <c r="T924">
        <v>918</v>
      </c>
      <c r="U924" s="4">
        <v>2.3135334797765285E-2</v>
      </c>
      <c r="V924" s="4"/>
      <c r="W924">
        <v>919</v>
      </c>
      <c r="X924">
        <f t="shared" ca="1" si="178"/>
        <v>0.83455156154435928</v>
      </c>
      <c r="Y924">
        <f t="shared" ca="1" si="178"/>
        <v>-1.3595957696547325</v>
      </c>
      <c r="Z924">
        <f t="shared" ca="1" si="178"/>
        <v>-0.92259713785589781</v>
      </c>
      <c r="AB924">
        <v>919</v>
      </c>
      <c r="AC924" s="24">
        <f t="shared" ca="1" si="171"/>
        <v>0.83455156154435928</v>
      </c>
      <c r="AD924" s="24">
        <f t="shared" ca="1" si="172"/>
        <v>5.6280597361422768E-2</v>
      </c>
      <c r="AE924" s="24">
        <f t="shared" ca="1" si="173"/>
        <v>-0.16236075174006714</v>
      </c>
      <c r="AF924" s="24"/>
      <c r="AG924">
        <v>919</v>
      </c>
      <c r="AH924">
        <f t="shared" ca="1" si="179"/>
        <v>313.8643791008318</v>
      </c>
      <c r="AI924">
        <f t="shared" ca="1" si="180"/>
        <v>164.453285458614</v>
      </c>
      <c r="AJ924">
        <f t="shared" ca="1" si="181"/>
        <v>52.877639700333198</v>
      </c>
      <c r="AL924">
        <v>919</v>
      </c>
      <c r="AM924" s="4">
        <f t="shared" ca="1" si="174"/>
        <v>1.4298011325357241E-2</v>
      </c>
      <c r="AN924" s="4">
        <f t="shared" ca="1" si="175"/>
        <v>1.1767378439244691E-3</v>
      </c>
      <c r="AO924" s="4">
        <f t="shared" ca="1" si="176"/>
        <v>-2.8730734012968329E-3</v>
      </c>
      <c r="AP924" s="4">
        <f t="shared" ca="1" si="177"/>
        <v>3.8981765147879091E-3</v>
      </c>
    </row>
    <row r="925" spans="20:42" x14ac:dyDescent="0.3">
      <c r="T925">
        <v>919</v>
      </c>
      <c r="U925" s="4">
        <v>2.3220574554282458E-2</v>
      </c>
      <c r="V925" s="4"/>
      <c r="W925">
        <v>920</v>
      </c>
      <c r="X925">
        <f t="shared" ca="1" si="178"/>
        <v>-0.19165395286270873</v>
      </c>
      <c r="Y925">
        <f t="shared" ca="1" si="178"/>
        <v>1.3914692173091876</v>
      </c>
      <c r="Z925">
        <f t="shared" ca="1" si="178"/>
        <v>-0.14017561066633363</v>
      </c>
      <c r="AB925">
        <v>920</v>
      </c>
      <c r="AC925" s="24">
        <f t="shared" ca="1" si="171"/>
        <v>-0.19165395286270873</v>
      </c>
      <c r="AD925" s="24">
        <f t="shared" ca="1" si="172"/>
        <v>0.51885927859797265</v>
      </c>
      <c r="AE925" s="24">
        <f t="shared" ca="1" si="173"/>
        <v>0.15653596591225538</v>
      </c>
      <c r="AF925" s="24"/>
      <c r="AG925">
        <v>920</v>
      </c>
      <c r="AH925">
        <f t="shared" ca="1" si="179"/>
        <v>308.43490253931549</v>
      </c>
      <c r="AI925">
        <f t="shared" ca="1" si="180"/>
        <v>166.042579672378</v>
      </c>
      <c r="AJ925">
        <f t="shared" ca="1" si="181"/>
        <v>53.177746410773388</v>
      </c>
      <c r="AL925">
        <v>920</v>
      </c>
      <c r="AM925" s="4">
        <f t="shared" ca="1" si="174"/>
        <v>-3.2481253042934144E-3</v>
      </c>
      <c r="AN925" s="4">
        <f t="shared" ca="1" si="175"/>
        <v>1.085221736975539E-2</v>
      </c>
      <c r="AO925" s="4">
        <f t="shared" ca="1" si="176"/>
        <v>2.786114178344512E-3</v>
      </c>
      <c r="AP925" s="4">
        <f t="shared" ca="1" si="177"/>
        <v>4.2022836101174854E-3</v>
      </c>
    </row>
    <row r="926" spans="20:42" x14ac:dyDescent="0.3">
      <c r="T926">
        <v>920</v>
      </c>
      <c r="U926" s="4">
        <v>2.3702626694863626E-2</v>
      </c>
      <c r="V926" s="4"/>
      <c r="W926">
        <v>921</v>
      </c>
      <c r="X926">
        <f t="shared" ca="1" si="178"/>
        <v>-1.6253904095582421</v>
      </c>
      <c r="Y926">
        <f t="shared" ca="1" si="178"/>
        <v>0.72966433666375075</v>
      </c>
      <c r="Z926">
        <f t="shared" ca="1" si="178"/>
        <v>0.41591063379437593</v>
      </c>
      <c r="AB926">
        <v>921</v>
      </c>
      <c r="AC926" s="24">
        <f t="shared" ca="1" si="171"/>
        <v>-1.6253904095582421</v>
      </c>
      <c r="AD926" s="24">
        <f t="shared" ca="1" si="172"/>
        <v>-1.0548424028157013</v>
      </c>
      <c r="AE926" s="24">
        <f t="shared" ca="1" si="173"/>
        <v>-0.91418484983069903</v>
      </c>
      <c r="AF926" s="24"/>
      <c r="AG926">
        <v>921</v>
      </c>
      <c r="AH926">
        <f t="shared" ca="1" si="179"/>
        <v>301.00616739572456</v>
      </c>
      <c r="AI926">
        <f t="shared" ca="1" si="180"/>
        <v>160.69764653006825</v>
      </c>
      <c r="AJ926">
        <f t="shared" ca="1" si="181"/>
        <v>52.176800638461479</v>
      </c>
      <c r="AL926">
        <v>921</v>
      </c>
      <c r="AM926" s="4">
        <f t="shared" ca="1" si="174"/>
        <v>-2.7255154405185333E-2</v>
      </c>
      <c r="AN926" s="4">
        <f t="shared" ca="1" si="175"/>
        <v>-2.1687252501512266E-2</v>
      </c>
      <c r="AO926" s="4">
        <f t="shared" ca="1" si="176"/>
        <v>-1.6088971534512053E-2</v>
      </c>
      <c r="AP926" s="4">
        <f t="shared" ca="1" si="177"/>
        <v>-2.1678138782514123E-2</v>
      </c>
    </row>
    <row r="927" spans="20:42" x14ac:dyDescent="0.3">
      <c r="T927">
        <v>921</v>
      </c>
      <c r="U927" s="4">
        <v>2.3762330109316408E-2</v>
      </c>
      <c r="V927" s="4"/>
      <c r="W927">
        <v>922</v>
      </c>
      <c r="X927">
        <f t="shared" ca="1" si="178"/>
        <v>0.95016485365464431</v>
      </c>
      <c r="Y927">
        <f t="shared" ca="1" si="178"/>
        <v>1.1265833145543271</v>
      </c>
      <c r="Z927">
        <f t="shared" ca="1" si="178"/>
        <v>1.4185104544350717</v>
      </c>
      <c r="AB927">
        <v>922</v>
      </c>
      <c r="AC927" s="24">
        <f t="shared" ca="1" si="171"/>
        <v>0.95016485365464431</v>
      </c>
      <c r="AD927" s="24">
        <f t="shared" ca="1" si="172"/>
        <v>1.381923683047801</v>
      </c>
      <c r="AE927" s="24">
        <f t="shared" ca="1" si="173"/>
        <v>1.8064556222172872</v>
      </c>
      <c r="AF927" s="24"/>
      <c r="AG927">
        <v>922</v>
      </c>
      <c r="AH927">
        <f t="shared" ca="1" si="179"/>
        <v>314.48202861471145</v>
      </c>
      <c r="AI927">
        <f t="shared" ca="1" si="180"/>
        <v>169.04900959341515</v>
      </c>
      <c r="AJ927">
        <f t="shared" ca="1" si="181"/>
        <v>54.757868430659123</v>
      </c>
      <c r="AL927">
        <v>922</v>
      </c>
      <c r="AM927" s="4">
        <f t="shared" ca="1" si="174"/>
        <v>1.6294034816200398E-2</v>
      </c>
      <c r="AN927" s="4">
        <f t="shared" ca="1" si="175"/>
        <v>2.9155090994361865E-2</v>
      </c>
      <c r="AO927" s="4">
        <f t="shared" ca="1" si="176"/>
        <v>3.2582871792124157E-2</v>
      </c>
      <c r="AP927" s="4">
        <f t="shared" ca="1" si="177"/>
        <v>2.6325108380242112E-2</v>
      </c>
    </row>
    <row r="928" spans="20:42" x14ac:dyDescent="0.3">
      <c r="T928">
        <v>922</v>
      </c>
      <c r="U928" s="4">
        <v>2.3813890435758565E-2</v>
      </c>
      <c r="V928" s="4"/>
      <c r="W928">
        <v>923</v>
      </c>
      <c r="X928">
        <f t="shared" ca="1" si="178"/>
        <v>-0.26205029912220701</v>
      </c>
      <c r="Y928">
        <f t="shared" ca="1" si="178"/>
        <v>-0.10319105144735544</v>
      </c>
      <c r="Z928">
        <f t="shared" ca="1" si="178"/>
        <v>0.41000303200223981</v>
      </c>
      <c r="AB928">
        <v>923</v>
      </c>
      <c r="AC928" s="24">
        <f t="shared" ca="1" si="171"/>
        <v>-0.26205029912220701</v>
      </c>
      <c r="AD928" s="24">
        <f t="shared" ca="1" si="172"/>
        <v>-0.27887640807000125</v>
      </c>
      <c r="AE928" s="24">
        <f t="shared" ca="1" si="173"/>
        <v>-3.4295140576897309E-2</v>
      </c>
      <c r="AF928" s="24"/>
      <c r="AG928">
        <v>923</v>
      </c>
      <c r="AH928">
        <f t="shared" ca="1" si="179"/>
        <v>308.06590874809319</v>
      </c>
      <c r="AI928">
        <f t="shared" ca="1" si="180"/>
        <v>163.31128951093999</v>
      </c>
      <c r="AJ928">
        <f t="shared" ca="1" si="181"/>
        <v>52.997955397220998</v>
      </c>
      <c r="AL928">
        <v>923</v>
      </c>
      <c r="AM928" s="4">
        <f t="shared" ca="1" si="174"/>
        <v>-4.4405819624856457E-3</v>
      </c>
      <c r="AN928" s="4">
        <f t="shared" ca="1" si="175"/>
        <v>-5.7756302667812953E-3</v>
      </c>
      <c r="AO928" s="4">
        <f t="shared" ca="1" si="176"/>
        <v>-6.0425010019626857E-4</v>
      </c>
      <c r="AP928" s="4">
        <f t="shared" ca="1" si="177"/>
        <v>-3.8237017255170922E-3</v>
      </c>
    </row>
    <row r="929" spans="20:42" x14ac:dyDescent="0.3">
      <c r="T929">
        <v>923</v>
      </c>
      <c r="U929" s="4">
        <v>2.4032606439821903E-2</v>
      </c>
      <c r="V929" s="4"/>
      <c r="W929">
        <v>924</v>
      </c>
      <c r="X929">
        <f t="shared" ca="1" si="178"/>
        <v>0.71423054837279287</v>
      </c>
      <c r="Y929">
        <f t="shared" ca="1" si="178"/>
        <v>0.39863438303498444</v>
      </c>
      <c r="Z929">
        <f t="shared" ca="1" si="178"/>
        <v>-6.2587012160875061E-2</v>
      </c>
      <c r="AB929">
        <v>924</v>
      </c>
      <c r="AC929" s="24">
        <f t="shared" ca="1" si="171"/>
        <v>0.71423054837279287</v>
      </c>
      <c r="AD929" s="24">
        <f t="shared" ca="1" si="172"/>
        <v>0.81792980860388587</v>
      </c>
      <c r="AE929" s="24">
        <f t="shared" ca="1" si="173"/>
        <v>0.66125195082294996</v>
      </c>
      <c r="AF929" s="24"/>
      <c r="AG929">
        <v>924</v>
      </c>
      <c r="AH929">
        <f t="shared" ca="1" si="179"/>
        <v>313.22286731986043</v>
      </c>
      <c r="AI929">
        <f t="shared" ca="1" si="180"/>
        <v>167.07827029216983</v>
      </c>
      <c r="AJ929">
        <f t="shared" ca="1" si="181"/>
        <v>53.65620851833728</v>
      </c>
      <c r="AL929">
        <v>924</v>
      </c>
      <c r="AM929" s="4">
        <f t="shared" ca="1" si="174"/>
        <v>1.2224873476630371E-2</v>
      </c>
      <c r="AN929" s="4">
        <f t="shared" ca="1" si="175"/>
        <v>1.7157408252668427E-2</v>
      </c>
      <c r="AO929" s="4">
        <f t="shared" ca="1" si="176"/>
        <v>1.1808594257123772E-2</v>
      </c>
      <c r="AP929" s="4">
        <f t="shared" ca="1" si="177"/>
        <v>1.4073003621193615E-2</v>
      </c>
    </row>
    <row r="930" spans="20:42" x14ac:dyDescent="0.3">
      <c r="T930">
        <v>924</v>
      </c>
      <c r="U930" s="4">
        <v>2.4112896032425724E-2</v>
      </c>
      <c r="V930" s="4"/>
      <c r="W930">
        <v>925</v>
      </c>
      <c r="X930">
        <f t="shared" ca="1" si="178"/>
        <v>-0.49207561481809814</v>
      </c>
      <c r="Y930">
        <f t="shared" ca="1" si="178"/>
        <v>-0.35413277443218272</v>
      </c>
      <c r="Z930">
        <f t="shared" ca="1" si="178"/>
        <v>0.80075678511314385</v>
      </c>
      <c r="AB930">
        <v>925</v>
      </c>
      <c r="AC930" s="24">
        <f t="shared" ca="1" si="171"/>
        <v>-0.49207561481809814</v>
      </c>
      <c r="AD930" s="24">
        <f t="shared" ca="1" si="172"/>
        <v>-0.60268803806909532</v>
      </c>
      <c r="AE930" s="24">
        <f t="shared" ca="1" si="173"/>
        <v>-9.3006009305253101E-2</v>
      </c>
      <c r="AF930" s="24"/>
      <c r="AG930">
        <v>925</v>
      </c>
      <c r="AH930">
        <f t="shared" ca="1" si="179"/>
        <v>306.86326908879374</v>
      </c>
      <c r="AI930">
        <f t="shared" ca="1" si="180"/>
        <v>162.21548389511631</v>
      </c>
      <c r="AJ930">
        <f t="shared" ca="1" si="181"/>
        <v>52.942763481355207</v>
      </c>
      <c r="AL930">
        <v>925</v>
      </c>
      <c r="AM930" s="4">
        <f t="shared" ca="1" si="174"/>
        <v>-8.3270854843668918E-3</v>
      </c>
      <c r="AN930" s="4">
        <f t="shared" ca="1" si="175"/>
        <v>-1.2446795812072309E-2</v>
      </c>
      <c r="AO930" s="4">
        <f t="shared" ca="1" si="176"/>
        <v>-1.645017913438962E-3</v>
      </c>
      <c r="AP930" s="4">
        <f t="shared" ca="1" si="177"/>
        <v>-7.9703493441706814E-3</v>
      </c>
    </row>
    <row r="931" spans="20:42" x14ac:dyDescent="0.3">
      <c r="T931">
        <v>925</v>
      </c>
      <c r="U931" s="4">
        <v>2.4160348247859464E-2</v>
      </c>
      <c r="V931" s="4"/>
      <c r="W931">
        <v>926</v>
      </c>
      <c r="X931">
        <f t="shared" ca="1" si="178"/>
        <v>1.3996408408153524</v>
      </c>
      <c r="Y931">
        <f t="shared" ca="1" si="178"/>
        <v>-1.0001829369492077</v>
      </c>
      <c r="Z931">
        <f t="shared" ca="1" si="178"/>
        <v>-0.61958118970467091</v>
      </c>
      <c r="AB931">
        <v>926</v>
      </c>
      <c r="AC931" s="24">
        <f t="shared" ca="1" si="171"/>
        <v>1.3996408408153524</v>
      </c>
      <c r="AD931" s="24">
        <f t="shared" ca="1" si="172"/>
        <v>0.72510512423915408</v>
      </c>
      <c r="AE931" s="24">
        <f t="shared" ca="1" si="173"/>
        <v>0.5518802812626058</v>
      </c>
      <c r="AF931" s="24"/>
      <c r="AG931">
        <v>926</v>
      </c>
      <c r="AH931">
        <f t="shared" ca="1" si="179"/>
        <v>316.89486795983152</v>
      </c>
      <c r="AI931">
        <f t="shared" ca="1" si="180"/>
        <v>166.75612600505389</v>
      </c>
      <c r="AJ931">
        <f t="shared" ca="1" si="181"/>
        <v>53.552162015481024</v>
      </c>
      <c r="AL931">
        <v>926</v>
      </c>
      <c r="AM931" s="4">
        <f t="shared" ca="1" si="174"/>
        <v>2.4091473176087286E-2</v>
      </c>
      <c r="AN931" s="4">
        <f t="shared" ca="1" si="175"/>
        <v>1.5196222949557026E-2</v>
      </c>
      <c r="AO931" s="4">
        <f t="shared" ca="1" si="176"/>
        <v>9.8465632322073393E-3</v>
      </c>
      <c r="AP931" s="4">
        <f t="shared" ca="1" si="177"/>
        <v>1.6259900102311198E-2</v>
      </c>
    </row>
    <row r="932" spans="20:42" x14ac:dyDescent="0.3">
      <c r="T932">
        <v>926</v>
      </c>
      <c r="U932" s="4">
        <v>2.4206918235803721E-2</v>
      </c>
      <c r="V932" s="4"/>
      <c r="W932">
        <v>927</v>
      </c>
      <c r="X932">
        <f t="shared" ca="1" si="178"/>
        <v>-1.0437530993543238</v>
      </c>
      <c r="Y932">
        <f t="shared" ca="1" si="178"/>
        <v>1.1023755398895241</v>
      </c>
      <c r="Z932">
        <f t="shared" ca="1" si="178"/>
        <v>-0.14357542019197772</v>
      </c>
      <c r="AB932">
        <v>927</v>
      </c>
      <c r="AC932" s="24">
        <f t="shared" ca="1" si="171"/>
        <v>-1.0437530993543238</v>
      </c>
      <c r="AD932" s="24">
        <f t="shared" ca="1" si="172"/>
        <v>-0.36506552903009526</v>
      </c>
      <c r="AE932" s="24">
        <f t="shared" ca="1" si="173"/>
        <v>-0.62049903170575937</v>
      </c>
      <c r="AF932" s="24"/>
      <c r="AG932">
        <v>927</v>
      </c>
      <c r="AH932">
        <f t="shared" ca="1" si="179"/>
        <v>303.99803552912232</v>
      </c>
      <c r="AI932">
        <f t="shared" ca="1" si="180"/>
        <v>163.01889744031411</v>
      </c>
      <c r="AJ932">
        <f t="shared" ca="1" si="181"/>
        <v>52.449457714794114</v>
      </c>
      <c r="AL932">
        <v>927</v>
      </c>
      <c r="AM932" s="4">
        <f t="shared" ca="1" si="174"/>
        <v>-1.7586500999702381E-2</v>
      </c>
      <c r="AN932" s="4">
        <f t="shared" ca="1" si="175"/>
        <v>-7.5556867650403703E-3</v>
      </c>
      <c r="AO932" s="4">
        <f t="shared" ca="1" si="176"/>
        <v>-1.0947408596383545E-2</v>
      </c>
      <c r="AP932" s="4">
        <f t="shared" ca="1" si="177"/>
        <v>-1.1582447584841926E-2</v>
      </c>
    </row>
    <row r="933" spans="20:42" x14ac:dyDescent="0.3">
      <c r="T933">
        <v>927</v>
      </c>
      <c r="U933" s="4">
        <v>2.4236308432384956E-2</v>
      </c>
      <c r="V933" s="4"/>
      <c r="W933">
        <v>928</v>
      </c>
      <c r="X933">
        <f t="shared" ca="1" si="178"/>
        <v>0.45066544178419943</v>
      </c>
      <c r="Y933">
        <f t="shared" ca="1" si="178"/>
        <v>-0.24063309301389063</v>
      </c>
      <c r="Z933">
        <f t="shared" ca="1" si="178"/>
        <v>-0.61948671237973008</v>
      </c>
      <c r="AB933">
        <v>928</v>
      </c>
      <c r="AC933" s="24">
        <f t="shared" ca="1" si="171"/>
        <v>0.45066544178419943</v>
      </c>
      <c r="AD933" s="24">
        <f t="shared" ca="1" si="172"/>
        <v>0.27358912470152219</v>
      </c>
      <c r="AE933" s="24">
        <f t="shared" ca="1" si="173"/>
        <v>-1.2979818520665265E-2</v>
      </c>
      <c r="AF933" s="24"/>
      <c r="AG933">
        <v>928</v>
      </c>
      <c r="AH933">
        <f t="shared" ca="1" si="179"/>
        <v>311.82220366171276</v>
      </c>
      <c r="AI933">
        <f t="shared" ca="1" si="180"/>
        <v>165.19799480171247</v>
      </c>
      <c r="AJ933">
        <f t="shared" ca="1" si="181"/>
        <v>53.018007376281325</v>
      </c>
      <c r="AL933">
        <v>928</v>
      </c>
      <c r="AM933" s="4">
        <f t="shared" ca="1" si="174"/>
        <v>7.6984268404594047E-3</v>
      </c>
      <c r="AN933" s="4">
        <f t="shared" ca="1" si="175"/>
        <v>5.7104610145255474E-3</v>
      </c>
      <c r="AO933" s="4">
        <f t="shared" ca="1" si="176"/>
        <v>-2.2612489706774763E-4</v>
      </c>
      <c r="AP933" s="4">
        <f t="shared" ca="1" si="177"/>
        <v>4.5258749888277159E-3</v>
      </c>
    </row>
    <row r="934" spans="20:42" x14ac:dyDescent="0.3">
      <c r="T934">
        <v>928</v>
      </c>
      <c r="U934" s="4">
        <v>2.4284250558344777E-2</v>
      </c>
      <c r="V934" s="4"/>
      <c r="W934">
        <v>929</v>
      </c>
      <c r="X934">
        <f t="shared" ca="1" si="178"/>
        <v>-0.57432196835345628</v>
      </c>
      <c r="Y934">
        <f t="shared" ca="1" si="178"/>
        <v>-0.84261043795136448</v>
      </c>
      <c r="Z934">
        <f t="shared" ca="1" si="178"/>
        <v>-6.6845878992101732E-2</v>
      </c>
      <c r="AB934">
        <v>929</v>
      </c>
      <c r="AC934" s="24">
        <f t="shared" ca="1" si="171"/>
        <v>-0.57432196835345628</v>
      </c>
      <c r="AD934" s="24">
        <f t="shared" ca="1" si="172"/>
        <v>-0.91494923150039842</v>
      </c>
      <c r="AE934" s="24">
        <f t="shared" ca="1" si="173"/>
        <v>-0.73530209422854176</v>
      </c>
      <c r="AF934" s="24"/>
      <c r="AG934">
        <v>929</v>
      </c>
      <c r="AH934">
        <f t="shared" ca="1" si="179"/>
        <v>306.43440149037474</v>
      </c>
      <c r="AI934">
        <f t="shared" ca="1" si="180"/>
        <v>161.16573051127318</v>
      </c>
      <c r="AJ934">
        <f t="shared" ca="1" si="181"/>
        <v>52.342705666526776</v>
      </c>
      <c r="AL934">
        <v>929</v>
      </c>
      <c r="AM934" s="4">
        <f t="shared" ca="1" si="174"/>
        <v>-9.7130329864201226E-3</v>
      </c>
      <c r="AN934" s="4">
        <f t="shared" ca="1" si="175"/>
        <v>-1.8837599531473681E-2</v>
      </c>
      <c r="AO934" s="4">
        <f t="shared" ca="1" si="176"/>
        <v>-1.2960458770335581E-2</v>
      </c>
      <c r="AP934" s="4">
        <f t="shared" ca="1" si="177"/>
        <v>-1.4337087339616184E-2</v>
      </c>
    </row>
    <row r="935" spans="20:42" x14ac:dyDescent="0.3">
      <c r="T935">
        <v>929</v>
      </c>
      <c r="U935" s="4">
        <v>2.4304523133193357E-2</v>
      </c>
      <c r="V935" s="4"/>
      <c r="W935">
        <v>930</v>
      </c>
      <c r="X935">
        <f t="shared" ca="1" si="178"/>
        <v>0.9334899298220446</v>
      </c>
      <c r="Y935">
        <f t="shared" ca="1" si="178"/>
        <v>-0.94103219820664508</v>
      </c>
      <c r="Z935">
        <f t="shared" ca="1" si="178"/>
        <v>-2.2612132342721383</v>
      </c>
      <c r="AB935">
        <v>930</v>
      </c>
      <c r="AC935" s="24">
        <f t="shared" ca="1" si="171"/>
        <v>0.9334899298220446</v>
      </c>
      <c r="AD935" s="24">
        <f t="shared" ca="1" si="172"/>
        <v>0.34861734693121726</v>
      </c>
      <c r="AE935" s="24">
        <f t="shared" ca="1" si="173"/>
        <v>-0.64542995529603608</v>
      </c>
      <c r="AF935" s="24"/>
      <c r="AG935">
        <v>930</v>
      </c>
      <c r="AH935">
        <f t="shared" ca="1" si="179"/>
        <v>314.39286997055166</v>
      </c>
      <c r="AI935">
        <f t="shared" ca="1" si="180"/>
        <v>165.45589650595184</v>
      </c>
      <c r="AJ935">
        <f t="shared" ca="1" si="181"/>
        <v>52.426256678695289</v>
      </c>
      <c r="AL935">
        <v>930</v>
      </c>
      <c r="AM935" s="4">
        <f t="shared" ca="1" si="174"/>
        <v>1.6005905797791931E-2</v>
      </c>
      <c r="AN935" s="4">
        <f t="shared" ca="1" si="175"/>
        <v>7.2805432796181346E-3</v>
      </c>
      <c r="AO935" s="4">
        <f t="shared" ca="1" si="176"/>
        <v>-1.1384916358648134E-2</v>
      </c>
      <c r="AP935" s="4">
        <f t="shared" ca="1" si="177"/>
        <v>4.2985141435903929E-3</v>
      </c>
    </row>
    <row r="936" spans="20:42" x14ac:dyDescent="0.3">
      <c r="T936">
        <v>930</v>
      </c>
      <c r="U936" s="4">
        <v>2.4326868669202462E-2</v>
      </c>
      <c r="V936" s="4"/>
      <c r="W936">
        <v>931</v>
      </c>
      <c r="X936">
        <f t="shared" ca="1" si="178"/>
        <v>4.7364608816999311E-2</v>
      </c>
      <c r="Y936">
        <f t="shared" ca="1" si="178"/>
        <v>-1.4061314498108606</v>
      </c>
      <c r="Z936">
        <f t="shared" ca="1" si="178"/>
        <v>-0.16329223815649033</v>
      </c>
      <c r="AB936">
        <v>931</v>
      </c>
      <c r="AC936" s="24">
        <f t="shared" ca="1" si="171"/>
        <v>4.7364608816999311E-2</v>
      </c>
      <c r="AD936" s="24">
        <f t="shared" ca="1" si="172"/>
        <v>-0.65164117746636918</v>
      </c>
      <c r="AE936" s="24">
        <f t="shared" ca="1" si="173"/>
        <v>-0.43237089995313283</v>
      </c>
      <c r="AF936" s="24"/>
      <c r="AG936">
        <v>931</v>
      </c>
      <c r="AH936">
        <f t="shared" ca="1" si="179"/>
        <v>309.69105789359787</v>
      </c>
      <c r="AI936">
        <f t="shared" ca="1" si="180"/>
        <v>162.05046340950537</v>
      </c>
      <c r="AJ936">
        <f t="shared" ca="1" si="181"/>
        <v>52.624863543009361</v>
      </c>
      <c r="AL936">
        <v>931</v>
      </c>
      <c r="AM936" s="4">
        <f t="shared" ca="1" si="174"/>
        <v>8.1132190476695953E-4</v>
      </c>
      <c r="AN936" s="4">
        <f t="shared" ca="1" si="175"/>
        <v>-1.345142561317747E-2</v>
      </c>
      <c r="AO936" s="4">
        <f t="shared" ca="1" si="176"/>
        <v>-7.6397368586326175E-3</v>
      </c>
      <c r="AP936" s="4">
        <f t="shared" ca="1" si="177"/>
        <v>-7.4290947314306858E-3</v>
      </c>
    </row>
    <row r="937" spans="20:42" x14ac:dyDescent="0.3">
      <c r="T937">
        <v>931</v>
      </c>
      <c r="U937" s="4">
        <v>2.4466616593677059E-2</v>
      </c>
      <c r="V937" s="4"/>
      <c r="W937">
        <v>932</v>
      </c>
      <c r="X937">
        <f t="shared" ca="1" si="178"/>
        <v>0.74605130793705676</v>
      </c>
      <c r="Y937">
        <f t="shared" ca="1" si="178"/>
        <v>1.0655250709520832</v>
      </c>
      <c r="Z937">
        <f t="shared" ca="1" si="178"/>
        <v>1.2226745534660513</v>
      </c>
      <c r="AB937">
        <v>932</v>
      </c>
      <c r="AC937" s="24">
        <f t="shared" ca="1" si="171"/>
        <v>0.74605130793705676</v>
      </c>
      <c r="AD937" s="24">
        <f t="shared" ca="1" si="172"/>
        <v>1.1742229980591152</v>
      </c>
      <c r="AE937" s="24">
        <f t="shared" ca="1" si="173"/>
        <v>1.5236079876593056</v>
      </c>
      <c r="AF937" s="24"/>
      <c r="AG937">
        <v>932</v>
      </c>
      <c r="AH937">
        <f t="shared" ca="1" si="179"/>
        <v>313.39239742882199</v>
      </c>
      <c r="AI937">
        <f t="shared" ca="1" si="180"/>
        <v>168.32056056629139</v>
      </c>
      <c r="AJ937">
        <f t="shared" ca="1" si="181"/>
        <v>54.483689794033495</v>
      </c>
      <c r="AL937">
        <v>932</v>
      </c>
      <c r="AM937" s="4">
        <f t="shared" ca="1" si="174"/>
        <v>1.2772734475932523E-2</v>
      </c>
      <c r="AN937" s="4">
        <f t="shared" ca="1" si="175"/>
        <v>2.4720359157734073E-2</v>
      </c>
      <c r="AO937" s="4">
        <f t="shared" ca="1" si="176"/>
        <v>2.7412616409567603E-2</v>
      </c>
      <c r="AP937" s="4">
        <f t="shared" ca="1" si="177"/>
        <v>2.1943748928743668E-2</v>
      </c>
    </row>
    <row r="938" spans="20:42" x14ac:dyDescent="0.3">
      <c r="T938">
        <v>932</v>
      </c>
      <c r="U938" s="4">
        <v>2.4614050834890433E-2</v>
      </c>
      <c r="V938" s="4"/>
      <c r="W938">
        <v>933</v>
      </c>
      <c r="X938">
        <f t="shared" ca="1" si="178"/>
        <v>0.6584227942512666</v>
      </c>
      <c r="Y938">
        <f t="shared" ca="1" si="178"/>
        <v>0.64947682486061731</v>
      </c>
      <c r="Z938">
        <f t="shared" ca="1" si="178"/>
        <v>0.64542191670704896</v>
      </c>
      <c r="AB938">
        <v>933</v>
      </c>
      <c r="AC938" s="24">
        <f t="shared" ca="1" si="171"/>
        <v>0.6584227942512666</v>
      </c>
      <c r="AD938" s="24">
        <f t="shared" ca="1" si="172"/>
        <v>0.89296722181969579</v>
      </c>
      <c r="AE938" s="24">
        <f t="shared" ca="1" si="173"/>
        <v>1.0442698728921693</v>
      </c>
      <c r="AF938" s="24"/>
      <c r="AG938">
        <v>933</v>
      </c>
      <c r="AH938">
        <f t="shared" ca="1" si="179"/>
        <v>312.92576414828704</v>
      </c>
      <c r="AI938">
        <f t="shared" ca="1" si="180"/>
        <v>167.33913939856322</v>
      </c>
      <c r="AJ938">
        <f t="shared" ca="1" si="181"/>
        <v>54.022173923715577</v>
      </c>
      <c r="AL938">
        <v>933</v>
      </c>
      <c r="AM938" s="4">
        <f t="shared" ca="1" si="174"/>
        <v>1.1264741724984484E-2</v>
      </c>
      <c r="AN938" s="4">
        <f t="shared" ca="1" si="175"/>
        <v>1.8745555793867386E-2</v>
      </c>
      <c r="AO938" s="4">
        <f t="shared" ca="1" si="176"/>
        <v>1.8709695780836588E-2</v>
      </c>
      <c r="AP938" s="4">
        <f t="shared" ca="1" si="177"/>
        <v>1.6490553569293277E-2</v>
      </c>
    </row>
    <row r="939" spans="20:42" x14ac:dyDescent="0.3">
      <c r="T939">
        <v>933</v>
      </c>
      <c r="U939" s="4">
        <v>2.5026602364959349E-2</v>
      </c>
      <c r="V939" s="4"/>
      <c r="W939">
        <v>934</v>
      </c>
      <c r="X939">
        <f t="shared" ca="1" si="178"/>
        <v>1.6937765880888649</v>
      </c>
      <c r="Y939">
        <f t="shared" ca="1" si="178"/>
        <v>-1.2514663877705914</v>
      </c>
      <c r="Z939">
        <f t="shared" ca="1" si="178"/>
        <v>0.95686879414043247</v>
      </c>
      <c r="AB939">
        <v>934</v>
      </c>
      <c r="AC939" s="24">
        <f t="shared" ca="1" si="171"/>
        <v>1.6937765880888649</v>
      </c>
      <c r="AD939" s="24">
        <f t="shared" ca="1" si="172"/>
        <v>0.85723789131008687</v>
      </c>
      <c r="AE939" s="24">
        <f t="shared" ca="1" si="173"/>
        <v>1.5226686303983064</v>
      </c>
      <c r="AF939" s="24"/>
      <c r="AG939">
        <v>934</v>
      </c>
      <c r="AH939">
        <f t="shared" ca="1" si="179"/>
        <v>318.48383502885207</v>
      </c>
      <c r="AI939">
        <f t="shared" ca="1" si="180"/>
        <v>167.21487488909798</v>
      </c>
      <c r="AJ939">
        <f t="shared" ca="1" si="181"/>
        <v>54.482781518175024</v>
      </c>
      <c r="AL939">
        <v>934</v>
      </c>
      <c r="AM939" s="4">
        <f t="shared" ca="1" si="174"/>
        <v>2.9226449444455849E-2</v>
      </c>
      <c r="AN939" s="4">
        <f t="shared" ca="1" si="175"/>
        <v>1.7989044691828715E-2</v>
      </c>
      <c r="AO939" s="4">
        <f t="shared" ca="1" si="176"/>
        <v>2.7395488823684477E-2</v>
      </c>
      <c r="AP939" s="4">
        <f t="shared" ca="1" si="177"/>
        <v>2.4182199357173584E-2</v>
      </c>
    </row>
    <row r="940" spans="20:42" x14ac:dyDescent="0.3">
      <c r="T940">
        <v>934</v>
      </c>
      <c r="U940" s="4">
        <v>2.504090844949074E-2</v>
      </c>
      <c r="V940" s="4"/>
      <c r="W940">
        <v>935</v>
      </c>
      <c r="X940">
        <f t="shared" ca="1" si="178"/>
        <v>-0.38207145886838517</v>
      </c>
      <c r="Y940">
        <f t="shared" ca="1" si="178"/>
        <v>1.1911389182686816</v>
      </c>
      <c r="Z940">
        <f t="shared" ca="1" si="178"/>
        <v>-0.16023121992086803</v>
      </c>
      <c r="AB940">
        <v>935</v>
      </c>
      <c r="AC940" s="24">
        <f t="shared" ca="1" si="171"/>
        <v>-0.38207145886838517</v>
      </c>
      <c r="AD940" s="24">
        <f t="shared" ca="1" si="172"/>
        <v>0.25445170124732541</v>
      </c>
      <c r="AE940" s="24">
        <f t="shared" ca="1" si="173"/>
        <v>-6.436695024648996E-2</v>
      </c>
      <c r="AF940" s="24"/>
      <c r="AG940">
        <v>935</v>
      </c>
      <c r="AH940">
        <f t="shared" ca="1" si="179"/>
        <v>307.43781612447043</v>
      </c>
      <c r="AI940">
        <f t="shared" ca="1" si="180"/>
        <v>165.13227627170977</v>
      </c>
      <c r="AJ940">
        <f t="shared" ca="1" si="181"/>
        <v>52.969678817343947</v>
      </c>
      <c r="AL940">
        <v>935</v>
      </c>
      <c r="AM940" s="4">
        <f t="shared" ca="1" si="174"/>
        <v>-6.4703538687268525E-3</v>
      </c>
      <c r="AN940" s="4">
        <f t="shared" ca="1" si="175"/>
        <v>5.3103725438057303E-3</v>
      </c>
      <c r="AO940" s="4">
        <f t="shared" ca="1" si="176"/>
        <v>-1.1374686656866473E-3</v>
      </c>
      <c r="AP940" s="4">
        <f t="shared" ca="1" si="177"/>
        <v>-1.5819774280175755E-4</v>
      </c>
    </row>
    <row r="941" spans="20:42" x14ac:dyDescent="0.3">
      <c r="T941">
        <v>935</v>
      </c>
      <c r="U941" s="4">
        <v>2.5055494590939122E-2</v>
      </c>
      <c r="V941" s="4"/>
      <c r="W941">
        <v>936</v>
      </c>
      <c r="X941">
        <f t="shared" ca="1" si="178"/>
        <v>0.89548002090379764</v>
      </c>
      <c r="Y941">
        <f t="shared" ca="1" si="178"/>
        <v>-1.0701473283306517</v>
      </c>
      <c r="Z941">
        <f t="shared" ca="1" si="178"/>
        <v>-1.486464192274479</v>
      </c>
      <c r="AB941">
        <v>936</v>
      </c>
      <c r="AC941" s="24">
        <f t="shared" ca="1" si="171"/>
        <v>0.89548002090379764</v>
      </c>
      <c r="AD941" s="24">
        <f t="shared" ca="1" si="172"/>
        <v>0.25192185940192957</v>
      </c>
      <c r="AE941" s="24">
        <f t="shared" ca="1" si="173"/>
        <v>-0.31889931313382036</v>
      </c>
      <c r="AF941" s="24"/>
      <c r="AG941">
        <v>936</v>
      </c>
      <c r="AH941">
        <f t="shared" ca="1" si="179"/>
        <v>314.18973041011708</v>
      </c>
      <c r="AI941">
        <f t="shared" ca="1" si="180"/>
        <v>165.12359066982287</v>
      </c>
      <c r="AJ941">
        <f t="shared" ca="1" si="181"/>
        <v>52.730945018804235</v>
      </c>
      <c r="AL941">
        <v>936</v>
      </c>
      <c r="AM941" s="4">
        <f t="shared" ca="1" si="174"/>
        <v>1.5349431008392145E-2</v>
      </c>
      <c r="AN941" s="4">
        <f t="shared" ca="1" si="175"/>
        <v>5.2574953845621053E-3</v>
      </c>
      <c r="AO941" s="4">
        <f t="shared" ca="1" si="176"/>
        <v>-5.6393318381390278E-3</v>
      </c>
      <c r="AP941" s="4">
        <f t="shared" ca="1" si="177"/>
        <v>5.0160279049007777E-3</v>
      </c>
    </row>
    <row r="942" spans="20:42" x14ac:dyDescent="0.3">
      <c r="T942">
        <v>936</v>
      </c>
      <c r="U942" s="4">
        <v>2.5104127980188795E-2</v>
      </c>
      <c r="V942" s="4"/>
      <c r="W942">
        <v>937</v>
      </c>
      <c r="X942">
        <f t="shared" ca="1" si="178"/>
        <v>0.96065375410839204</v>
      </c>
      <c r="Y942">
        <f t="shared" ca="1" si="178"/>
        <v>-0.60659912496684909</v>
      </c>
      <c r="Z942">
        <f t="shared" ca="1" si="178"/>
        <v>-0.25324208035140444</v>
      </c>
      <c r="AB942">
        <v>937</v>
      </c>
      <c r="AC942" s="24">
        <f t="shared" ca="1" si="171"/>
        <v>0.96065375410839204</v>
      </c>
      <c r="AD942" s="24">
        <f t="shared" ca="1" si="172"/>
        <v>0.53704312104104057</v>
      </c>
      <c r="AE942" s="24">
        <f t="shared" ca="1" si="173"/>
        <v>0.48813748325794903</v>
      </c>
      <c r="AF942" s="24"/>
      <c r="AG942">
        <v>937</v>
      </c>
      <c r="AH942">
        <f t="shared" ca="1" si="179"/>
        <v>314.53812435215963</v>
      </c>
      <c r="AI942">
        <f t="shared" ca="1" si="180"/>
        <v>166.10536717837823</v>
      </c>
      <c r="AJ942">
        <f t="shared" ca="1" si="181"/>
        <v>53.491615857200301</v>
      </c>
      <c r="AL942">
        <v>937</v>
      </c>
      <c r="AM942" s="4">
        <f t="shared" ca="1" si="174"/>
        <v>1.6475316282738683E-2</v>
      </c>
      <c r="AN942" s="4">
        <f t="shared" ca="1" si="175"/>
        <v>1.1234462031267434E-2</v>
      </c>
      <c r="AO942" s="4">
        <f t="shared" ca="1" si="176"/>
        <v>8.7048291255802379E-3</v>
      </c>
      <c r="AP942" s="4">
        <f t="shared" ca="1" si="177"/>
        <v>1.204782843500265E-2</v>
      </c>
    </row>
    <row r="943" spans="20:42" x14ac:dyDescent="0.3">
      <c r="T943">
        <v>937</v>
      </c>
      <c r="U943" s="4">
        <v>2.5300167585469199E-2</v>
      </c>
      <c r="V943" s="4"/>
      <c r="W943">
        <v>938</v>
      </c>
      <c r="X943">
        <f t="shared" ca="1" si="178"/>
        <v>9.3456411176085635E-2</v>
      </c>
      <c r="Y943">
        <f t="shared" ca="1" si="178"/>
        <v>0.48237705063095043</v>
      </c>
      <c r="Z943">
        <f t="shared" ca="1" si="178"/>
        <v>8.6833350875764007E-2</v>
      </c>
      <c r="AB943">
        <v>938</v>
      </c>
      <c r="AC943" s="24">
        <f t="shared" ca="1" si="171"/>
        <v>9.3456411176085635E-2</v>
      </c>
      <c r="AD943" s="24">
        <f t="shared" ca="1" si="172"/>
        <v>0.31900991112512039</v>
      </c>
      <c r="AE943" s="24">
        <f t="shared" ca="1" si="173"/>
        <v>0.25350945543418452</v>
      </c>
      <c r="AF943" s="24"/>
      <c r="AG943">
        <v>938</v>
      </c>
      <c r="AH943">
        <f t="shared" ca="1" si="179"/>
        <v>309.93387981780472</v>
      </c>
      <c r="AI943">
        <f t="shared" ca="1" si="180"/>
        <v>165.35407596930204</v>
      </c>
      <c r="AJ943">
        <f t="shared" ca="1" si="181"/>
        <v>53.269343315018133</v>
      </c>
      <c r="AL943">
        <v>938</v>
      </c>
      <c r="AM943" s="4">
        <f t="shared" ca="1" si="174"/>
        <v>1.5960359762865473E-3</v>
      </c>
      <c r="AN943" s="4">
        <f t="shared" ca="1" si="175"/>
        <v>6.6606690554924519E-3</v>
      </c>
      <c r="AO943" s="4">
        <f t="shared" ca="1" si="176"/>
        <v>4.5133799968100075E-3</v>
      </c>
      <c r="AP943" s="4">
        <f t="shared" ca="1" si="177"/>
        <v>4.4970924141259474E-3</v>
      </c>
    </row>
    <row r="944" spans="20:42" x14ac:dyDescent="0.3">
      <c r="T944">
        <v>938</v>
      </c>
      <c r="U944" s="4">
        <v>2.5372853277891738E-2</v>
      </c>
      <c r="V944" s="4"/>
      <c r="W944">
        <v>939</v>
      </c>
      <c r="X944">
        <f t="shared" ca="1" si="178"/>
        <v>-0.16718612199127461</v>
      </c>
      <c r="Y944">
        <f t="shared" ca="1" si="178"/>
        <v>-1.6597022605209308</v>
      </c>
      <c r="Z944">
        <f t="shared" ca="1" si="178"/>
        <v>-3.1356700686387184</v>
      </c>
      <c r="AB944">
        <v>939</v>
      </c>
      <c r="AC944" s="24">
        <f t="shared" ca="1" si="171"/>
        <v>-0.16718612199127461</v>
      </c>
      <c r="AD944" s="24">
        <f t="shared" ca="1" si="172"/>
        <v>-0.96328263903720401</v>
      </c>
      <c r="AE944" s="24">
        <f t="shared" ca="1" si="173"/>
        <v>-2.1860181450267753</v>
      </c>
      <c r="AF944" s="24"/>
      <c r="AG944">
        <v>939</v>
      </c>
      <c r="AH944">
        <f t="shared" ca="1" si="179"/>
        <v>308.56325809530131</v>
      </c>
      <c r="AI944">
        <f t="shared" ca="1" si="180"/>
        <v>161.00385247827819</v>
      </c>
      <c r="AJ944">
        <f t="shared" ca="1" si="181"/>
        <v>51.012300169269913</v>
      </c>
      <c r="AL944">
        <v>939</v>
      </c>
      <c r="AM944" s="4">
        <f t="shared" ca="1" si="174"/>
        <v>-2.8333258117483329E-3</v>
      </c>
      <c r="AN944" s="4">
        <f t="shared" ca="1" si="175"/>
        <v>-1.9823098365081893E-2</v>
      </c>
      <c r="AO944" s="4">
        <f t="shared" ca="1" si="176"/>
        <v>-3.8048249226334208E-2</v>
      </c>
      <c r="AP944" s="4">
        <f t="shared" ca="1" si="177"/>
        <v>-2.0193711857457518E-2</v>
      </c>
    </row>
    <row r="945" spans="20:42" x14ac:dyDescent="0.3">
      <c r="T945">
        <v>939</v>
      </c>
      <c r="U945" s="4">
        <v>2.5455504581249212E-2</v>
      </c>
      <c r="V945" s="4"/>
      <c r="W945">
        <v>940</v>
      </c>
      <c r="X945">
        <f t="shared" ca="1" si="178"/>
        <v>0.85763645673446798</v>
      </c>
      <c r="Y945">
        <f t="shared" ca="1" si="178"/>
        <v>-0.28138224089207414</v>
      </c>
      <c r="Z945">
        <f t="shared" ca="1" si="178"/>
        <v>1.3384509896603882</v>
      </c>
      <c r="AB945">
        <v>940</v>
      </c>
      <c r="AC945" s="24">
        <f t="shared" ca="1" si="171"/>
        <v>0.85763645673446798</v>
      </c>
      <c r="AD945" s="24">
        <f t="shared" ca="1" si="172"/>
        <v>0.60764712529418052</v>
      </c>
      <c r="AE945" s="24">
        <f t="shared" ca="1" si="173"/>
        <v>1.3016359171158991</v>
      </c>
      <c r="AF945" s="24"/>
      <c r="AG945">
        <v>940</v>
      </c>
      <c r="AH945">
        <f t="shared" ca="1" si="179"/>
        <v>313.98761025484129</v>
      </c>
      <c r="AI945">
        <f t="shared" ca="1" si="180"/>
        <v>166.34938289693841</v>
      </c>
      <c r="AJ945">
        <f t="shared" ca="1" si="181"/>
        <v>54.269482727640685</v>
      </c>
      <c r="AL945">
        <v>940</v>
      </c>
      <c r="AM945" s="4">
        <f t="shared" ca="1" si="174"/>
        <v>1.4696250573797087E-2</v>
      </c>
      <c r="AN945" s="4">
        <f t="shared" ca="1" si="175"/>
        <v>1.2720007670622868E-2</v>
      </c>
      <c r="AO945" s="4">
        <f t="shared" ca="1" si="176"/>
        <v>2.3373259982570227E-2</v>
      </c>
      <c r="AP945" s="4">
        <f t="shared" ca="1" si="177"/>
        <v>1.6508856235159342E-2</v>
      </c>
    </row>
    <row r="946" spans="20:42" x14ac:dyDescent="0.3">
      <c r="T946">
        <v>940</v>
      </c>
      <c r="U946" s="4">
        <v>2.5657775964491106E-2</v>
      </c>
      <c r="V946" s="4"/>
      <c r="W946">
        <v>941</v>
      </c>
      <c r="X946">
        <f t="shared" ca="1" si="178"/>
        <v>-0.50097117317152084</v>
      </c>
      <c r="Y946">
        <f t="shared" ca="1" si="178"/>
        <v>1.5036261048344512</v>
      </c>
      <c r="Z946">
        <f t="shared" ca="1" si="178"/>
        <v>0.66221106062046708</v>
      </c>
      <c r="AB946">
        <v>941</v>
      </c>
      <c r="AC946" s="24">
        <f t="shared" ca="1" si="171"/>
        <v>-0.50097117317152084</v>
      </c>
      <c r="AD946" s="24">
        <f t="shared" ca="1" si="172"/>
        <v>0.30496276819260942</v>
      </c>
      <c r="AE946" s="24">
        <f t="shared" ca="1" si="173"/>
        <v>0.34224714161822278</v>
      </c>
      <c r="AF946" s="24"/>
      <c r="AG946">
        <v>941</v>
      </c>
      <c r="AH946">
        <f t="shared" ca="1" si="179"/>
        <v>306.81685491662506</v>
      </c>
      <c r="AI946">
        <f t="shared" ca="1" si="180"/>
        <v>165.30578949577782</v>
      </c>
      <c r="AJ946">
        <f t="shared" ca="1" si="181"/>
        <v>53.353299276531409</v>
      </c>
      <c r="AL946">
        <v>941</v>
      </c>
      <c r="AM946" s="4">
        <f t="shared" ca="1" si="174"/>
        <v>-8.4770795762828532E-3</v>
      </c>
      <c r="AN946" s="4">
        <f t="shared" ca="1" si="175"/>
        <v>6.3667053690257269E-3</v>
      </c>
      <c r="AO946" s="4">
        <f t="shared" ca="1" si="176"/>
        <v>6.0965586399528426E-3</v>
      </c>
      <c r="AP946" s="4">
        <f t="shared" ca="1" si="177"/>
        <v>1.8325258667112876E-3</v>
      </c>
    </row>
    <row r="947" spans="20:42" x14ac:dyDescent="0.3">
      <c r="T947">
        <v>941</v>
      </c>
      <c r="U947" s="4">
        <v>2.5768322365620367E-2</v>
      </c>
      <c r="V947" s="4"/>
      <c r="W947">
        <v>942</v>
      </c>
      <c r="X947">
        <f t="shared" ca="1" si="178"/>
        <v>0.25162032424744613</v>
      </c>
      <c r="Y947">
        <f t="shared" ca="1" si="178"/>
        <v>0.51128302441864892</v>
      </c>
      <c r="Z947">
        <f t="shared" ca="1" si="178"/>
        <v>2.6571020098471907</v>
      </c>
      <c r="AB947">
        <v>942</v>
      </c>
      <c r="AC947" s="24">
        <f t="shared" ca="1" si="171"/>
        <v>0.25162032424744613</v>
      </c>
      <c r="AD947" s="24">
        <f t="shared" ca="1" si="172"/>
        <v>0.47088359414627939</v>
      </c>
      <c r="AE947" s="24">
        <f t="shared" ca="1" si="173"/>
        <v>1.6950376618939664</v>
      </c>
      <c r="AF947" s="24"/>
      <c r="AG947">
        <v>942</v>
      </c>
      <c r="AH947">
        <f t="shared" ca="1" si="179"/>
        <v>310.76857121799367</v>
      </c>
      <c r="AI947">
        <f t="shared" ca="1" si="180"/>
        <v>165.87703695895459</v>
      </c>
      <c r="AJ947">
        <f t="shared" ca="1" si="181"/>
        <v>54.649700998653536</v>
      </c>
      <c r="AL947">
        <v>942</v>
      </c>
      <c r="AM947" s="4">
        <f t="shared" ca="1" si="174"/>
        <v>4.2934616277972015E-3</v>
      </c>
      <c r="AN947" s="4">
        <f t="shared" ca="1" si="175"/>
        <v>9.8444082929292076E-3</v>
      </c>
      <c r="AO947" s="4">
        <f t="shared" ca="1" si="176"/>
        <v>3.0543131371692178E-2</v>
      </c>
      <c r="AP947" s="4">
        <f t="shared" ca="1" si="177"/>
        <v>1.4388741217018497E-2</v>
      </c>
    </row>
    <row r="948" spans="20:42" x14ac:dyDescent="0.3">
      <c r="T948">
        <v>942</v>
      </c>
      <c r="U948" s="4">
        <v>2.6106988128331433E-2</v>
      </c>
      <c r="V948" s="4"/>
      <c r="W948">
        <v>943</v>
      </c>
      <c r="X948">
        <f t="shared" ca="1" si="178"/>
        <v>0.98395944986065886</v>
      </c>
      <c r="Y948">
        <f t="shared" ca="1" si="178"/>
        <v>-8.5901686976651379E-3</v>
      </c>
      <c r="Z948">
        <f t="shared" ca="1" si="178"/>
        <v>-0.2451403036745203</v>
      </c>
      <c r="AB948">
        <v>943</v>
      </c>
      <c r="AC948" s="24">
        <f t="shared" ca="1" si="171"/>
        <v>0.98395944986065886</v>
      </c>
      <c r="AD948" s="24">
        <f t="shared" ca="1" si="172"/>
        <v>0.8519859374195814</v>
      </c>
      <c r="AE948" s="24">
        <f t="shared" ca="1" si="173"/>
        <v>0.67635034240824732</v>
      </c>
      <c r="AF948" s="24"/>
      <c r="AG948">
        <v>943</v>
      </c>
      <c r="AH948">
        <f t="shared" ca="1" si="179"/>
        <v>314.66280147145051</v>
      </c>
      <c r="AI948">
        <f t="shared" ca="1" si="180"/>
        <v>167.1966166830891</v>
      </c>
      <c r="AJ948">
        <f t="shared" ca="1" si="181"/>
        <v>53.67058765908304</v>
      </c>
      <c r="AL948">
        <v>943</v>
      </c>
      <c r="AM948" s="4">
        <f t="shared" ca="1" si="174"/>
        <v>1.6878228376544291E-2</v>
      </c>
      <c r="AN948" s="4">
        <f t="shared" ca="1" si="175"/>
        <v>1.7877890383905415E-2</v>
      </c>
      <c r="AO948" s="4">
        <f t="shared" ca="1" si="176"/>
        <v>1.2079745324005797E-2</v>
      </c>
      <c r="AP948" s="4">
        <f t="shared" ca="1" si="177"/>
        <v>1.5838548263727194E-2</v>
      </c>
    </row>
    <row r="949" spans="20:42" x14ac:dyDescent="0.3">
      <c r="T949">
        <v>943</v>
      </c>
      <c r="U949" s="4">
        <v>2.6340336130807732E-2</v>
      </c>
      <c r="V949" s="4"/>
      <c r="W949">
        <v>944</v>
      </c>
      <c r="X949">
        <f t="shared" ca="1" si="178"/>
        <v>1.1789151611835422</v>
      </c>
      <c r="Y949">
        <f t="shared" ca="1" si="178"/>
        <v>-0.76000364132212106</v>
      </c>
      <c r="Z949">
        <f t="shared" ca="1" si="178"/>
        <v>-0.15731468377972396</v>
      </c>
      <c r="AB949">
        <v>944</v>
      </c>
      <c r="AC949" s="24">
        <f t="shared" ca="1" si="171"/>
        <v>1.1789151611835422</v>
      </c>
      <c r="AD949" s="24">
        <f t="shared" ca="1" si="172"/>
        <v>0.6513806347322243</v>
      </c>
      <c r="AE949" s="24">
        <f t="shared" ca="1" si="173"/>
        <v>0.67262614944893151</v>
      </c>
      <c r="AF949" s="24"/>
      <c r="AG949">
        <v>944</v>
      </c>
      <c r="AH949">
        <f t="shared" ca="1" si="179"/>
        <v>315.70768233139137</v>
      </c>
      <c r="AI949">
        <f t="shared" ca="1" si="180"/>
        <v>166.50071079111567</v>
      </c>
      <c r="AJ949">
        <f t="shared" ca="1" si="181"/>
        <v>53.667040519684065</v>
      </c>
      <c r="AL949">
        <v>944</v>
      </c>
      <c r="AM949" s="4">
        <f t="shared" ca="1" si="174"/>
        <v>2.0254911583941659E-2</v>
      </c>
      <c r="AN949" s="4">
        <f t="shared" ca="1" si="175"/>
        <v>1.3641278212677799E-2</v>
      </c>
      <c r="AO949" s="4">
        <f t="shared" ca="1" si="176"/>
        <v>1.2012856025860774E-2</v>
      </c>
      <c r="AP949" s="4">
        <f t="shared" ca="1" si="177"/>
        <v>1.5136841568011849E-2</v>
      </c>
    </row>
    <row r="950" spans="20:42" x14ac:dyDescent="0.3">
      <c r="T950">
        <v>944</v>
      </c>
      <c r="U950" s="4">
        <v>2.6493380795480113E-2</v>
      </c>
      <c r="V950" s="4"/>
      <c r="W950">
        <v>945</v>
      </c>
      <c r="X950">
        <f t="shared" ca="1" si="178"/>
        <v>-0.97769130789563929</v>
      </c>
      <c r="Y950">
        <f t="shared" ca="1" si="178"/>
        <v>-0.22821148598574481</v>
      </c>
      <c r="Z950">
        <f t="shared" ca="1" si="178"/>
        <v>-2.3038706360980128</v>
      </c>
      <c r="AB950">
        <v>945</v>
      </c>
      <c r="AC950" s="24">
        <f t="shared" ca="1" si="171"/>
        <v>-0.97769130789563929</v>
      </c>
      <c r="AD950" s="24">
        <f t="shared" ca="1" si="172"/>
        <v>-0.96321311729888703</v>
      </c>
      <c r="AE950" s="24">
        <f t="shared" ca="1" si="173"/>
        <v>-2.0302649655374747</v>
      </c>
      <c r="AF950" s="24"/>
      <c r="AG950">
        <v>945</v>
      </c>
      <c r="AH950">
        <f t="shared" ca="1" si="179"/>
        <v>304.33972407008048</v>
      </c>
      <c r="AI950">
        <f t="shared" ca="1" si="180"/>
        <v>161.00408520336768</v>
      </c>
      <c r="AJ950">
        <f t="shared" ca="1" si="181"/>
        <v>51.1535006824612</v>
      </c>
      <c r="AL950">
        <v>945</v>
      </c>
      <c r="AM950" s="4">
        <f t="shared" ca="1" si="174"/>
        <v>-1.6482285196114277E-2</v>
      </c>
      <c r="AN950" s="4">
        <f t="shared" ca="1" si="175"/>
        <v>-1.9821681555771908E-2</v>
      </c>
      <c r="AO950" s="4">
        <f t="shared" ca="1" si="176"/>
        <v>-3.5385595701129646E-2</v>
      </c>
      <c r="AP950" s="4">
        <f t="shared" ca="1" si="177"/>
        <v>-2.3489036891481942E-2</v>
      </c>
    </row>
    <row r="951" spans="20:42" x14ac:dyDescent="0.3">
      <c r="T951">
        <v>945</v>
      </c>
      <c r="U951" s="4">
        <v>2.6692722328425567E-2</v>
      </c>
      <c r="V951" s="4"/>
      <c r="W951">
        <v>946</v>
      </c>
      <c r="X951">
        <f t="shared" ca="1" si="178"/>
        <v>-1.7537268565761754</v>
      </c>
      <c r="Y951">
        <f t="shared" ca="1" si="178"/>
        <v>1.83707010738531</v>
      </c>
      <c r="Z951">
        <f t="shared" ca="1" si="178"/>
        <v>-0.81750631522261119</v>
      </c>
      <c r="AB951">
        <v>946</v>
      </c>
      <c r="AC951" s="24">
        <f t="shared" ca="1" si="171"/>
        <v>-1.7537268565761754</v>
      </c>
      <c r="AD951" s="24">
        <f t="shared" ca="1" si="172"/>
        <v>-0.6208550331811411</v>
      </c>
      <c r="AE951" s="24">
        <f t="shared" ca="1" si="173"/>
        <v>-1.3392191085625711</v>
      </c>
      <c r="AF951" s="24"/>
      <c r="AG951">
        <v>946</v>
      </c>
      <c r="AH951">
        <f t="shared" ca="1" si="179"/>
        <v>300.3499965271086</v>
      </c>
      <c r="AI951">
        <f t="shared" ca="1" si="180"/>
        <v>162.15422355704084</v>
      </c>
      <c r="AJ951">
        <f t="shared" ca="1" si="181"/>
        <v>51.784708135739663</v>
      </c>
      <c r="AL951">
        <v>946</v>
      </c>
      <c r="AM951" s="4">
        <f t="shared" ca="1" si="174"/>
        <v>-2.9375665209990576E-2</v>
      </c>
      <c r="AN951" s="4">
        <f t="shared" ca="1" si="175"/>
        <v>-1.2819743213290713E-2</v>
      </c>
      <c r="AO951" s="4">
        <f t="shared" ca="1" si="176"/>
        <v>-2.3482758291959449E-2</v>
      </c>
      <c r="AP951" s="4">
        <f t="shared" ca="1" si="177"/>
        <v>-2.0985424335901292E-2</v>
      </c>
    </row>
    <row r="952" spans="20:42" x14ac:dyDescent="0.3">
      <c r="T952">
        <v>946</v>
      </c>
      <c r="U952" s="4">
        <v>2.6783327021790093E-2</v>
      </c>
      <c r="V952" s="4"/>
      <c r="W952">
        <v>947</v>
      </c>
      <c r="X952">
        <f t="shared" ca="1" si="178"/>
        <v>5.9926505731573041E-3</v>
      </c>
      <c r="Y952">
        <f t="shared" ca="1" si="178"/>
        <v>0.20976262129302897</v>
      </c>
      <c r="Z952">
        <f t="shared" ca="1" si="178"/>
        <v>1.3331402523303695</v>
      </c>
      <c r="AB952">
        <v>947</v>
      </c>
      <c r="AC952" s="24">
        <f t="shared" ca="1" si="171"/>
        <v>5.9926505731573041E-3</v>
      </c>
      <c r="AD952" s="24">
        <f t="shared" ca="1" si="172"/>
        <v>0.1085730320663386</v>
      </c>
      <c r="AE952" s="24">
        <f t="shared" ca="1" si="173"/>
        <v>0.73938496140309407</v>
      </c>
      <c r="AF952" s="24"/>
      <c r="AG952">
        <v>947</v>
      </c>
      <c r="AH952">
        <f t="shared" ca="1" si="179"/>
        <v>309.47326318633316</v>
      </c>
      <c r="AI952">
        <f t="shared" ca="1" si="180"/>
        <v>164.63218265350656</v>
      </c>
      <c r="AJ952">
        <f t="shared" ca="1" si="181"/>
        <v>53.730661099508367</v>
      </c>
      <c r="AL952">
        <v>947</v>
      </c>
      <c r="AM952" s="4">
        <f t="shared" ca="1" si="174"/>
        <v>1.0748689459894045E-4</v>
      </c>
      <c r="AN952" s="4">
        <f t="shared" ca="1" si="175"/>
        <v>2.2658477968966473E-3</v>
      </c>
      <c r="AO952" s="4">
        <f t="shared" ca="1" si="176"/>
        <v>1.32125652713595E-2</v>
      </c>
      <c r="AP952" s="4">
        <f t="shared" ca="1" si="177"/>
        <v>4.9023547685461905E-3</v>
      </c>
    </row>
    <row r="953" spans="20:42" x14ac:dyDescent="0.3">
      <c r="T953">
        <v>947</v>
      </c>
      <c r="U953" s="4">
        <v>2.682487894977956E-2</v>
      </c>
      <c r="V953" s="4"/>
      <c r="W953">
        <v>948</v>
      </c>
      <c r="X953">
        <f t="shared" ca="1" si="178"/>
        <v>0.80018157869246598</v>
      </c>
      <c r="Y953">
        <f t="shared" ca="1" si="178"/>
        <v>1.4163227524611706</v>
      </c>
      <c r="Z953">
        <f t="shared" ca="1" si="178"/>
        <v>-0.35525129077138545</v>
      </c>
      <c r="AB953">
        <v>948</v>
      </c>
      <c r="AC953" s="24">
        <f t="shared" ca="1" si="171"/>
        <v>0.80018157869246598</v>
      </c>
      <c r="AD953" s="24">
        <f t="shared" ca="1" si="172"/>
        <v>1.3941778392459494</v>
      </c>
      <c r="AE953" s="24">
        <f t="shared" ca="1" si="173"/>
        <v>0.86380526131107249</v>
      </c>
      <c r="AF953" s="24"/>
      <c r="AG953">
        <v>948</v>
      </c>
      <c r="AH953">
        <f t="shared" ca="1" si="179"/>
        <v>313.68099580426298</v>
      </c>
      <c r="AI953">
        <f t="shared" ca="1" si="180"/>
        <v>169.09208579201021</v>
      </c>
      <c r="AJ953">
        <f t="shared" ca="1" si="181"/>
        <v>53.84943392224887</v>
      </c>
      <c r="AL953">
        <v>948</v>
      </c>
      <c r="AM953" s="4">
        <f t="shared" ca="1" si="174"/>
        <v>1.3705381752186385E-2</v>
      </c>
      <c r="AN953" s="4">
        <f t="shared" ca="1" si="175"/>
        <v>2.9417334997987821E-2</v>
      </c>
      <c r="AO953" s="4">
        <f t="shared" ca="1" si="176"/>
        <v>1.5452294207330519E-2</v>
      </c>
      <c r="AP953" s="4">
        <f t="shared" ca="1" si="177"/>
        <v>2.0514236787050201E-2</v>
      </c>
    </row>
    <row r="954" spans="20:42" x14ac:dyDescent="0.3">
      <c r="T954">
        <v>948</v>
      </c>
      <c r="U954" s="4">
        <v>2.6997204117995714E-2</v>
      </c>
      <c r="V954" s="4"/>
      <c r="W954">
        <v>949</v>
      </c>
      <c r="X954">
        <f t="shared" ca="1" si="178"/>
        <v>0.94904048463618695</v>
      </c>
      <c r="Y954">
        <f t="shared" ca="1" si="178"/>
        <v>0.27448991024918795</v>
      </c>
      <c r="Z954">
        <f t="shared" ca="1" si="178"/>
        <v>-0.72705982006749781</v>
      </c>
      <c r="AB954">
        <v>949</v>
      </c>
      <c r="AC954" s="24">
        <f t="shared" ca="1" si="171"/>
        <v>0.94904048463618695</v>
      </c>
      <c r="AD954" s="24">
        <f t="shared" ca="1" si="172"/>
        <v>0.96108505243334763</v>
      </c>
      <c r="AE954" s="24">
        <f t="shared" ca="1" si="173"/>
        <v>0.48141021920500054</v>
      </c>
      <c r="AF954" s="24"/>
      <c r="AG954">
        <v>949</v>
      </c>
      <c r="AH954">
        <f t="shared" ca="1" si="179"/>
        <v>314.47601596524026</v>
      </c>
      <c r="AI954">
        <f t="shared" ca="1" si="180"/>
        <v>167.576305118985</v>
      </c>
      <c r="AJ954">
        <f t="shared" ca="1" si="181"/>
        <v>53.485229953724868</v>
      </c>
      <c r="AL954">
        <v>949</v>
      </c>
      <c r="AM954" s="4">
        <f t="shared" ca="1" si="174"/>
        <v>1.6274604072199272E-2</v>
      </c>
      <c r="AN954" s="4">
        <f t="shared" ca="1" si="175"/>
        <v>2.01893992636899E-2</v>
      </c>
      <c r="AO954" s="4">
        <f t="shared" ca="1" si="176"/>
        <v>8.5844085405824E-3</v>
      </c>
      <c r="AP954" s="4">
        <f t="shared" ca="1" si="177"/>
        <v>1.5533463489310463E-2</v>
      </c>
    </row>
    <row r="955" spans="20:42" x14ac:dyDescent="0.3">
      <c r="T955">
        <v>949</v>
      </c>
      <c r="U955" s="4">
        <v>2.7385985001884095E-2</v>
      </c>
      <c r="V955" s="4"/>
      <c r="W955">
        <v>950</v>
      </c>
      <c r="X955">
        <f t="shared" ca="1" si="178"/>
        <v>0.43142548786264662</v>
      </c>
      <c r="Y955">
        <f t="shared" ca="1" si="178"/>
        <v>-1.2637840510986809</v>
      </c>
      <c r="Z955">
        <f t="shared" ca="1" si="178"/>
        <v>4.0747097187214976E-2</v>
      </c>
      <c r="AB955">
        <v>950</v>
      </c>
      <c r="AC955" s="24">
        <f t="shared" ca="1" si="171"/>
        <v>0.43142548786264662</v>
      </c>
      <c r="AD955" s="24">
        <f t="shared" ca="1" si="172"/>
        <v>-0.24730011124307305</v>
      </c>
      <c r="AE955" s="24">
        <f t="shared" ca="1" si="173"/>
        <v>2.3957547548631726E-2</v>
      </c>
      <c r="AF955" s="24"/>
      <c r="AG955">
        <v>950</v>
      </c>
      <c r="AH955">
        <f t="shared" ca="1" si="179"/>
        <v>311.72020244376341</v>
      </c>
      <c r="AI955">
        <f t="shared" ca="1" si="180"/>
        <v>163.41854165295058</v>
      </c>
      <c r="AJ955">
        <f t="shared" ca="1" si="181"/>
        <v>53.05277345914218</v>
      </c>
      <c r="AL955">
        <v>950</v>
      </c>
      <c r="AM955" s="4">
        <f t="shared" ca="1" si="174"/>
        <v>7.3687951924998885E-3</v>
      </c>
      <c r="AN955" s="4">
        <f t="shared" ca="1" si="175"/>
        <v>-5.1226889201522186E-3</v>
      </c>
      <c r="AO955" s="4">
        <f t="shared" ca="1" si="176"/>
        <v>4.2946785535802334E-4</v>
      </c>
      <c r="AP955" s="4">
        <f t="shared" ca="1" si="177"/>
        <v>2.9040334629648601E-4</v>
      </c>
    </row>
    <row r="956" spans="20:42" x14ac:dyDescent="0.3">
      <c r="T956">
        <v>950</v>
      </c>
      <c r="U956" s="4">
        <v>2.7446749802567519E-2</v>
      </c>
      <c r="V956" s="4"/>
      <c r="W956">
        <v>951</v>
      </c>
      <c r="X956">
        <f t="shared" ca="1" si="178"/>
        <v>-0.30311935167707343</v>
      </c>
      <c r="Y956">
        <f t="shared" ca="1" si="178"/>
        <v>-1.552192850015454</v>
      </c>
      <c r="Z956">
        <f t="shared" ca="1" si="178"/>
        <v>1.0054843811120724</v>
      </c>
      <c r="AB956">
        <v>951</v>
      </c>
      <c r="AC956" s="24">
        <f t="shared" ca="1" si="171"/>
        <v>-0.30311935167707343</v>
      </c>
      <c r="AD956" s="24">
        <f t="shared" ca="1" si="172"/>
        <v>-1.0285944251136252</v>
      </c>
      <c r="AE956" s="24">
        <f t="shared" ca="1" si="173"/>
        <v>-0.16559283056340524</v>
      </c>
      <c r="AF956" s="24"/>
      <c r="AG956">
        <v>951</v>
      </c>
      <c r="AH956">
        <f t="shared" ca="1" si="179"/>
        <v>307.85084261744515</v>
      </c>
      <c r="AI956">
        <f t="shared" ca="1" si="180"/>
        <v>160.78536880314633</v>
      </c>
      <c r="AJ956">
        <f t="shared" ca="1" si="181"/>
        <v>52.874606747668537</v>
      </c>
      <c r="AL956">
        <v>951</v>
      </c>
      <c r="AM956" s="4">
        <f t="shared" ca="1" si="174"/>
        <v>-5.1355991837602755E-3</v>
      </c>
      <c r="AN956" s="4">
        <f t="shared" ca="1" si="175"/>
        <v>-2.1153207231746851E-2</v>
      </c>
      <c r="AO956" s="4">
        <f t="shared" ca="1" si="176"/>
        <v>-2.9302665511077297E-3</v>
      </c>
      <c r="AP956" s="4">
        <f t="shared" ca="1" si="177"/>
        <v>-1.0881042613159142E-2</v>
      </c>
    </row>
    <row r="957" spans="20:42" x14ac:dyDescent="0.3">
      <c r="T957">
        <v>951</v>
      </c>
      <c r="U957" s="4">
        <v>2.7498513230655018E-2</v>
      </c>
      <c r="V957" s="4"/>
      <c r="W957">
        <v>952</v>
      </c>
      <c r="X957">
        <f t="shared" ca="1" si="178"/>
        <v>1.2362748916672293</v>
      </c>
      <c r="Y957">
        <f t="shared" ca="1" si="178"/>
        <v>0.11681636552597255</v>
      </c>
      <c r="Z957">
        <f t="shared" ca="1" si="178"/>
        <v>1.5231640344553745</v>
      </c>
      <c r="AB957">
        <v>952</v>
      </c>
      <c r="AC957" s="24">
        <f t="shared" ca="1" si="171"/>
        <v>1.2362748916672293</v>
      </c>
      <c r="AD957" s="24">
        <f t="shared" ca="1" si="172"/>
        <v>1.1333377486689447</v>
      </c>
      <c r="AE957" s="24">
        <f t="shared" ca="1" si="173"/>
        <v>1.8143568875080474</v>
      </c>
      <c r="AF957" s="24"/>
      <c r="AG957">
        <v>952</v>
      </c>
      <c r="AH957">
        <f t="shared" ca="1" si="179"/>
        <v>316.01576651605723</v>
      </c>
      <c r="AI957">
        <f t="shared" ca="1" si="180"/>
        <v>168.17753777647772</v>
      </c>
      <c r="AJ957">
        <f t="shared" ca="1" si="181"/>
        <v>54.765547307638002</v>
      </c>
      <c r="AL957">
        <v>952</v>
      </c>
      <c r="AM957" s="4">
        <f t="shared" ca="1" si="174"/>
        <v>2.1250530063243289E-2</v>
      </c>
      <c r="AN957" s="4">
        <f t="shared" ca="1" si="175"/>
        <v>2.384964934039191E-2</v>
      </c>
      <c r="AO957" s="4">
        <f t="shared" ca="1" si="176"/>
        <v>3.2727674303073329E-2</v>
      </c>
      <c r="AP957" s="4">
        <f t="shared" ca="1" si="177"/>
        <v>2.5733321046051749E-2</v>
      </c>
    </row>
    <row r="958" spans="20:42" x14ac:dyDescent="0.3">
      <c r="T958">
        <v>952</v>
      </c>
      <c r="U958" s="4">
        <v>2.7530437951578501E-2</v>
      </c>
      <c r="V958" s="4"/>
      <c r="W958">
        <v>953</v>
      </c>
      <c r="X958">
        <f t="shared" ca="1" si="178"/>
        <v>-0.59190111815940571</v>
      </c>
      <c r="Y958">
        <f t="shared" ca="1" si="178"/>
        <v>-0.36486435738995421</v>
      </c>
      <c r="Z958">
        <f t="shared" ca="1" si="178"/>
        <v>0.82111179430697601</v>
      </c>
      <c r="AB958">
        <v>953</v>
      </c>
      <c r="AC958" s="24">
        <f t="shared" ca="1" si="171"/>
        <v>-0.59190111815940571</v>
      </c>
      <c r="AD958" s="24">
        <f t="shared" ca="1" si="172"/>
        <v>-0.69484174872348292</v>
      </c>
      <c r="AE958" s="24">
        <f t="shared" ca="1" si="173"/>
        <v>-0.16711820100010571</v>
      </c>
      <c r="AF958" s="24"/>
      <c r="AG958">
        <v>953</v>
      </c>
      <c r="AH958">
        <f t="shared" ca="1" si="179"/>
        <v>306.34281407314359</v>
      </c>
      <c r="AI958">
        <f t="shared" ca="1" si="180"/>
        <v>161.90497421467174</v>
      </c>
      <c r="AJ958">
        <f t="shared" ca="1" si="181"/>
        <v>52.873175414683196</v>
      </c>
      <c r="AL958">
        <v>953</v>
      </c>
      <c r="AM958" s="4">
        <f t="shared" ca="1" si="174"/>
        <v>-1.0009010935323137E-2</v>
      </c>
      <c r="AN958" s="4">
        <f t="shared" ca="1" si="175"/>
        <v>-1.4337150681356325E-2</v>
      </c>
      <c r="AO958" s="4">
        <f t="shared" ca="1" si="176"/>
        <v>-2.9572575565440795E-3</v>
      </c>
      <c r="AP958" s="4">
        <f t="shared" ca="1" si="177"/>
        <v>-9.6247408201026955E-3</v>
      </c>
    </row>
    <row r="959" spans="20:42" x14ac:dyDescent="0.3">
      <c r="T959">
        <v>953</v>
      </c>
      <c r="U959" s="4">
        <v>2.78520424201824E-2</v>
      </c>
      <c r="V959" s="4"/>
      <c r="W959">
        <v>954</v>
      </c>
      <c r="X959">
        <f t="shared" ca="1" si="178"/>
        <v>-1.2893604060298802</v>
      </c>
      <c r="Y959">
        <f t="shared" ca="1" si="178"/>
        <v>0.11675783972272137</v>
      </c>
      <c r="Z959">
        <f t="shared" ca="1" si="178"/>
        <v>0.61442124067620718</v>
      </c>
      <c r="AB959">
        <v>954</v>
      </c>
      <c r="AC959" s="24">
        <f t="shared" ca="1" si="171"/>
        <v>-1.2893604060298802</v>
      </c>
      <c r="AD959" s="24">
        <f t="shared" ca="1" si="172"/>
        <v>-1.0644402510106432</v>
      </c>
      <c r="AE959" s="24">
        <f t="shared" ca="1" si="173"/>
        <v>-0.70835168845121199</v>
      </c>
      <c r="AF959" s="24"/>
      <c r="AG959">
        <v>954</v>
      </c>
      <c r="AH959">
        <f t="shared" ca="1" si="179"/>
        <v>302.73105247211583</v>
      </c>
      <c r="AI959">
        <f t="shared" ca="1" si="180"/>
        <v>160.66558191262749</v>
      </c>
      <c r="AJ959">
        <f t="shared" ca="1" si="181"/>
        <v>52.367746537036076</v>
      </c>
      <c r="AL959">
        <v>954</v>
      </c>
      <c r="AM959" s="4">
        <f t="shared" ca="1" si="174"/>
        <v>-2.1680939491850459E-2</v>
      </c>
      <c r="AN959" s="4">
        <f t="shared" ca="1" si="175"/>
        <v>-2.1882458994347154E-2</v>
      </c>
      <c r="AO959" s="4">
        <f t="shared" ca="1" si="176"/>
        <v>-1.2488256788707797E-2</v>
      </c>
      <c r="AP959" s="4">
        <f t="shared" ca="1" si="177"/>
        <v>-1.9003742481906338E-2</v>
      </c>
    </row>
    <row r="960" spans="20:42" x14ac:dyDescent="0.3">
      <c r="T960">
        <v>954</v>
      </c>
      <c r="U960" s="4">
        <v>2.805547993694715E-2</v>
      </c>
      <c r="V960" s="4"/>
      <c r="W960">
        <v>955</v>
      </c>
      <c r="X960">
        <f t="shared" ca="1" si="178"/>
        <v>4.6309352393655974E-2</v>
      </c>
      <c r="Y960">
        <f t="shared" ca="1" si="178"/>
        <v>-7.5551452311273956E-2</v>
      </c>
      <c r="Z960">
        <f t="shared" ca="1" si="178"/>
        <v>0.31531289941031199</v>
      </c>
      <c r="AB960">
        <v>955</v>
      </c>
      <c r="AC960" s="24">
        <f t="shared" ca="1" si="171"/>
        <v>4.6309352393655974E-2</v>
      </c>
      <c r="AD960" s="24">
        <f t="shared" ca="1" si="172"/>
        <v>3.0701242295907705E-3</v>
      </c>
      <c r="AE960" s="24">
        <f t="shared" ca="1" si="173"/>
        <v>0.17696939765582176</v>
      </c>
      <c r="AF960" s="24"/>
      <c r="AG960">
        <v>955</v>
      </c>
      <c r="AH960">
        <f t="shared" ca="1" si="179"/>
        <v>309.68550079492297</v>
      </c>
      <c r="AI960">
        <f t="shared" ca="1" si="180"/>
        <v>164.27144711658838</v>
      </c>
      <c r="AJ960">
        <f t="shared" ca="1" si="181"/>
        <v>53.197033827747838</v>
      </c>
      <c r="AL960">
        <v>955</v>
      </c>
      <c r="AM960" s="4">
        <f t="shared" ca="1" si="174"/>
        <v>7.9336333887036758E-4</v>
      </c>
      <c r="AN960" s="4">
        <f t="shared" ca="1" si="175"/>
        <v>6.972245304015523E-5</v>
      </c>
      <c r="AO960" s="4">
        <f t="shared" ca="1" si="176"/>
        <v>3.1498218422787438E-3</v>
      </c>
      <c r="AP960" s="4">
        <f t="shared" ca="1" si="177"/>
        <v>1.2108445355607956E-3</v>
      </c>
    </row>
    <row r="961" spans="20:42" x14ac:dyDescent="0.3">
      <c r="T961">
        <v>955</v>
      </c>
      <c r="U961" s="4">
        <v>2.8239845721074828E-2</v>
      </c>
      <c r="V961" s="4"/>
      <c r="W961">
        <v>956</v>
      </c>
      <c r="X961">
        <f t="shared" ca="1" si="178"/>
        <v>0.91090750597852665</v>
      </c>
      <c r="Y961">
        <f t="shared" ca="1" si="178"/>
        <v>0.72130638479705556</v>
      </c>
      <c r="Z961">
        <f t="shared" ca="1" si="178"/>
        <v>-0.16074070204831578</v>
      </c>
      <c r="AB961">
        <v>956</v>
      </c>
      <c r="AC961" s="24">
        <f t="shared" ca="1" si="171"/>
        <v>0.91090750597852665</v>
      </c>
      <c r="AD961" s="24">
        <f t="shared" ca="1" si="172"/>
        <v>1.1480668266907113</v>
      </c>
      <c r="AE961" s="24">
        <f t="shared" ca="1" si="173"/>
        <v>0.86104296098756405</v>
      </c>
      <c r="AF961" s="24"/>
      <c r="AG961">
        <v>956</v>
      </c>
      <c r="AH961">
        <f t="shared" ca="1" si="179"/>
        <v>314.27216498879835</v>
      </c>
      <c r="AI961">
        <f t="shared" ca="1" si="180"/>
        <v>168.22904831080575</v>
      </c>
      <c r="AJ961">
        <f t="shared" ca="1" si="181"/>
        <v>53.846794155985556</v>
      </c>
      <c r="AL961">
        <v>956</v>
      </c>
      <c r="AM961" s="4">
        <f t="shared" ca="1" si="174"/>
        <v>1.5615830239360529E-2</v>
      </c>
      <c r="AN961" s="4">
        <f t="shared" ca="1" si="175"/>
        <v>2.4163240817627107E-2</v>
      </c>
      <c r="AO961" s="4">
        <f t="shared" ca="1" si="176"/>
        <v>1.5402515472197953E-2</v>
      </c>
      <c r="AP961" s="4">
        <f t="shared" ca="1" si="177"/>
        <v>1.8970800040518387E-2</v>
      </c>
    </row>
    <row r="962" spans="20:42" x14ac:dyDescent="0.3">
      <c r="T962">
        <v>956</v>
      </c>
      <c r="U962" s="4">
        <v>2.8497862190731915E-2</v>
      </c>
      <c r="V962" s="4"/>
      <c r="W962">
        <v>957</v>
      </c>
      <c r="X962">
        <f t="shared" ca="1" si="178"/>
        <v>-0.72483548496354655</v>
      </c>
      <c r="Y962">
        <f t="shared" ca="1" si="178"/>
        <v>-0.9205724414943135</v>
      </c>
      <c r="Z962">
        <f t="shared" ca="1" si="178"/>
        <v>-0.54382191273632952</v>
      </c>
      <c r="AB962">
        <v>957</v>
      </c>
      <c r="AC962" s="24">
        <f t="shared" ca="1" si="171"/>
        <v>-0.72483548496354655</v>
      </c>
      <c r="AD962" s="24">
        <f t="shared" ca="1" si="172"/>
        <v>-1.0843375696232358</v>
      </c>
      <c r="AE962" s="24">
        <f t="shared" ca="1" si="173"/>
        <v>-1.1217491452334794</v>
      </c>
      <c r="AF962" s="24"/>
      <c r="AG962">
        <v>957</v>
      </c>
      <c r="AH962">
        <f t="shared" ca="1" si="179"/>
        <v>305.65111126790026</v>
      </c>
      <c r="AI962">
        <f t="shared" ca="1" si="180"/>
        <v>160.59912906783072</v>
      </c>
      <c r="AJ962">
        <f t="shared" ca="1" si="181"/>
        <v>51.98495385064065</v>
      </c>
      <c r="AL962">
        <v>957</v>
      </c>
      <c r="AM962" s="4">
        <f t="shared" ca="1" si="174"/>
        <v>-1.2244348318292242E-2</v>
      </c>
      <c r="AN962" s="4">
        <f t="shared" ca="1" si="175"/>
        <v>-2.2287017907162698E-2</v>
      </c>
      <c r="AO962" s="4">
        <f t="shared" ca="1" si="176"/>
        <v>-1.9706674574998084E-2</v>
      </c>
      <c r="AP962" s="4">
        <f t="shared" ca="1" si="177"/>
        <v>-1.8500114030852177E-2</v>
      </c>
    </row>
    <row r="963" spans="20:42" x14ac:dyDescent="0.3">
      <c r="T963">
        <v>957</v>
      </c>
      <c r="U963" s="4">
        <v>2.86378040884393E-2</v>
      </c>
      <c r="V963" s="4"/>
      <c r="W963">
        <v>958</v>
      </c>
      <c r="X963">
        <f t="shared" ca="1" si="178"/>
        <v>1.414636203805131</v>
      </c>
      <c r="Y963">
        <f t="shared" ca="1" si="178"/>
        <v>1.3686678493052102</v>
      </c>
      <c r="Z963">
        <f t="shared" ca="1" si="178"/>
        <v>-1.4225595682189847</v>
      </c>
      <c r="AB963">
        <v>958</v>
      </c>
      <c r="AC963" s="24">
        <f t="shared" ca="1" si="171"/>
        <v>1.414636203805131</v>
      </c>
      <c r="AD963" s="24">
        <f t="shared" ca="1" si="172"/>
        <v>1.9053805175997951</v>
      </c>
      <c r="AE963" s="24">
        <f t="shared" ca="1" si="173"/>
        <v>0.81050916519177307</v>
      </c>
      <c r="AF963" s="24"/>
      <c r="AG963">
        <v>958</v>
      </c>
      <c r="AH963">
        <f t="shared" ca="1" si="179"/>
        <v>316.97568313069206</v>
      </c>
      <c r="AI963">
        <f t="shared" ca="1" si="180"/>
        <v>170.89889558206491</v>
      </c>
      <c r="AJ963">
        <f t="shared" ca="1" si="181"/>
        <v>53.798524841831082</v>
      </c>
      <c r="AL963">
        <v>958</v>
      </c>
      <c r="AM963" s="4">
        <f t="shared" ca="1" si="174"/>
        <v>2.4352639057107606E-2</v>
      </c>
      <c r="AN963" s="4">
        <f t="shared" ca="1" si="175"/>
        <v>4.0417029692239925E-2</v>
      </c>
      <c r="AO963" s="4">
        <f t="shared" ca="1" si="176"/>
        <v>1.4492288897323569E-2</v>
      </c>
      <c r="AP963" s="4">
        <f t="shared" ca="1" si="177"/>
        <v>2.7820290263225321E-2</v>
      </c>
    </row>
    <row r="964" spans="20:42" x14ac:dyDescent="0.3">
      <c r="T964">
        <v>958</v>
      </c>
      <c r="U964" s="4">
        <v>2.8945816054980165E-2</v>
      </c>
      <c r="V964" s="4"/>
      <c r="W964">
        <v>959</v>
      </c>
      <c r="X964">
        <f t="shared" ca="1" si="178"/>
        <v>1.37687147732827</v>
      </c>
      <c r="Y964">
        <f t="shared" ca="1" si="178"/>
        <v>-1.3277089506674533</v>
      </c>
      <c r="Z964">
        <f t="shared" ca="1" si="178"/>
        <v>1.1732425853285418</v>
      </c>
      <c r="AB964">
        <v>959</v>
      </c>
      <c r="AC964" s="24">
        <f t="shared" ca="1" si="171"/>
        <v>1.37687147732827</v>
      </c>
      <c r="AD964" s="24">
        <f t="shared" ca="1" si="172"/>
        <v>0.54390669012073611</v>
      </c>
      <c r="AE964" s="24">
        <f t="shared" ca="1" si="173"/>
        <v>1.352768717736839</v>
      </c>
      <c r="AF964" s="24"/>
      <c r="AG964">
        <v>959</v>
      </c>
      <c r="AH964">
        <f t="shared" ca="1" si="179"/>
        <v>316.77219541971266</v>
      </c>
      <c r="AI964">
        <f t="shared" ca="1" si="180"/>
        <v>166.1290727626768</v>
      </c>
      <c r="AJ964">
        <f t="shared" ca="1" si="181"/>
        <v>54.318752029765584</v>
      </c>
      <c r="AL964">
        <v>959</v>
      </c>
      <c r="AM964" s="4">
        <f t="shared" ca="1" si="174"/>
        <v>2.3695039169006726E-2</v>
      </c>
      <c r="AN964" s="4">
        <f t="shared" ca="1" si="175"/>
        <v>1.1378779485859747E-2</v>
      </c>
      <c r="AO964" s="4">
        <f t="shared" ca="1" si="176"/>
        <v>2.4302343581646957E-2</v>
      </c>
      <c r="AP964" s="4">
        <f t="shared" ca="1" si="177"/>
        <v>1.8950726619540004E-2</v>
      </c>
    </row>
    <row r="965" spans="20:42" x14ac:dyDescent="0.3">
      <c r="T965">
        <v>959</v>
      </c>
      <c r="U965" s="4">
        <v>2.89911560930739E-2</v>
      </c>
      <c r="V965" s="4"/>
      <c r="W965">
        <v>960</v>
      </c>
      <c r="X965">
        <f t="shared" ca="1" si="178"/>
        <v>6.7827906255226347E-2</v>
      </c>
      <c r="Y965">
        <f t="shared" ca="1" si="178"/>
        <v>-0.52156803083864101</v>
      </c>
      <c r="Z965">
        <f t="shared" ca="1" si="178"/>
        <v>0.67041639201936654</v>
      </c>
      <c r="AB965">
        <v>960</v>
      </c>
      <c r="AC965" s="24">
        <f t="shared" ca="1" si="171"/>
        <v>6.7827906255226347E-2</v>
      </c>
      <c r="AD965" s="24">
        <f t="shared" ca="1" si="172"/>
        <v>-0.1979749959982329</v>
      </c>
      <c r="AE965" s="24">
        <f t="shared" ca="1" si="173"/>
        <v>0.25163257893442281</v>
      </c>
      <c r="AF965" s="24"/>
      <c r="AG965">
        <v>960</v>
      </c>
      <c r="AH965">
        <f t="shared" ca="1" si="179"/>
        <v>309.79883963104993</v>
      </c>
      <c r="AI965">
        <f t="shared" ca="1" si="180"/>
        <v>163.58622045157787</v>
      </c>
      <c r="AJ965">
        <f t="shared" ca="1" si="181"/>
        <v>53.267569003428306</v>
      </c>
      <c r="AL965">
        <v>960</v>
      </c>
      <c r="AM965" s="4">
        <f t="shared" ca="1" si="174"/>
        <v>1.159634135253329E-3</v>
      </c>
      <c r="AN965" s="4">
        <f t="shared" ca="1" si="175"/>
        <v>-4.1018755496736725E-3</v>
      </c>
      <c r="AO965" s="4">
        <f t="shared" ca="1" si="176"/>
        <v>4.4799213577251251E-3</v>
      </c>
      <c r="AP965" s="4">
        <f t="shared" ca="1" si="177"/>
        <v>5.1116428024067066E-5</v>
      </c>
    </row>
    <row r="966" spans="20:42" x14ac:dyDescent="0.3">
      <c r="T966">
        <v>960</v>
      </c>
      <c r="U966" s="4">
        <v>2.9456114777529761E-2</v>
      </c>
      <c r="V966" s="4"/>
      <c r="W966">
        <v>961</v>
      </c>
      <c r="X966">
        <f t="shared" ca="1" si="178"/>
        <v>-0.82931604183255792</v>
      </c>
      <c r="Y966">
        <f t="shared" ca="1" si="178"/>
        <v>-0.86264583103217962</v>
      </c>
      <c r="Z966">
        <f t="shared" ca="1" si="178"/>
        <v>-0.12581579873926937</v>
      </c>
      <c r="AB966">
        <v>961</v>
      </c>
      <c r="AC966" s="24">
        <f t="shared" ref="AC966:AC1005" ca="1" si="182">SUMPRODUCT($Q$24:$S$24,X966:Z966)</f>
        <v>-0.82931604183255792</v>
      </c>
      <c r="AD966" s="24">
        <f t="shared" ref="AD966:AD1005" ca="1" si="183">SUMPRODUCT($Q$25:$S$25,X966:Z966)</f>
        <v>-1.1467113835028122</v>
      </c>
      <c r="AE966" s="24">
        <f t="shared" ref="AE966:AE1005" ca="1" si="184">SUMPRODUCT($Q$26:$S$26,X966:Z966)</f>
        <v>-0.97889395676778301</v>
      </c>
      <c r="AF966" s="24"/>
      <c r="AG966">
        <v>961</v>
      </c>
      <c r="AH966">
        <f t="shared" ca="1" si="179"/>
        <v>305.10855965840096</v>
      </c>
      <c r="AI966">
        <f t="shared" ca="1" si="180"/>
        <v>160.39099177031267</v>
      </c>
      <c r="AJ966">
        <f t="shared" ca="1" si="181"/>
        <v>52.116915702630671</v>
      </c>
      <c r="AL966">
        <v>961</v>
      </c>
      <c r="AM966" s="4">
        <f t="shared" ref="AM966:AM1005" ca="1" si="185">AH966/$AH$2-1</f>
        <v>-1.3997682099376352E-2</v>
      </c>
      <c r="AN966" s="4">
        <f t="shared" ref="AN966:AN1005" ca="1" si="186">AI966/$AI$2-1</f>
        <v>-2.3554138962066928E-2</v>
      </c>
      <c r="AO966" s="4">
        <f t="shared" ref="AO966:AO1005" ca="1" si="187">AJ966/$AJ$2-1</f>
        <v>-1.7218236803403397E-2</v>
      </c>
      <c r="AP966" s="4">
        <f t="shared" ref="AP966:AP1029" ca="1" si="188">SUMPRODUCT($P$6:$R$6,AM966:AO966)</f>
        <v>-1.8786431255660693E-2</v>
      </c>
    </row>
    <row r="967" spans="20:42" x14ac:dyDescent="0.3">
      <c r="T967">
        <v>961</v>
      </c>
      <c r="U967" s="4">
        <v>2.9801047218763598E-2</v>
      </c>
      <c r="V967" s="4"/>
      <c r="W967">
        <v>962</v>
      </c>
      <c r="X967">
        <f t="shared" ref="X967:Z1005" ca="1" si="189">_xlfn.NORM.S.INV(RAND())</f>
        <v>-0.62865476306336399</v>
      </c>
      <c r="Y967">
        <f t="shared" ca="1" si="189"/>
        <v>-0.85019396141056225</v>
      </c>
      <c r="Z967">
        <f t="shared" ca="1" si="189"/>
        <v>-8.4213463198853963E-2</v>
      </c>
      <c r="AB967">
        <v>962</v>
      </c>
      <c r="AC967" s="24">
        <f t="shared" ca="1" si="182"/>
        <v>-0.62865476306336399</v>
      </c>
      <c r="AD967" s="24">
        <f t="shared" ca="1" si="183"/>
        <v>-0.9659650701408744</v>
      </c>
      <c r="AE967" s="24">
        <f t="shared" ca="1" si="184"/>
        <v>-0.79055770476721765</v>
      </c>
      <c r="AF967" s="24"/>
      <c r="AG967">
        <v>962</v>
      </c>
      <c r="AH967">
        <f t="shared" ref="AH967:AH1005" ca="1" si="190">$L$21*EXP(($L$19-(($L$20^2)/2))*(1/252)+$L$20*AC967)</f>
        <v>306.15141592035735</v>
      </c>
      <c r="AI967">
        <f t="shared" ref="AI967:AI1005" ca="1" si="191">$M$21*EXP(($M$19-(($M$20^2)/2))*(1/252)+$M$20*AD967)</f>
        <v>160.99487325574091</v>
      </c>
      <c r="AJ967">
        <f t="shared" ref="AJ967:AJ1005" ca="1" si="192">$N$21*EXP(($N$19-(($N$20^2)/2))*(1/252)+$N$20*AE967)</f>
        <v>52.291402554336152</v>
      </c>
      <c r="AL967">
        <v>962</v>
      </c>
      <c r="AM967" s="4">
        <f t="shared" ca="1" si="185"/>
        <v>-1.0627541672384111E-2</v>
      </c>
      <c r="AN967" s="4">
        <f t="shared" ca="1" si="186"/>
        <v>-1.9877763060306308E-2</v>
      </c>
      <c r="AO967" s="4">
        <f t="shared" ca="1" si="187"/>
        <v>-1.392789443640341E-2</v>
      </c>
      <c r="AP967" s="4">
        <f t="shared" ca="1" si="188"/>
        <v>-1.531773605675878E-2</v>
      </c>
    </row>
    <row r="968" spans="20:42" x14ac:dyDescent="0.3">
      <c r="T968">
        <v>962</v>
      </c>
      <c r="U968" s="4">
        <v>3.0209245851582425E-2</v>
      </c>
      <c r="V968" s="4"/>
      <c r="W968">
        <v>963</v>
      </c>
      <c r="X968">
        <f t="shared" ca="1" si="189"/>
        <v>-1.0807275988944736</v>
      </c>
      <c r="Y968">
        <f t="shared" ca="1" si="189"/>
        <v>-0.25816614741800459</v>
      </c>
      <c r="Z968">
        <f t="shared" ca="1" si="189"/>
        <v>0.33496208518527287</v>
      </c>
      <c r="AB968">
        <v>963</v>
      </c>
      <c r="AC968" s="24">
        <f t="shared" ca="1" si="182"/>
        <v>-1.0807275988944736</v>
      </c>
      <c r="AD968" s="24">
        <f t="shared" ca="1" si="183"/>
        <v>-1.0676327543050383</v>
      </c>
      <c r="AE968" s="24">
        <f t="shared" ca="1" si="184"/>
        <v>-0.78338633640426414</v>
      </c>
      <c r="AF968" s="24"/>
      <c r="AG968">
        <v>963</v>
      </c>
      <c r="AH968">
        <f t="shared" ca="1" si="190"/>
        <v>303.80696139701553</v>
      </c>
      <c r="AI968">
        <f t="shared" ca="1" si="191"/>
        <v>160.65491777371798</v>
      </c>
      <c r="AJ968">
        <f t="shared" ca="1" si="192"/>
        <v>52.298058105722141</v>
      </c>
      <c r="AL968">
        <v>963</v>
      </c>
      <c r="AM968" s="4">
        <f t="shared" ca="1" si="185"/>
        <v>-1.8203984617202629E-2</v>
      </c>
      <c r="AN968" s="4">
        <f t="shared" ca="1" si="186"/>
        <v>-2.1947381308155434E-2</v>
      </c>
      <c r="AO968" s="4">
        <f t="shared" ca="1" si="187"/>
        <v>-1.3802389033061968E-2</v>
      </c>
      <c r="AP968" s="4">
        <f t="shared" ca="1" si="188"/>
        <v>-1.8380864618341555E-2</v>
      </c>
    </row>
    <row r="969" spans="20:42" x14ac:dyDescent="0.3">
      <c r="T969">
        <v>963</v>
      </c>
      <c r="U969" s="4">
        <v>3.0368983762793868E-2</v>
      </c>
      <c r="V969" s="4"/>
      <c r="W969">
        <v>964</v>
      </c>
      <c r="X969">
        <f t="shared" ca="1" si="189"/>
        <v>0.92403440665968573</v>
      </c>
      <c r="Y969">
        <f t="shared" ca="1" si="189"/>
        <v>-1.1927202001169408</v>
      </c>
      <c r="Z969">
        <f t="shared" ca="1" si="189"/>
        <v>4.9233691207320296E-2</v>
      </c>
      <c r="AB969">
        <v>964</v>
      </c>
      <c r="AC969" s="24">
        <f t="shared" ca="1" si="182"/>
        <v>0.92403440665968573</v>
      </c>
      <c r="AD969" s="24">
        <f t="shared" ca="1" si="183"/>
        <v>0.21637270498350092</v>
      </c>
      <c r="AE969" s="24">
        <f t="shared" ca="1" si="184"/>
        <v>0.44996219208253252</v>
      </c>
      <c r="AF969" s="24"/>
      <c r="AG969">
        <v>964</v>
      </c>
      <c r="AH969">
        <f t="shared" ca="1" si="190"/>
        <v>314.34232375186042</v>
      </c>
      <c r="AI969">
        <f t="shared" ca="1" si="191"/>
        <v>165.00158952321391</v>
      </c>
      <c r="AJ969">
        <f t="shared" ca="1" si="192"/>
        <v>53.455387799556419</v>
      </c>
      <c r="AL969">
        <v>964</v>
      </c>
      <c r="AM969" s="4">
        <f t="shared" ca="1" si="185"/>
        <v>1.584255840155202E-2</v>
      </c>
      <c r="AN969" s="4">
        <f t="shared" ca="1" si="186"/>
        <v>4.5147634310194196E-3</v>
      </c>
      <c r="AO969" s="4">
        <f t="shared" ca="1" si="187"/>
        <v>8.0216675476465493E-3</v>
      </c>
      <c r="AP969" s="4">
        <f t="shared" ca="1" si="188"/>
        <v>8.9651731571673381E-3</v>
      </c>
    </row>
    <row r="970" spans="20:42" x14ac:dyDescent="0.3">
      <c r="T970">
        <v>964</v>
      </c>
      <c r="U970" s="4">
        <v>3.0450368460206878E-2</v>
      </c>
      <c r="V970" s="4"/>
      <c r="W970">
        <v>965</v>
      </c>
      <c r="X970">
        <f t="shared" ca="1" si="189"/>
        <v>0.20017857160880734</v>
      </c>
      <c r="Y970">
        <f t="shared" ca="1" si="189"/>
        <v>0.33980353705888844</v>
      </c>
      <c r="Z970">
        <f t="shared" ca="1" si="189"/>
        <v>1.7029905591033139</v>
      </c>
      <c r="AB970">
        <v>965</v>
      </c>
      <c r="AC970" s="24">
        <f t="shared" ca="1" si="182"/>
        <v>0.20017857160880734</v>
      </c>
      <c r="AD970" s="24">
        <f t="shared" ca="1" si="183"/>
        <v>0.34162542845342725</v>
      </c>
      <c r="AE970" s="24">
        <f t="shared" ca="1" si="184"/>
        <v>1.1214868427209375</v>
      </c>
      <c r="AF970" s="24"/>
      <c r="AG970">
        <v>965</v>
      </c>
      <c r="AH970">
        <f t="shared" ca="1" si="190"/>
        <v>310.49684706207643</v>
      </c>
      <c r="AI970">
        <f t="shared" ca="1" si="191"/>
        <v>165.43184551140564</v>
      </c>
      <c r="AJ970">
        <f t="shared" ca="1" si="192"/>
        <v>54.096254866337361</v>
      </c>
      <c r="AL970">
        <v>965</v>
      </c>
      <c r="AM970" s="4">
        <f t="shared" ca="1" si="185"/>
        <v>3.4153458257890623E-3</v>
      </c>
      <c r="AN970" s="4">
        <f t="shared" ca="1" si="186"/>
        <v>7.1341229986578991E-3</v>
      </c>
      <c r="AO970" s="4">
        <f t="shared" ca="1" si="187"/>
        <v>2.0106658713649361E-2</v>
      </c>
      <c r="AP970" s="4">
        <f t="shared" ca="1" si="188"/>
        <v>9.9102505612946867E-3</v>
      </c>
    </row>
    <row r="971" spans="20:42" x14ac:dyDescent="0.3">
      <c r="T971">
        <v>965</v>
      </c>
      <c r="U971" s="4">
        <v>3.0550165746138114E-2</v>
      </c>
      <c r="V971" s="4"/>
      <c r="W971">
        <v>966</v>
      </c>
      <c r="X971">
        <f t="shared" ca="1" si="189"/>
        <v>-0.62579600811600422</v>
      </c>
      <c r="Y971">
        <f t="shared" ca="1" si="189"/>
        <v>-0.50160109009922405</v>
      </c>
      <c r="Z971">
        <f t="shared" ca="1" si="189"/>
        <v>1.0357498110774412E-2</v>
      </c>
      <c r="AB971">
        <v>966</v>
      </c>
      <c r="AC971" s="24">
        <f t="shared" ca="1" si="182"/>
        <v>-0.62579600811600422</v>
      </c>
      <c r="AD971" s="24">
        <f t="shared" ca="1" si="183"/>
        <v>-0.7917119083645261</v>
      </c>
      <c r="AE971" s="24">
        <f t="shared" ca="1" si="184"/>
        <v>-0.64400020223030874</v>
      </c>
      <c r="AF971" s="24"/>
      <c r="AG971">
        <v>966</v>
      </c>
      <c r="AH971">
        <f t="shared" ca="1" si="190"/>
        <v>306.16629887274814</v>
      </c>
      <c r="AI971">
        <f t="shared" ca="1" si="191"/>
        <v>161.57921333353949</v>
      </c>
      <c r="AJ971">
        <f t="shared" ca="1" si="192"/>
        <v>52.42758694771949</v>
      </c>
      <c r="AL971">
        <v>966</v>
      </c>
      <c r="AM971" s="4">
        <f t="shared" ca="1" si="185"/>
        <v>-1.0579445265089027E-2</v>
      </c>
      <c r="AN971" s="4">
        <f t="shared" ca="1" si="186"/>
        <v>-1.632035348195493E-2</v>
      </c>
      <c r="AO971" s="4">
        <f t="shared" ca="1" si="187"/>
        <v>-1.1359831141698806E-2</v>
      </c>
      <c r="AP971" s="4">
        <f t="shared" ca="1" si="188"/>
        <v>-1.3109924314818323E-2</v>
      </c>
    </row>
    <row r="972" spans="20:42" x14ac:dyDescent="0.3">
      <c r="T972">
        <v>966</v>
      </c>
      <c r="U972" s="4">
        <v>3.0655339835177965E-2</v>
      </c>
      <c r="V972" s="4"/>
      <c r="W972">
        <v>967</v>
      </c>
      <c r="X972">
        <f t="shared" ca="1" si="189"/>
        <v>-1.230893783676448</v>
      </c>
      <c r="Y972">
        <f t="shared" ca="1" si="189"/>
        <v>0.70602988238839581</v>
      </c>
      <c r="Z972">
        <f t="shared" ca="1" si="189"/>
        <v>-0.34695793591110885</v>
      </c>
      <c r="AB972">
        <v>967</v>
      </c>
      <c r="AC972" s="24">
        <f t="shared" ca="1" si="182"/>
        <v>-1.230893783676448</v>
      </c>
      <c r="AD972" s="24">
        <f t="shared" ca="1" si="183"/>
        <v>-0.72320623715326771</v>
      </c>
      <c r="AE972" s="24">
        <f t="shared" ca="1" si="184"/>
        <v>-0.98587793989855066</v>
      </c>
      <c r="AF972" s="24"/>
      <c r="AG972">
        <v>967</v>
      </c>
      <c r="AH972">
        <f t="shared" ca="1" si="190"/>
        <v>303.03217705840643</v>
      </c>
      <c r="AI972">
        <f t="shared" ca="1" si="191"/>
        <v>161.80952044278385</v>
      </c>
      <c r="AJ972">
        <f t="shared" ca="1" si="192"/>
        <v>52.110456497804236</v>
      </c>
      <c r="AL972">
        <v>967</v>
      </c>
      <c r="AM972" s="4">
        <f t="shared" ca="1" si="185"/>
        <v>-2.0707811958516675E-2</v>
      </c>
      <c r="AN972" s="4">
        <f t="shared" ca="1" si="186"/>
        <v>-1.4918264617068355E-2</v>
      </c>
      <c r="AO972" s="4">
        <f t="shared" ca="1" si="187"/>
        <v>-1.7340039650379113E-2</v>
      </c>
      <c r="AP972" s="4">
        <f t="shared" ca="1" si="188"/>
        <v>-1.7381661329496079E-2</v>
      </c>
    </row>
    <row r="973" spans="20:42" x14ac:dyDescent="0.3">
      <c r="T973">
        <v>967</v>
      </c>
      <c r="U973" s="4">
        <v>3.0803266064508894E-2</v>
      </c>
      <c r="V973" s="4"/>
      <c r="W973">
        <v>968</v>
      </c>
      <c r="X973">
        <f t="shared" ca="1" si="189"/>
        <v>-2.7343372103979577</v>
      </c>
      <c r="Y973">
        <f t="shared" ca="1" si="189"/>
        <v>-1.2861837591971139</v>
      </c>
      <c r="Z973">
        <f t="shared" ca="1" si="189"/>
        <v>2.1804156623976136</v>
      </c>
      <c r="AB973">
        <v>968</v>
      </c>
      <c r="AC973" s="24">
        <f t="shared" ca="1" si="182"/>
        <v>-2.7343372103979577</v>
      </c>
      <c r="AD973" s="24">
        <f t="shared" ca="1" si="183"/>
        <v>-3.0131104907571711</v>
      </c>
      <c r="AE973" s="24">
        <f t="shared" ca="1" si="184"/>
        <v>-1.4802914083100933</v>
      </c>
      <c r="AF973" s="24"/>
      <c r="AG973">
        <v>968</v>
      </c>
      <c r="AH973">
        <f t="shared" ca="1" si="190"/>
        <v>295.38323194468927</v>
      </c>
      <c r="AI973">
        <f t="shared" ca="1" si="191"/>
        <v>154.28619391878206</v>
      </c>
      <c r="AJ973">
        <f t="shared" ca="1" si="192"/>
        <v>51.655221834856903</v>
      </c>
      <c r="AL973">
        <v>968</v>
      </c>
      <c r="AM973" s="4">
        <f t="shared" ca="1" si="185"/>
        <v>-4.5426481339879365E-2</v>
      </c>
      <c r="AN973" s="4">
        <f t="shared" ca="1" si="186"/>
        <v>-6.0719596503078677E-2</v>
      </c>
      <c r="AO973" s="4">
        <f t="shared" ca="1" si="187"/>
        <v>-2.5924513974844965E-2</v>
      </c>
      <c r="AP973" s="4">
        <f t="shared" ca="1" si="188"/>
        <v>-4.5693137195648777E-2</v>
      </c>
    </row>
    <row r="974" spans="20:42" x14ac:dyDescent="0.3">
      <c r="T974">
        <v>968</v>
      </c>
      <c r="U974" s="4">
        <v>3.1213207225648264E-2</v>
      </c>
      <c r="V974" s="4"/>
      <c r="W974">
        <v>969</v>
      </c>
      <c r="X974">
        <f t="shared" ca="1" si="189"/>
        <v>-0.49304516531120351</v>
      </c>
      <c r="Y974">
        <f t="shared" ca="1" si="189"/>
        <v>0.70298121300392702</v>
      </c>
      <c r="Z974">
        <f t="shared" ca="1" si="189"/>
        <v>0.79099738995597513</v>
      </c>
      <c r="AB974">
        <v>969</v>
      </c>
      <c r="AC974" s="24">
        <f t="shared" ca="1" si="182"/>
        <v>-0.49304516531120351</v>
      </c>
      <c r="AD974" s="24">
        <f t="shared" ca="1" si="183"/>
        <v>-8.2649711176112362E-2</v>
      </c>
      <c r="AE974" s="24">
        <f t="shared" ca="1" si="184"/>
        <v>0.19306230928804621</v>
      </c>
      <c r="AF974" s="24"/>
      <c r="AG974">
        <v>969</v>
      </c>
      <c r="AH974">
        <f t="shared" ca="1" si="190"/>
        <v>306.8582099441785</v>
      </c>
      <c r="AI974">
        <f t="shared" ca="1" si="191"/>
        <v>163.97893594253</v>
      </c>
      <c r="AJ974">
        <f t="shared" ca="1" si="192"/>
        <v>53.212229088098027</v>
      </c>
      <c r="AL974">
        <v>969</v>
      </c>
      <c r="AM974" s="4">
        <f t="shared" ca="1" si="185"/>
        <v>-8.3434348398973013E-3</v>
      </c>
      <c r="AN974" s="4">
        <f t="shared" ca="1" si="186"/>
        <v>-1.7110591361507721E-3</v>
      </c>
      <c r="AO974" s="4">
        <f t="shared" ca="1" si="187"/>
        <v>3.4363626814257753E-3</v>
      </c>
      <c r="AP974" s="4">
        <f t="shared" ca="1" si="188"/>
        <v>-2.1565453020017666E-3</v>
      </c>
    </row>
    <row r="975" spans="20:42" x14ac:dyDescent="0.3">
      <c r="T975">
        <v>969</v>
      </c>
      <c r="U975" s="4">
        <v>3.1671767697084796E-2</v>
      </c>
      <c r="V975" s="4"/>
      <c r="W975">
        <v>970</v>
      </c>
      <c r="X975">
        <f t="shared" ca="1" si="189"/>
        <v>-1.3205312280397714</v>
      </c>
      <c r="Y975">
        <f t="shared" ca="1" si="189"/>
        <v>9.1230698376519551E-2</v>
      </c>
      <c r="Z975">
        <f t="shared" ca="1" si="189"/>
        <v>-1.3402291919768676</v>
      </c>
      <c r="AB975">
        <v>970</v>
      </c>
      <c r="AC975" s="24">
        <f t="shared" ca="1" si="182"/>
        <v>-1.3205312280397714</v>
      </c>
      <c r="AD975" s="24">
        <f t="shared" ca="1" si="183"/>
        <v>-1.1041426116195947</v>
      </c>
      <c r="AE975" s="24">
        <f t="shared" ca="1" si="184"/>
        <v>-1.7328562175104736</v>
      </c>
      <c r="AF975" s="24"/>
      <c r="AG975">
        <v>970</v>
      </c>
      <c r="AH975">
        <f t="shared" ca="1" si="190"/>
        <v>302.57063359649368</v>
      </c>
      <c r="AI975">
        <f t="shared" ca="1" si="191"/>
        <v>160.5330117021098</v>
      </c>
      <c r="AJ975">
        <f t="shared" ca="1" si="192"/>
        <v>51.4242078850124</v>
      </c>
      <c r="AL975">
        <v>970</v>
      </c>
      <c r="AM975" s="4">
        <f t="shared" ca="1" si="185"/>
        <v>-2.2199356226456524E-2</v>
      </c>
      <c r="AN975" s="4">
        <f t="shared" ca="1" si="186"/>
        <v>-2.2689534453686599E-2</v>
      </c>
      <c r="AO975" s="4">
        <f t="shared" ca="1" si="187"/>
        <v>-3.028080202240746E-2</v>
      </c>
      <c r="AP975" s="4">
        <f t="shared" ca="1" si="188"/>
        <v>-2.4819861256133835E-2</v>
      </c>
    </row>
    <row r="976" spans="20:42" x14ac:dyDescent="0.3">
      <c r="T976">
        <v>970</v>
      </c>
      <c r="U976" s="4">
        <v>3.1880400752888692E-2</v>
      </c>
      <c r="V976" s="4"/>
      <c r="W976">
        <v>971</v>
      </c>
      <c r="X976">
        <f t="shared" ca="1" si="189"/>
        <v>1.1188322091905909</v>
      </c>
      <c r="Y976">
        <f t="shared" ca="1" si="189"/>
        <v>-1.8073789229605117</v>
      </c>
      <c r="Z976">
        <f t="shared" ca="1" si="189"/>
        <v>1.2805587044540239</v>
      </c>
      <c r="AB976">
        <v>971</v>
      </c>
      <c r="AC976" s="24">
        <f t="shared" ca="1" si="182"/>
        <v>1.1188322091905909</v>
      </c>
      <c r="AD976" s="24">
        <f t="shared" ca="1" si="183"/>
        <v>8.3014485290743845E-2</v>
      </c>
      <c r="AE976" s="24">
        <f t="shared" ca="1" si="184"/>
        <v>1.0642034582834121</v>
      </c>
      <c r="AF976" s="24"/>
      <c r="AG976">
        <v>971</v>
      </c>
      <c r="AH976">
        <f t="shared" ca="1" si="190"/>
        <v>315.3852935577184</v>
      </c>
      <c r="AI976">
        <f t="shared" ca="1" si="191"/>
        <v>164.54472022996669</v>
      </c>
      <c r="AJ976">
        <f t="shared" ca="1" si="192"/>
        <v>54.041288222959139</v>
      </c>
      <c r="AL976">
        <v>971</v>
      </c>
      <c r="AM976" s="4">
        <f t="shared" ca="1" si="185"/>
        <v>1.9213065762039516E-2</v>
      </c>
      <c r="AN976" s="4">
        <f t="shared" ca="1" si="186"/>
        <v>1.7333844676332699E-3</v>
      </c>
      <c r="AO976" s="4">
        <f t="shared" ca="1" si="187"/>
        <v>1.9070138920258772E-2</v>
      </c>
      <c r="AP976" s="4">
        <f t="shared" ca="1" si="188"/>
        <v>1.2178315191742794E-2</v>
      </c>
    </row>
    <row r="977" spans="20:42" x14ac:dyDescent="0.3">
      <c r="T977">
        <v>971</v>
      </c>
      <c r="U977" s="4">
        <v>3.2272870678176191E-2</v>
      </c>
      <c r="V977" s="4"/>
      <c r="W977">
        <v>972</v>
      </c>
      <c r="X977">
        <f t="shared" ca="1" si="189"/>
        <v>-1.7155840668088624</v>
      </c>
      <c r="Y977">
        <f t="shared" ca="1" si="189"/>
        <v>-0.55288947789698462</v>
      </c>
      <c r="Z977">
        <f t="shared" ca="1" si="189"/>
        <v>1.3268081883284253</v>
      </c>
      <c r="AB977">
        <v>972</v>
      </c>
      <c r="AC977" s="24">
        <f t="shared" ca="1" si="182"/>
        <v>-1.7155840668088624</v>
      </c>
      <c r="AD977" s="24">
        <f t="shared" ca="1" si="183"/>
        <v>-1.7652919833574408</v>
      </c>
      <c r="AE977" s="24">
        <f t="shared" ca="1" si="184"/>
        <v>-0.87955334712315469</v>
      </c>
      <c r="AF977" s="24"/>
      <c r="AG977">
        <v>972</v>
      </c>
      <c r="AH977">
        <f t="shared" ca="1" si="190"/>
        <v>300.54486710363642</v>
      </c>
      <c r="AI977">
        <f t="shared" ca="1" si="191"/>
        <v>158.34137585971101</v>
      </c>
      <c r="AJ977">
        <f t="shared" ca="1" si="192"/>
        <v>52.208878568165993</v>
      </c>
      <c r="AL977">
        <v>972</v>
      </c>
      <c r="AM977" s="4">
        <f t="shared" ca="1" si="185"/>
        <v>-2.8745912834763354E-2</v>
      </c>
      <c r="AN977" s="4">
        <f t="shared" ca="1" si="186"/>
        <v>-3.6032015372298831E-2</v>
      </c>
      <c r="AO977" s="4">
        <f t="shared" ca="1" si="187"/>
        <v>-1.548406996100804E-2</v>
      </c>
      <c r="AP977" s="4">
        <f t="shared" ca="1" si="188"/>
        <v>-2.768180098765095E-2</v>
      </c>
    </row>
    <row r="978" spans="20:42" x14ac:dyDescent="0.3">
      <c r="T978">
        <v>972</v>
      </c>
      <c r="U978" s="4">
        <v>3.2301449935389082E-2</v>
      </c>
      <c r="V978" s="4"/>
      <c r="W978">
        <v>973</v>
      </c>
      <c r="X978">
        <f t="shared" ca="1" si="189"/>
        <v>-0.76032050872200607</v>
      </c>
      <c r="Y978">
        <f t="shared" ca="1" si="189"/>
        <v>0.22420282226159108</v>
      </c>
      <c r="Z978">
        <f t="shared" ca="1" si="189"/>
        <v>-0.88889173515554176</v>
      </c>
      <c r="AB978">
        <v>973</v>
      </c>
      <c r="AC978" s="24">
        <f t="shared" ca="1" si="182"/>
        <v>-0.76032050872200607</v>
      </c>
      <c r="AD978" s="24">
        <f t="shared" ca="1" si="183"/>
        <v>-0.55113961653323484</v>
      </c>
      <c r="AE978" s="24">
        <f t="shared" ca="1" si="184"/>
        <v>-1.0098299227477094</v>
      </c>
      <c r="AF978" s="24"/>
      <c r="AG978">
        <v>973</v>
      </c>
      <c r="AH978">
        <f t="shared" ca="1" si="190"/>
        <v>305.46673484166053</v>
      </c>
      <c r="AI978">
        <f t="shared" ca="1" si="191"/>
        <v>162.38943469568511</v>
      </c>
      <c r="AJ978">
        <f t="shared" ca="1" si="192"/>
        <v>52.088310353174755</v>
      </c>
      <c r="AL978">
        <v>973</v>
      </c>
      <c r="AM978" s="4">
        <f t="shared" ca="1" si="185"/>
        <v>-1.2840187333238662E-2</v>
      </c>
      <c r="AN978" s="4">
        <f t="shared" ca="1" si="186"/>
        <v>-1.1387799060665671E-2</v>
      </c>
      <c r="AO978" s="4">
        <f t="shared" ca="1" si="187"/>
        <v>-1.7757655059378985E-2</v>
      </c>
      <c r="AP978" s="4">
        <f t="shared" ca="1" si="188"/>
        <v>-1.3734472342051562E-2</v>
      </c>
    </row>
    <row r="979" spans="20:42" x14ac:dyDescent="0.3">
      <c r="T979">
        <v>973</v>
      </c>
      <c r="U979" s="4">
        <v>3.2815696505548587E-2</v>
      </c>
      <c r="V979" s="4"/>
      <c r="W979">
        <v>974</v>
      </c>
      <c r="X979">
        <f t="shared" ca="1" si="189"/>
        <v>4.8786784408711399E-3</v>
      </c>
      <c r="Y979">
        <f t="shared" ca="1" si="189"/>
        <v>0.98238978990958037</v>
      </c>
      <c r="Z979">
        <f t="shared" ca="1" si="189"/>
        <v>0.73469978528082558</v>
      </c>
      <c r="AB979">
        <v>974</v>
      </c>
      <c r="AC979" s="24">
        <f t="shared" ca="1" si="182"/>
        <v>4.8786784408711399E-3</v>
      </c>
      <c r="AD979" s="24">
        <f t="shared" ca="1" si="183"/>
        <v>0.48830774271897792</v>
      </c>
      <c r="AE979" s="24">
        <f t="shared" ca="1" si="184"/>
        <v>0.64803900950283932</v>
      </c>
      <c r="AF979" s="24"/>
      <c r="AG979">
        <v>974</v>
      </c>
      <c r="AH979">
        <f t="shared" ca="1" si="190"/>
        <v>309.46740101263805</v>
      </c>
      <c r="AI979">
        <f t="shared" ca="1" si="191"/>
        <v>165.93714083849272</v>
      </c>
      <c r="AJ979">
        <f t="shared" ca="1" si="192"/>
        <v>53.643628170410778</v>
      </c>
      <c r="AL979">
        <v>974</v>
      </c>
      <c r="AM979" s="4">
        <f t="shared" ca="1" si="185"/>
        <v>8.8542434772076462E-5</v>
      </c>
      <c r="AN979" s="4">
        <f t="shared" ca="1" si="186"/>
        <v>1.0210315279098214E-2</v>
      </c>
      <c r="AO979" s="4">
        <f t="shared" ca="1" si="187"/>
        <v>1.1571363478015906E-2</v>
      </c>
      <c r="AP979" s="4">
        <f t="shared" ca="1" si="188"/>
        <v>7.5820978854756801E-3</v>
      </c>
    </row>
    <row r="980" spans="20:42" x14ac:dyDescent="0.3">
      <c r="T980">
        <v>974</v>
      </c>
      <c r="U980" s="4">
        <v>3.3021388659961466E-2</v>
      </c>
      <c r="V980" s="4"/>
      <c r="W980">
        <v>975</v>
      </c>
      <c r="X980">
        <f t="shared" ca="1" si="189"/>
        <v>-0.21712043317240362</v>
      </c>
      <c r="Y980">
        <f t="shared" ca="1" si="189"/>
        <v>-4.390734607579304E-3</v>
      </c>
      <c r="Z980">
        <f t="shared" ca="1" si="189"/>
        <v>1.2346951604470684</v>
      </c>
      <c r="AB980">
        <v>975</v>
      </c>
      <c r="AC980" s="24">
        <f t="shared" ca="1" si="182"/>
        <v>-0.21712043317240362</v>
      </c>
      <c r="AD980" s="24">
        <f t="shared" ca="1" si="183"/>
        <v>-0.19109664607030666</v>
      </c>
      <c r="AE980" s="24">
        <f t="shared" ca="1" si="184"/>
        <v>0.44819535120518222</v>
      </c>
      <c r="AF980" s="24"/>
      <c r="AG980">
        <v>975</v>
      </c>
      <c r="AH980">
        <f t="shared" ca="1" si="190"/>
        <v>308.3013648840481</v>
      </c>
      <c r="AI980">
        <f t="shared" ca="1" si="191"/>
        <v>163.60961679788971</v>
      </c>
      <c r="AJ980">
        <f t="shared" ca="1" si="192"/>
        <v>53.453711675355017</v>
      </c>
      <c r="AL980">
        <v>975</v>
      </c>
      <c r="AM980" s="4">
        <f t="shared" ca="1" si="185"/>
        <v>-3.6796714981074397E-3</v>
      </c>
      <c r="AN980" s="4">
        <f t="shared" ca="1" si="186"/>
        <v>-3.9594407079943661E-3</v>
      </c>
      <c r="AO980" s="4">
        <f t="shared" ca="1" si="187"/>
        <v>7.9900604527949337E-3</v>
      </c>
      <c r="AP980" s="4">
        <f t="shared" ca="1" si="188"/>
        <v>-2.9065959679149857E-4</v>
      </c>
    </row>
    <row r="981" spans="20:42" x14ac:dyDescent="0.3">
      <c r="T981">
        <v>975</v>
      </c>
      <c r="U981" s="4">
        <v>3.3072918082229785E-2</v>
      </c>
      <c r="V981" s="4"/>
      <c r="W981">
        <v>976</v>
      </c>
      <c r="X981">
        <f t="shared" ca="1" si="189"/>
        <v>1.42738416759291</v>
      </c>
      <c r="Y981">
        <f t="shared" ca="1" si="189"/>
        <v>2.7738989198042967</v>
      </c>
      <c r="Z981">
        <f t="shared" ca="1" si="189"/>
        <v>-0.33687434684147505</v>
      </c>
      <c r="AB981">
        <v>976</v>
      </c>
      <c r="AC981" s="24">
        <f t="shared" ca="1" si="182"/>
        <v>1.42738416759291</v>
      </c>
      <c r="AD981" s="24">
        <f t="shared" ca="1" si="183"/>
        <v>2.6088866066266725</v>
      </c>
      <c r="AE981" s="24">
        <f t="shared" ca="1" si="184"/>
        <v>1.7598257482795248</v>
      </c>
      <c r="AF981" s="24"/>
      <c r="AG981">
        <v>976</v>
      </c>
      <c r="AH981">
        <f t="shared" ca="1" si="190"/>
        <v>317.04440250161718</v>
      </c>
      <c r="AI981">
        <f t="shared" ca="1" si="191"/>
        <v>173.41699685399695</v>
      </c>
      <c r="AJ981">
        <f t="shared" ca="1" si="192"/>
        <v>54.712572918706023</v>
      </c>
      <c r="AL981">
        <v>976</v>
      </c>
      <c r="AM981" s="4">
        <f t="shared" ca="1" si="185"/>
        <v>2.4574715615997667E-2</v>
      </c>
      <c r="AN981" s="4">
        <f t="shared" ca="1" si="186"/>
        <v>5.5747002638435683E-2</v>
      </c>
      <c r="AO981" s="4">
        <f t="shared" ca="1" si="187"/>
        <v>3.172872295192497E-2</v>
      </c>
      <c r="AP981" s="4">
        <f t="shared" ca="1" si="188"/>
        <v>3.918983262575107E-2</v>
      </c>
    </row>
    <row r="982" spans="20:42" x14ac:dyDescent="0.3">
      <c r="T982">
        <v>976</v>
      </c>
      <c r="U982" s="4">
        <v>3.3393081969751902E-2</v>
      </c>
      <c r="V982" s="4"/>
      <c r="W982">
        <v>977</v>
      </c>
      <c r="X982">
        <f t="shared" ca="1" si="189"/>
        <v>-0.48199855455804042</v>
      </c>
      <c r="Y982">
        <f t="shared" ca="1" si="189"/>
        <v>-0.72005973268471479</v>
      </c>
      <c r="Z982">
        <f t="shared" ca="1" si="189"/>
        <v>0.20396205213475763</v>
      </c>
      <c r="AB982">
        <v>977</v>
      </c>
      <c r="AC982" s="24">
        <f t="shared" ca="1" si="182"/>
        <v>-0.48199855455804042</v>
      </c>
      <c r="AD982" s="24">
        <f t="shared" ca="1" si="183"/>
        <v>-0.77422594641194176</v>
      </c>
      <c r="AE982" s="24">
        <f t="shared" ca="1" si="184"/>
        <v>-0.48867631513113341</v>
      </c>
      <c r="AF982" s="24"/>
      <c r="AG982">
        <v>977</v>
      </c>
      <c r="AH982">
        <f t="shared" ca="1" si="190"/>
        <v>306.9158564414227</v>
      </c>
      <c r="AI982">
        <f t="shared" ca="1" si="191"/>
        <v>161.6379676757401</v>
      </c>
      <c r="AJ982">
        <f t="shared" ca="1" si="192"/>
        <v>52.572304401342038</v>
      </c>
      <c r="AL982">
        <v>977</v>
      </c>
      <c r="AM982" s="4">
        <f t="shared" ca="1" si="185"/>
        <v>-8.1571418694041942E-3</v>
      </c>
      <c r="AN982" s="4">
        <f t="shared" ca="1" si="186"/>
        <v>-1.5962662357119406E-2</v>
      </c>
      <c r="AO982" s="4">
        <f t="shared" ca="1" si="187"/>
        <v>-8.6308577878648762E-3</v>
      </c>
      <c r="AP982" s="4">
        <f t="shared" ca="1" si="188"/>
        <v>-1.1421464840028484E-2</v>
      </c>
    </row>
    <row r="983" spans="20:42" x14ac:dyDescent="0.3">
      <c r="T983">
        <v>977</v>
      </c>
      <c r="U983" s="4">
        <v>3.3637539248050088E-2</v>
      </c>
      <c r="V983" s="4"/>
      <c r="W983">
        <v>978</v>
      </c>
      <c r="X983">
        <f t="shared" ca="1" si="189"/>
        <v>-0.73237037333894994</v>
      </c>
      <c r="Y983">
        <f t="shared" ca="1" si="189"/>
        <v>2.5253412871413707</v>
      </c>
      <c r="Z983">
        <f t="shared" ca="1" si="189"/>
        <v>-1.297870948429894</v>
      </c>
      <c r="AB983">
        <v>978</v>
      </c>
      <c r="AC983" s="24">
        <f t="shared" ca="1" si="182"/>
        <v>-0.73237037333894994</v>
      </c>
      <c r="AD983" s="24">
        <f t="shared" ca="1" si="183"/>
        <v>0.60704417128257582</v>
      </c>
      <c r="AE983" s="24">
        <f t="shared" ca="1" si="184"/>
        <v>-0.55935808041203139</v>
      </c>
      <c r="AF983" s="24"/>
      <c r="AG983">
        <v>978</v>
      </c>
      <c r="AH983">
        <f t="shared" ca="1" si="190"/>
        <v>305.61195148145464</v>
      </c>
      <c r="AI983">
        <f t="shared" ca="1" si="191"/>
        <v>166.34729750033219</v>
      </c>
      <c r="AJ983">
        <f t="shared" ca="1" si="192"/>
        <v>52.506399741030584</v>
      </c>
      <c r="AL983">
        <v>978</v>
      </c>
      <c r="AM983" s="4">
        <f t="shared" ca="1" si="185"/>
        <v>-1.2370898816407072E-2</v>
      </c>
      <c r="AN983" s="4">
        <f t="shared" ca="1" si="186"/>
        <v>1.2707311964571755E-2</v>
      </c>
      <c r="AO983" s="4">
        <f t="shared" ca="1" si="187"/>
        <v>-9.873638512521099E-3</v>
      </c>
      <c r="AP983" s="4">
        <f t="shared" ca="1" si="188"/>
        <v>-1.5904364128497485E-3</v>
      </c>
    </row>
    <row r="984" spans="20:42" x14ac:dyDescent="0.3">
      <c r="T984">
        <v>978</v>
      </c>
      <c r="U984" s="4">
        <v>3.3744513364299018E-2</v>
      </c>
      <c r="V984" s="4"/>
      <c r="W984">
        <v>979</v>
      </c>
      <c r="X984">
        <f t="shared" ca="1" si="189"/>
        <v>1.0317705079387944</v>
      </c>
      <c r="Y984">
        <f t="shared" ca="1" si="189"/>
        <v>0.70550550192717232</v>
      </c>
      <c r="Z984">
        <f t="shared" ca="1" si="189"/>
        <v>-1.033043315376611</v>
      </c>
      <c r="AB984">
        <v>979</v>
      </c>
      <c r="AC984" s="24">
        <f t="shared" ca="1" si="182"/>
        <v>1.0317705079387944</v>
      </c>
      <c r="AD984" s="24">
        <f t="shared" ca="1" si="183"/>
        <v>1.2454532812057824</v>
      </c>
      <c r="AE984" s="24">
        <f t="shared" ca="1" si="184"/>
        <v>0.51262571499160048</v>
      </c>
      <c r="AF984" s="24"/>
      <c r="AG984">
        <v>979</v>
      </c>
      <c r="AH984">
        <f t="shared" ca="1" si="190"/>
        <v>314.91872820206481</v>
      </c>
      <c r="AI984">
        <f t="shared" ca="1" si="191"/>
        <v>168.57002548012622</v>
      </c>
      <c r="AJ984">
        <f t="shared" ca="1" si="192"/>
        <v>53.514867926038164</v>
      </c>
      <c r="AL984">
        <v>979</v>
      </c>
      <c r="AM984" s="4">
        <f t="shared" ca="1" si="185"/>
        <v>1.7705292520142857E-2</v>
      </c>
      <c r="AN984" s="4">
        <f t="shared" ca="1" si="186"/>
        <v>2.6239079005398791E-2</v>
      </c>
      <c r="AO984" s="4">
        <f t="shared" ca="1" si="187"/>
        <v>9.1432992250164435E-3</v>
      </c>
      <c r="AP984" s="4">
        <f t="shared" ca="1" si="188"/>
        <v>1.8550209125707307E-2</v>
      </c>
    </row>
    <row r="985" spans="20:42" x14ac:dyDescent="0.3">
      <c r="T985">
        <v>979</v>
      </c>
      <c r="U985" s="4">
        <v>3.3776505001005305E-2</v>
      </c>
      <c r="V985" s="4"/>
      <c r="W985">
        <v>980</v>
      </c>
      <c r="X985">
        <f t="shared" ca="1" si="189"/>
        <v>-0.66643071323721836</v>
      </c>
      <c r="Y985">
        <f t="shared" ca="1" si="189"/>
        <v>-0.80339039765097009</v>
      </c>
      <c r="Z985">
        <f t="shared" ca="1" si="189"/>
        <v>0.80136172065154776</v>
      </c>
      <c r="AB985">
        <v>980</v>
      </c>
      <c r="AC985" s="24">
        <f t="shared" ca="1" si="182"/>
        <v>-0.66643071323721836</v>
      </c>
      <c r="AD985" s="24">
        <f t="shared" ca="1" si="183"/>
        <v>-0.97577485138975606</v>
      </c>
      <c r="AE985" s="24">
        <f t="shared" ca="1" si="184"/>
        <v>-0.35902835506994746</v>
      </c>
      <c r="AF985" s="24"/>
      <c r="AG985">
        <v>980</v>
      </c>
      <c r="AH985">
        <f t="shared" ca="1" si="190"/>
        <v>305.9548186315958</v>
      </c>
      <c r="AI985">
        <f t="shared" ca="1" si="191"/>
        <v>160.96204006554342</v>
      </c>
      <c r="AJ985">
        <f t="shared" ca="1" si="192"/>
        <v>52.693405059947651</v>
      </c>
      <c r="AL985">
        <v>980</v>
      </c>
      <c r="AM985" s="4">
        <f t="shared" ca="1" si="185"/>
        <v>-1.126287416724725E-2</v>
      </c>
      <c r="AN985" s="4">
        <f t="shared" ca="1" si="186"/>
        <v>-2.0077648554617133E-2</v>
      </c>
      <c r="AO985" s="4">
        <f t="shared" ca="1" si="187"/>
        <v>-6.3472322665893977E-3</v>
      </c>
      <c r="AP985" s="4">
        <f t="shared" ca="1" si="188"/>
        <v>-1.3314091351997848E-2</v>
      </c>
    </row>
    <row r="986" spans="20:42" x14ac:dyDescent="0.3">
      <c r="T986">
        <v>980</v>
      </c>
      <c r="U986" s="4">
        <v>3.5551409403085009E-2</v>
      </c>
      <c r="V986" s="4"/>
      <c r="W986">
        <v>981</v>
      </c>
      <c r="X986">
        <f t="shared" ca="1" si="189"/>
        <v>-0.23877995620265563</v>
      </c>
      <c r="Y986">
        <f t="shared" ca="1" si="189"/>
        <v>-0.89563580432241652</v>
      </c>
      <c r="Z986">
        <f t="shared" ca="1" si="189"/>
        <v>-0.86534222810624795</v>
      </c>
      <c r="AB986">
        <v>981</v>
      </c>
      <c r="AC986" s="24">
        <f t="shared" ca="1" si="182"/>
        <v>-0.23877995620265563</v>
      </c>
      <c r="AD986" s="24">
        <f t="shared" ca="1" si="183"/>
        <v>-0.64909606970293765</v>
      </c>
      <c r="AE986" s="24">
        <f t="shared" ca="1" si="184"/>
        <v>-0.88131043548508514</v>
      </c>
      <c r="AF986" s="24"/>
      <c r="AG986">
        <v>981</v>
      </c>
      <c r="AH986">
        <f t="shared" ca="1" si="190"/>
        <v>308.18783513029297</v>
      </c>
      <c r="AI986">
        <f t="shared" ca="1" si="191"/>
        <v>162.0590388007866</v>
      </c>
      <c r="AJ986">
        <f t="shared" ca="1" si="192"/>
        <v>52.207250564875181</v>
      </c>
      <c r="AL986">
        <v>981</v>
      </c>
      <c r="AM986" s="4">
        <f t="shared" ca="1" si="185"/>
        <v>-4.0465592723427646E-3</v>
      </c>
      <c r="AN986" s="4">
        <f t="shared" ca="1" si="186"/>
        <v>-1.3399219406139862E-2</v>
      </c>
      <c r="AO986" s="4">
        <f t="shared" ca="1" si="187"/>
        <v>-1.5514769627768099E-2</v>
      </c>
      <c r="AP986" s="4">
        <f t="shared" ca="1" si="188"/>
        <v>-1.1228086432489202E-2</v>
      </c>
    </row>
    <row r="987" spans="20:42" x14ac:dyDescent="0.3">
      <c r="T987">
        <v>981</v>
      </c>
      <c r="U987" s="4">
        <v>3.5768971474126672E-2</v>
      </c>
      <c r="V987" s="4"/>
      <c r="W987">
        <v>982</v>
      </c>
      <c r="X987">
        <f t="shared" ca="1" si="189"/>
        <v>0.20633379496656332</v>
      </c>
      <c r="Y987">
        <f t="shared" ca="1" si="189"/>
        <v>-0.58005660507464907</v>
      </c>
      <c r="Z987">
        <f t="shared" ca="1" si="189"/>
        <v>2.3388877506552599</v>
      </c>
      <c r="AB987">
        <v>982</v>
      </c>
      <c r="AC987" s="24">
        <f t="shared" ca="1" si="182"/>
        <v>0.20633379496656332</v>
      </c>
      <c r="AD987" s="24">
        <f t="shared" ca="1" si="183"/>
        <v>-0.10627003065959092</v>
      </c>
      <c r="AE987" s="24">
        <f t="shared" ca="1" si="184"/>
        <v>1.1953143037407212</v>
      </c>
      <c r="AF987" s="24"/>
      <c r="AG987">
        <v>982</v>
      </c>
      <c r="AH987">
        <f t="shared" ca="1" si="190"/>
        <v>310.52934748966715</v>
      </c>
      <c r="AI987">
        <f t="shared" ca="1" si="191"/>
        <v>163.89842531792772</v>
      </c>
      <c r="AJ987">
        <f t="shared" ca="1" si="192"/>
        <v>54.167178953604171</v>
      </c>
      <c r="AL987">
        <v>982</v>
      </c>
      <c r="AM987" s="4">
        <f t="shared" ca="1" si="185"/>
        <v>3.5203756452508728E-3</v>
      </c>
      <c r="AN987" s="4">
        <f t="shared" ca="1" si="186"/>
        <v>-2.2012005418168279E-3</v>
      </c>
      <c r="AO987" s="4">
        <f t="shared" ca="1" si="187"/>
        <v>2.1444092032514517E-2</v>
      </c>
      <c r="AP987" s="4">
        <f t="shared" ca="1" si="188"/>
        <v>6.6088600866028857E-3</v>
      </c>
    </row>
    <row r="988" spans="20:42" x14ac:dyDescent="0.3">
      <c r="T988">
        <v>982</v>
      </c>
      <c r="U988" s="4">
        <v>3.6561545046023401E-2</v>
      </c>
      <c r="V988" s="4"/>
      <c r="W988">
        <v>983</v>
      </c>
      <c r="X988">
        <f t="shared" ca="1" si="189"/>
        <v>0.18027041216203207</v>
      </c>
      <c r="Y988">
        <f t="shared" ca="1" si="189"/>
        <v>-1.5448298601038805E-2</v>
      </c>
      <c r="Z988">
        <f t="shared" ca="1" si="189"/>
        <v>0.17851851145089259</v>
      </c>
      <c r="AB988">
        <v>983</v>
      </c>
      <c r="AC988" s="24">
        <f t="shared" ca="1" si="182"/>
        <v>0.18027041216203207</v>
      </c>
      <c r="AD988" s="24">
        <f t="shared" ca="1" si="183"/>
        <v>0.14925513500742954</v>
      </c>
      <c r="AE988" s="24">
        <f t="shared" ca="1" si="184"/>
        <v>0.23347801310037175</v>
      </c>
      <c r="AF988" s="24"/>
      <c r="AG988">
        <v>983</v>
      </c>
      <c r="AH988">
        <f t="shared" ca="1" si="190"/>
        <v>310.39175252750113</v>
      </c>
      <c r="AI988">
        <f t="shared" ca="1" si="191"/>
        <v>164.77149442579102</v>
      </c>
      <c r="AJ988">
        <f t="shared" ca="1" si="192"/>
        <v>53.250409573063877</v>
      </c>
      <c r="AL988">
        <v>983</v>
      </c>
      <c r="AM988" s="4">
        <f t="shared" ca="1" si="185"/>
        <v>3.0757176789879548E-3</v>
      </c>
      <c r="AN988" s="4">
        <f t="shared" ca="1" si="186"/>
        <v>3.1139652749394564E-3</v>
      </c>
      <c r="AO988" s="4">
        <f t="shared" ca="1" si="187"/>
        <v>4.1563416715206802E-3</v>
      </c>
      <c r="AP988" s="4">
        <f t="shared" ca="1" si="188"/>
        <v>3.4152039151283732E-3</v>
      </c>
    </row>
    <row r="989" spans="20:42" x14ac:dyDescent="0.3">
      <c r="T989">
        <v>983</v>
      </c>
      <c r="U989" s="4">
        <v>3.7055625186515305E-2</v>
      </c>
      <c r="V989" s="4"/>
      <c r="W989">
        <v>984</v>
      </c>
      <c r="X989">
        <f t="shared" ca="1" si="189"/>
        <v>0.40895036578349092</v>
      </c>
      <c r="Y989">
        <f t="shared" ca="1" si="189"/>
        <v>-1.6586809511376973E-3</v>
      </c>
      <c r="Z989">
        <f t="shared" ca="1" si="189"/>
        <v>-0.56752274992484331</v>
      </c>
      <c r="AB989">
        <v>984</v>
      </c>
      <c r="AC989" s="24">
        <f t="shared" ca="1" si="182"/>
        <v>0.40895036578349092</v>
      </c>
      <c r="AD989" s="24">
        <f t="shared" ca="1" si="183"/>
        <v>0.35504180984374678</v>
      </c>
      <c r="AE989" s="24">
        <f t="shared" ca="1" si="184"/>
        <v>4.5311809301677108E-2</v>
      </c>
      <c r="AF989" s="24"/>
      <c r="AG989">
        <v>984</v>
      </c>
      <c r="AH989">
        <f t="shared" ca="1" si="190"/>
        <v>311.60109213309596</v>
      </c>
      <c r="AI989">
        <f t="shared" ca="1" si="191"/>
        <v>165.47799863359228</v>
      </c>
      <c r="AJ989">
        <f t="shared" ca="1" si="192"/>
        <v>53.072882855434983</v>
      </c>
      <c r="AL989">
        <v>984</v>
      </c>
      <c r="AM989" s="4">
        <f t="shared" ca="1" si="185"/>
        <v>6.9838730436901919E-3</v>
      </c>
      <c r="AN989" s="4">
        <f t="shared" ca="1" si="186"/>
        <v>7.4150990350032586E-3</v>
      </c>
      <c r="AO989" s="4">
        <f t="shared" ca="1" si="187"/>
        <v>8.0867578965371223E-4</v>
      </c>
      <c r="AP989" s="4">
        <f t="shared" ca="1" si="188"/>
        <v>5.3038042640044742E-3</v>
      </c>
    </row>
    <row r="990" spans="20:42" x14ac:dyDescent="0.3">
      <c r="T990">
        <v>984</v>
      </c>
      <c r="U990" s="4">
        <v>3.7319813425758228E-2</v>
      </c>
      <c r="V990" s="4"/>
      <c r="W990">
        <v>985</v>
      </c>
      <c r="X990">
        <f t="shared" ca="1" si="189"/>
        <v>-0.95818050343891426</v>
      </c>
      <c r="Y990">
        <f t="shared" ca="1" si="189"/>
        <v>-0.16141087112110497</v>
      </c>
      <c r="Z990">
        <f t="shared" ca="1" si="189"/>
        <v>2.1197580945109422</v>
      </c>
      <c r="AB990">
        <v>985</v>
      </c>
      <c r="AC990" s="24">
        <f t="shared" ca="1" si="182"/>
        <v>-0.95818050343891426</v>
      </c>
      <c r="AD990" s="24">
        <f t="shared" ca="1" si="183"/>
        <v>-0.91331995497747576</v>
      </c>
      <c r="AE990" s="24">
        <f t="shared" ca="1" si="184"/>
        <v>0.24916049477134727</v>
      </c>
      <c r="AF990" s="24"/>
      <c r="AG990">
        <v>985</v>
      </c>
      <c r="AH990">
        <f t="shared" ca="1" si="190"/>
        <v>304.44071240212111</v>
      </c>
      <c r="AI990">
        <f t="shared" ca="1" si="191"/>
        <v>161.17119011168816</v>
      </c>
      <c r="AJ990">
        <f t="shared" ca="1" si="192"/>
        <v>53.265232100431021</v>
      </c>
      <c r="AL990">
        <v>985</v>
      </c>
      <c r="AM990" s="4">
        <f t="shared" ca="1" si="185"/>
        <v>-1.6155926835062506E-2</v>
      </c>
      <c r="AN990" s="4">
        <f t="shared" ca="1" si="186"/>
        <v>-1.8804361977610484E-2</v>
      </c>
      <c r="AO990" s="4">
        <f t="shared" ca="1" si="187"/>
        <v>4.4358537912330132E-3</v>
      </c>
      <c r="AP990" s="4">
        <f t="shared" ca="1" si="188"/>
        <v>-1.1037766704193042E-2</v>
      </c>
    </row>
    <row r="991" spans="20:42" x14ac:dyDescent="0.3">
      <c r="T991">
        <v>985</v>
      </c>
      <c r="U991" s="4">
        <v>3.7538869248661677E-2</v>
      </c>
      <c r="V991" s="4"/>
      <c r="W991">
        <v>986</v>
      </c>
      <c r="X991">
        <f t="shared" ca="1" si="189"/>
        <v>0.62253889977946197</v>
      </c>
      <c r="Y991">
        <f t="shared" ca="1" si="189"/>
        <v>0.43223280800437036</v>
      </c>
      <c r="Z991">
        <f t="shared" ca="1" si="189"/>
        <v>-0.46680189491723628</v>
      </c>
      <c r="AB991">
        <v>986</v>
      </c>
      <c r="AC991" s="24">
        <f t="shared" ca="1" si="182"/>
        <v>0.62253889977946197</v>
      </c>
      <c r="AD991" s="24">
        <f t="shared" ca="1" si="183"/>
        <v>0.75469714328103588</v>
      </c>
      <c r="AE991" s="24">
        <f t="shared" ca="1" si="184"/>
        <v>0.39054017864252244</v>
      </c>
      <c r="AF991" s="24"/>
      <c r="AG991">
        <v>986</v>
      </c>
      <c r="AH991">
        <f t="shared" ca="1" si="190"/>
        <v>312.73487829971162</v>
      </c>
      <c r="AI991">
        <f t="shared" ca="1" si="191"/>
        <v>166.85875640138676</v>
      </c>
      <c r="AJ991">
        <f t="shared" ca="1" si="192"/>
        <v>53.399045579471569</v>
      </c>
      <c r="AL991">
        <v>986</v>
      </c>
      <c r="AM991" s="4">
        <f t="shared" ca="1" si="185"/>
        <v>1.0647866572873088E-2</v>
      </c>
      <c r="AN991" s="4">
        <f t="shared" ca="1" si="186"/>
        <v>1.5821027526234488E-2</v>
      </c>
      <c r="AO991" s="4">
        <f t="shared" ca="1" si="187"/>
        <v>6.9592081589646693E-3</v>
      </c>
      <c r="AP991" s="4">
        <f t="shared" ca="1" si="188"/>
        <v>1.1610533430045124E-2</v>
      </c>
    </row>
    <row r="992" spans="20:42" x14ac:dyDescent="0.3">
      <c r="T992">
        <v>986</v>
      </c>
      <c r="U992" s="4">
        <v>3.812245758948736E-2</v>
      </c>
      <c r="V992" s="4"/>
      <c r="W992">
        <v>987</v>
      </c>
      <c r="X992">
        <f t="shared" ca="1" si="189"/>
        <v>-2.5897652994602609</v>
      </c>
      <c r="Y992">
        <f t="shared" ca="1" si="189"/>
        <v>-0.77340427997690653</v>
      </c>
      <c r="Z992">
        <f t="shared" ca="1" si="189"/>
        <v>-7.2555009154824601E-2</v>
      </c>
      <c r="AB992">
        <v>987</v>
      </c>
      <c r="AC992" s="24">
        <f t="shared" ca="1" si="182"/>
        <v>-2.5897652994602609</v>
      </c>
      <c r="AD992" s="24">
        <f t="shared" ca="1" si="183"/>
        <v>-2.6346405763159586</v>
      </c>
      <c r="AE992" s="24">
        <f t="shared" ca="1" si="184"/>
        <v>-2.3641544230766471</v>
      </c>
      <c r="AF992" s="24"/>
      <c r="AG992">
        <v>987</v>
      </c>
      <c r="AH992">
        <f t="shared" ca="1" si="190"/>
        <v>296.11028990644411</v>
      </c>
      <c r="AI992">
        <f t="shared" ca="1" si="191"/>
        <v>155.5050551758184</v>
      </c>
      <c r="AJ992">
        <f t="shared" ca="1" si="192"/>
        <v>50.851285642659498</v>
      </c>
      <c r="AL992">
        <v>987</v>
      </c>
      <c r="AM992" s="4">
        <f t="shared" ca="1" si="185"/>
        <v>-4.3076888669188684E-2</v>
      </c>
      <c r="AN992" s="4">
        <f t="shared" ca="1" si="186"/>
        <v>-5.3299279336407768E-2</v>
      </c>
      <c r="AO992" s="4">
        <f t="shared" ca="1" si="187"/>
        <v>-4.1084540576830642E-2</v>
      </c>
      <c r="AP992" s="4">
        <f t="shared" ca="1" si="188"/>
        <v>-4.656814050836891E-2</v>
      </c>
    </row>
    <row r="993" spans="20:42" x14ac:dyDescent="0.3">
      <c r="T993">
        <v>987</v>
      </c>
      <c r="U993" s="4">
        <v>3.849201108125104E-2</v>
      </c>
      <c r="V993" s="4"/>
      <c r="W993">
        <v>988</v>
      </c>
      <c r="X993">
        <f t="shared" ca="1" si="189"/>
        <v>-0.65933297049680639</v>
      </c>
      <c r="Y993">
        <f t="shared" ca="1" si="189"/>
        <v>0.50018244180734694</v>
      </c>
      <c r="Z993">
        <f t="shared" ca="1" si="189"/>
        <v>-0.51058066397244573</v>
      </c>
      <c r="AB993">
        <v>988</v>
      </c>
      <c r="AC993" s="24">
        <f t="shared" ca="1" si="182"/>
        <v>-0.65933297049680639</v>
      </c>
      <c r="AD993" s="24">
        <f t="shared" ca="1" si="183"/>
        <v>-0.32727649762157596</v>
      </c>
      <c r="AE993" s="24">
        <f t="shared" ca="1" si="184"/>
        <v>-0.65921921084647672</v>
      </c>
      <c r="AF993" s="24"/>
      <c r="AG993">
        <v>988</v>
      </c>
      <c r="AH993">
        <f t="shared" ca="1" si="190"/>
        <v>305.9917477632016</v>
      </c>
      <c r="AI993">
        <f t="shared" ca="1" si="191"/>
        <v>163.14703024583028</v>
      </c>
      <c r="AJ993">
        <f t="shared" ca="1" si="192"/>
        <v>52.413428629586967</v>
      </c>
      <c r="AL993">
        <v>988</v>
      </c>
      <c r="AM993" s="4">
        <f t="shared" ca="1" si="185"/>
        <v>-1.1143532351985952E-2</v>
      </c>
      <c r="AN993" s="4">
        <f t="shared" ca="1" si="186"/>
        <v>-6.7756258262775537E-3</v>
      </c>
      <c r="AO993" s="4">
        <f t="shared" ca="1" si="187"/>
        <v>-1.1626818101126202E-2</v>
      </c>
      <c r="AP993" s="4">
        <f t="shared" ca="1" si="188"/>
        <v>-9.541355466444669E-3</v>
      </c>
    </row>
    <row r="994" spans="20:42" x14ac:dyDescent="0.3">
      <c r="T994">
        <v>988</v>
      </c>
      <c r="U994" s="4">
        <v>3.8719659429507655E-2</v>
      </c>
      <c r="V994" s="4"/>
      <c r="W994">
        <v>989</v>
      </c>
      <c r="X994">
        <f t="shared" ca="1" si="189"/>
        <v>6.2251470165484643E-2</v>
      </c>
      <c r="Y994">
        <f t="shared" ca="1" si="189"/>
        <v>0.66942462163025807</v>
      </c>
      <c r="Z994">
        <f t="shared" ca="1" si="189"/>
        <v>0.74900658692414379</v>
      </c>
      <c r="AB994">
        <v>989</v>
      </c>
      <c r="AC994" s="24">
        <f t="shared" ca="1" si="182"/>
        <v>6.2251470165484643E-2</v>
      </c>
      <c r="AD994" s="24">
        <f t="shared" ca="1" si="183"/>
        <v>0.38402185655389048</v>
      </c>
      <c r="AE994" s="24">
        <f t="shared" ca="1" si="184"/>
        <v>0.61573617194550145</v>
      </c>
      <c r="AF994" s="24"/>
      <c r="AG994">
        <v>989</v>
      </c>
      <c r="AH994">
        <f t="shared" ca="1" si="190"/>
        <v>309.76946440210213</v>
      </c>
      <c r="AI994">
        <f t="shared" ca="1" si="191"/>
        <v>165.57773560781098</v>
      </c>
      <c r="AJ994">
        <f t="shared" ca="1" si="192"/>
        <v>53.612884308550079</v>
      </c>
      <c r="AL994">
        <v>989</v>
      </c>
      <c r="AM994" s="4">
        <f t="shared" ca="1" si="185"/>
        <v>1.0647038459692393E-3</v>
      </c>
      <c r="AN994" s="4">
        <f t="shared" ca="1" si="186"/>
        <v>8.0222887193701631E-3</v>
      </c>
      <c r="AO994" s="4">
        <f t="shared" ca="1" si="187"/>
        <v>1.099161875675625E-2</v>
      </c>
      <c r="AP994" s="4">
        <f t="shared" ca="1" si="188"/>
        <v>6.8258122685657119E-3</v>
      </c>
    </row>
    <row r="995" spans="20:42" x14ac:dyDescent="0.3">
      <c r="T995">
        <v>989</v>
      </c>
      <c r="U995" s="4">
        <v>3.8754679692536563E-2</v>
      </c>
      <c r="V995" s="4"/>
      <c r="W995">
        <v>990</v>
      </c>
      <c r="X995">
        <f t="shared" ca="1" si="189"/>
        <v>7.7394831762922431E-2</v>
      </c>
      <c r="Y995">
        <f t="shared" ca="1" si="189"/>
        <v>-1.1528511888503565</v>
      </c>
      <c r="Z995">
        <f t="shared" ca="1" si="189"/>
        <v>0.72483427446587712</v>
      </c>
      <c r="AB995">
        <v>990</v>
      </c>
      <c r="AC995" s="24">
        <f t="shared" ca="1" si="182"/>
        <v>7.7394831762922431E-2</v>
      </c>
      <c r="AD995" s="24">
        <f t="shared" ca="1" si="183"/>
        <v>-0.50070834053482194</v>
      </c>
      <c r="AE995" s="24">
        <f t="shared" ca="1" si="184"/>
        <v>0.11279570140499151</v>
      </c>
      <c r="AF995" s="24"/>
      <c r="AG995">
        <v>990</v>
      </c>
      <c r="AH995">
        <f t="shared" ca="1" si="190"/>
        <v>309.84924221949268</v>
      </c>
      <c r="AI995">
        <f t="shared" ca="1" si="191"/>
        <v>162.55979618819069</v>
      </c>
      <c r="AJ995">
        <f t="shared" ca="1" si="192"/>
        <v>53.136482834492604</v>
      </c>
      <c r="AL995">
        <v>990</v>
      </c>
      <c r="AM995" s="4">
        <f t="shared" ca="1" si="185"/>
        <v>1.3225173696285175E-3</v>
      </c>
      <c r="AN995" s="4">
        <f t="shared" ca="1" si="186"/>
        <v>-1.0350653692330236E-2</v>
      </c>
      <c r="AO995" s="4">
        <f t="shared" ca="1" si="187"/>
        <v>2.007996561323333E-3</v>
      </c>
      <c r="AP995" s="4">
        <f t="shared" ca="1" si="188"/>
        <v>-3.1411072976465395E-3</v>
      </c>
    </row>
    <row r="996" spans="20:42" x14ac:dyDescent="0.3">
      <c r="T996">
        <v>990</v>
      </c>
      <c r="U996" s="4">
        <v>3.8943894755805106E-2</v>
      </c>
      <c r="V996" s="4"/>
      <c r="W996">
        <v>991</v>
      </c>
      <c r="X996">
        <f t="shared" ca="1" si="189"/>
        <v>0.38783034955413753</v>
      </c>
      <c r="Y996">
        <f t="shared" ca="1" si="189"/>
        <v>-0.62373127090940961</v>
      </c>
      <c r="Z996">
        <f t="shared" ca="1" si="189"/>
        <v>0.98152380809490813</v>
      </c>
      <c r="AB996">
        <v>991</v>
      </c>
      <c r="AC996" s="24">
        <f t="shared" ca="1" si="182"/>
        <v>0.38783034955413753</v>
      </c>
      <c r="AD996" s="24">
        <f t="shared" ca="1" si="183"/>
        <v>3.0143813861365665E-2</v>
      </c>
      <c r="AE996" s="24">
        <f t="shared" ca="1" si="184"/>
        <v>0.64251718702794114</v>
      </c>
      <c r="AF996" s="24"/>
      <c r="AG996">
        <v>991</v>
      </c>
      <c r="AH996">
        <f t="shared" ca="1" si="190"/>
        <v>311.48920489062084</v>
      </c>
      <c r="AI996">
        <f t="shared" ca="1" si="191"/>
        <v>164.36394201271696</v>
      </c>
      <c r="AJ996">
        <f t="shared" ca="1" si="192"/>
        <v>53.638371589095094</v>
      </c>
      <c r="AL996">
        <v>991</v>
      </c>
      <c r="AM996" s="4">
        <f t="shared" ca="1" si="185"/>
        <v>6.6222932815638291E-3</v>
      </c>
      <c r="AN996" s="4">
        <f t="shared" ca="1" si="186"/>
        <v>6.3282302056588691E-4</v>
      </c>
      <c r="AO996" s="4">
        <f t="shared" ca="1" si="187"/>
        <v>1.1472238804497437E-2</v>
      </c>
      <c r="AP996" s="4">
        <f t="shared" ca="1" si="188"/>
        <v>5.6814888340447345E-3</v>
      </c>
    </row>
    <row r="997" spans="20:42" x14ac:dyDescent="0.3">
      <c r="T997">
        <v>991</v>
      </c>
      <c r="U997" s="4">
        <v>4.0866875710293127E-2</v>
      </c>
      <c r="V997" s="4"/>
      <c r="W997">
        <v>992</v>
      </c>
      <c r="X997">
        <f t="shared" ca="1" si="189"/>
        <v>-0.36035873854123102</v>
      </c>
      <c r="Y997">
        <f t="shared" ca="1" si="189"/>
        <v>0.50069472748290955</v>
      </c>
      <c r="Z997">
        <f t="shared" ca="1" si="189"/>
        <v>-1.7390807178092511</v>
      </c>
      <c r="AB997">
        <v>992</v>
      </c>
      <c r="AC997" s="24">
        <f t="shared" ca="1" si="182"/>
        <v>-0.36035873854123102</v>
      </c>
      <c r="AD997" s="24">
        <f t="shared" ca="1" si="183"/>
        <v>-6.6863643121949645E-2</v>
      </c>
      <c r="AE997" s="24">
        <f t="shared" ca="1" si="184"/>
        <v>-1.0385298129455538</v>
      </c>
      <c r="AF997" s="24"/>
      <c r="AG997">
        <v>992</v>
      </c>
      <c r="AH997">
        <f t="shared" ca="1" si="190"/>
        <v>307.55134779713973</v>
      </c>
      <c r="AI997">
        <f t="shared" ca="1" si="191"/>
        <v>164.03276531406914</v>
      </c>
      <c r="AJ997">
        <f t="shared" ca="1" si="192"/>
        <v>52.061786660226346</v>
      </c>
      <c r="AL997">
        <v>992</v>
      </c>
      <c r="AM997" s="4">
        <f t="shared" ca="1" si="185"/>
        <v>-6.1034598932434569E-3</v>
      </c>
      <c r="AN997" s="4">
        <f t="shared" ca="1" si="186"/>
        <v>-1.3833507875613549E-3</v>
      </c>
      <c r="AO997" s="4">
        <f t="shared" ca="1" si="187"/>
        <v>-1.8257818995998987E-2</v>
      </c>
      <c r="AP997" s="4">
        <f t="shared" ca="1" si="188"/>
        <v>-7.8617239817972747E-3</v>
      </c>
    </row>
    <row r="998" spans="20:42" x14ac:dyDescent="0.3">
      <c r="T998">
        <v>992</v>
      </c>
      <c r="U998" s="4">
        <v>4.198020584888984E-2</v>
      </c>
      <c r="V998" s="4"/>
      <c r="W998">
        <v>993</v>
      </c>
      <c r="X998">
        <f t="shared" ca="1" si="189"/>
        <v>8.4852175987063863E-2</v>
      </c>
      <c r="Y998">
        <f t="shared" ca="1" si="189"/>
        <v>-0.62972303830398213</v>
      </c>
      <c r="Z998">
        <f t="shared" ca="1" si="189"/>
        <v>2.5247264438933792</v>
      </c>
      <c r="AB998">
        <v>993</v>
      </c>
      <c r="AC998" s="24">
        <f t="shared" ca="1" si="182"/>
        <v>8.4852175987063863E-2</v>
      </c>
      <c r="AD998" s="24">
        <f t="shared" ca="1" si="183"/>
        <v>-0.236453135676154</v>
      </c>
      <c r="AE998" s="24">
        <f t="shared" ca="1" si="184"/>
        <v>1.1767635093849362</v>
      </c>
      <c r="AF998" s="24"/>
      <c r="AG998">
        <v>993</v>
      </c>
      <c r="AH998">
        <f t="shared" ca="1" si="190"/>
        <v>309.88853633342035</v>
      </c>
      <c r="AI998">
        <f t="shared" ca="1" si="191"/>
        <v>163.45540077334854</v>
      </c>
      <c r="AJ998">
        <f t="shared" ca="1" si="192"/>
        <v>54.149348954373089</v>
      </c>
      <c r="AL998">
        <v>993</v>
      </c>
      <c r="AM998" s="4">
        <f t="shared" ca="1" si="185"/>
        <v>1.4495019663762765E-3</v>
      </c>
      <c r="AN998" s="4">
        <f t="shared" ca="1" si="186"/>
        <v>-4.8982939266625225E-3</v>
      </c>
      <c r="AO998" s="4">
        <f t="shared" ca="1" si="187"/>
        <v>2.1107867260847346E-2</v>
      </c>
      <c r="AP998" s="4">
        <f t="shared" ca="1" si="188"/>
        <v>4.8078931975020778E-3</v>
      </c>
    </row>
    <row r="999" spans="20:42" x14ac:dyDescent="0.3">
      <c r="T999">
        <v>993</v>
      </c>
      <c r="U999" s="4">
        <v>4.2981455019674139E-2</v>
      </c>
      <c r="V999" s="4"/>
      <c r="W999">
        <v>994</v>
      </c>
      <c r="X999">
        <f t="shared" ca="1" si="189"/>
        <v>0.17017679083798831</v>
      </c>
      <c r="Y999">
        <f t="shared" ca="1" si="189"/>
        <v>0.85367411888580014</v>
      </c>
      <c r="Z999">
        <f t="shared" ca="1" si="189"/>
        <v>-0.54983137167343188</v>
      </c>
      <c r="AB999">
        <v>994</v>
      </c>
      <c r="AC999" s="24">
        <f t="shared" ca="1" si="182"/>
        <v>0.17017679083798831</v>
      </c>
      <c r="AD999" s="24">
        <f t="shared" ca="1" si="183"/>
        <v>0.56872300153170641</v>
      </c>
      <c r="AE999" s="24">
        <f t="shared" ca="1" si="184"/>
        <v>9.550877510143585E-2</v>
      </c>
      <c r="AF999" s="24"/>
      <c r="AG999">
        <v>994</v>
      </c>
      <c r="AH999">
        <f t="shared" ca="1" si="190"/>
        <v>310.33848221488375</v>
      </c>
      <c r="AI999">
        <f t="shared" ca="1" si="191"/>
        <v>166.21481225722633</v>
      </c>
      <c r="AJ999">
        <f t="shared" ca="1" si="192"/>
        <v>53.1201835683637</v>
      </c>
      <c r="AL999">
        <v>994</v>
      </c>
      <c r="AM999" s="4">
        <f t="shared" ca="1" si="185"/>
        <v>2.9035669803159081E-3</v>
      </c>
      <c r="AN999" s="4">
        <f t="shared" ca="1" si="186"/>
        <v>1.1900753779155782E-2</v>
      </c>
      <c r="AO999" s="4">
        <f t="shared" ca="1" si="187"/>
        <v>1.7006372080496934E-3</v>
      </c>
      <c r="AP999" s="4">
        <f t="shared" ca="1" si="188"/>
        <v>6.1415627681719936E-3</v>
      </c>
    </row>
    <row r="1000" spans="20:42" x14ac:dyDescent="0.3">
      <c r="T1000">
        <v>994</v>
      </c>
      <c r="U1000" s="4">
        <v>4.3823691533898201E-2</v>
      </c>
      <c r="V1000" s="4"/>
      <c r="W1000">
        <v>995</v>
      </c>
      <c r="X1000">
        <f t="shared" ca="1" si="189"/>
        <v>1.6745687284644636E-2</v>
      </c>
      <c r="Y1000">
        <f t="shared" ca="1" si="189"/>
        <v>-1.1932292771172488</v>
      </c>
      <c r="Z1000">
        <f t="shared" ca="1" si="189"/>
        <v>8.041771627144273E-2</v>
      </c>
      <c r="AB1000">
        <v>995</v>
      </c>
      <c r="AC1000" s="24">
        <f t="shared" ca="1" si="182"/>
        <v>1.6745687284644636E-2</v>
      </c>
      <c r="AD1000" s="24">
        <f t="shared" ca="1" si="183"/>
        <v>-0.57337970335312671</v>
      </c>
      <c r="AE1000" s="24">
        <f t="shared" ca="1" si="184"/>
        <v>-0.27490538375360679</v>
      </c>
      <c r="AF1000" s="24"/>
      <c r="AG1000">
        <v>995</v>
      </c>
      <c r="AH1000">
        <f t="shared" ca="1" si="190"/>
        <v>309.5298557416308</v>
      </c>
      <c r="AI1000">
        <f t="shared" ca="1" si="191"/>
        <v>162.31436237457478</v>
      </c>
      <c r="AJ1000">
        <f t="shared" ca="1" si="192"/>
        <v>52.772131239402377</v>
      </c>
      <c r="AL1000">
        <v>995</v>
      </c>
      <c r="AM1000" s="4">
        <f t="shared" ca="1" si="185"/>
        <v>2.9037389967645488E-4</v>
      </c>
      <c r="AN1000" s="4">
        <f t="shared" ca="1" si="186"/>
        <v>-1.184483256621105E-2</v>
      </c>
      <c r="AO1000" s="4">
        <f t="shared" ca="1" si="187"/>
        <v>-4.8626729366453292E-3</v>
      </c>
      <c r="AP1000" s="4">
        <f t="shared" ca="1" si="188"/>
        <v>-6.1096227375750821E-3</v>
      </c>
    </row>
    <row r="1001" spans="20:42" x14ac:dyDescent="0.3">
      <c r="T1001">
        <v>995</v>
      </c>
      <c r="U1001" s="4">
        <v>4.6780041705220606E-2</v>
      </c>
      <c r="V1001" s="4"/>
      <c r="W1001">
        <v>996</v>
      </c>
      <c r="X1001">
        <f t="shared" ca="1" si="189"/>
        <v>1.649075985518148</v>
      </c>
      <c r="Y1001">
        <f t="shared" ca="1" si="189"/>
        <v>-0.14328552549337323</v>
      </c>
      <c r="Z1001">
        <f t="shared" ca="1" si="189"/>
        <v>9.5370975713331183E-2</v>
      </c>
      <c r="AB1001">
        <v>996</v>
      </c>
      <c r="AC1001" s="24">
        <f t="shared" ca="1" si="182"/>
        <v>1.649075985518148</v>
      </c>
      <c r="AD1001" s="24">
        <f t="shared" ca="1" si="183"/>
        <v>1.364385148158928</v>
      </c>
      <c r="AE1001" s="24">
        <f t="shared" ca="1" si="184"/>
        <v>1.3548688782282061</v>
      </c>
      <c r="AF1001" s="24"/>
      <c r="AG1001">
        <v>996</v>
      </c>
      <c r="AH1001">
        <f t="shared" ca="1" si="190"/>
        <v>318.24184300011962</v>
      </c>
      <c r="AI1001">
        <f t="shared" ca="1" si="191"/>
        <v>168.98737667079104</v>
      </c>
      <c r="AJ1001">
        <f t="shared" ca="1" si="192"/>
        <v>54.320776607441694</v>
      </c>
      <c r="AL1001">
        <v>996</v>
      </c>
      <c r="AM1001" s="4">
        <f t="shared" ca="1" si="185"/>
        <v>2.8444417299861691E-2</v>
      </c>
      <c r="AN1001" s="4">
        <f t="shared" ca="1" si="186"/>
        <v>2.8779875332087146E-2</v>
      </c>
      <c r="AO1001" s="4">
        <f t="shared" ca="1" si="187"/>
        <v>2.4340521551149408E-2</v>
      </c>
      <c r="AP1001" s="4">
        <f t="shared" ca="1" si="188"/>
        <v>2.7347431788138189E-2</v>
      </c>
    </row>
    <row r="1002" spans="20:42" x14ac:dyDescent="0.3">
      <c r="T1002">
        <v>996</v>
      </c>
      <c r="U1002" s="4">
        <v>4.8316342374624746E-2</v>
      </c>
      <c r="V1002" s="4"/>
      <c r="W1002">
        <v>997</v>
      </c>
      <c r="X1002">
        <f t="shared" ca="1" si="189"/>
        <v>0.9606798523786102</v>
      </c>
      <c r="Y1002">
        <f t="shared" ca="1" si="189"/>
        <v>0.32442055053678454</v>
      </c>
      <c r="Z1002">
        <f t="shared" ca="1" si="189"/>
        <v>-0.58775860527059665</v>
      </c>
      <c r="AB1002">
        <v>997</v>
      </c>
      <c r="AC1002" s="24">
        <f t="shared" ca="1" si="182"/>
        <v>0.9606798523786102</v>
      </c>
      <c r="AD1002" s="24">
        <f t="shared" ca="1" si="183"/>
        <v>0.99581616752768864</v>
      </c>
      <c r="AE1002" s="24">
        <f t="shared" ca="1" si="184"/>
        <v>0.57539129321431282</v>
      </c>
      <c r="AF1002" s="24"/>
      <c r="AG1002">
        <v>997</v>
      </c>
      <c r="AH1002">
        <f t="shared" ca="1" si="190"/>
        <v>314.53826394091908</v>
      </c>
      <c r="AI1002">
        <f t="shared" ca="1" si="191"/>
        <v>167.69735772778807</v>
      </c>
      <c r="AJ1002">
        <f t="shared" ca="1" si="192"/>
        <v>53.574511268977645</v>
      </c>
      <c r="AL1002">
        <v>997</v>
      </c>
      <c r="AM1002" s="4">
        <f t="shared" ca="1" si="185"/>
        <v>1.6475767383948403E-2</v>
      </c>
      <c r="AN1002" s="4">
        <f t="shared" ca="1" si="186"/>
        <v>2.0926356604803464E-2</v>
      </c>
      <c r="AO1002" s="4">
        <f t="shared" ca="1" si="187"/>
        <v>1.0268008716104893E-2</v>
      </c>
      <c r="AP1002" s="4">
        <f t="shared" ca="1" si="188"/>
        <v>1.6393675471937375E-2</v>
      </c>
    </row>
    <row r="1003" spans="20:42" x14ac:dyDescent="0.3">
      <c r="T1003">
        <v>997</v>
      </c>
      <c r="U1003" s="4">
        <v>4.8487458858411943E-2</v>
      </c>
      <c r="V1003" s="4"/>
      <c r="W1003">
        <v>998</v>
      </c>
      <c r="X1003">
        <f t="shared" ca="1" si="189"/>
        <v>1.1391161589030316</v>
      </c>
      <c r="Y1003">
        <f t="shared" ca="1" si="189"/>
        <v>0.84848303505680589</v>
      </c>
      <c r="Z1003">
        <f t="shared" ca="1" si="189"/>
        <v>0.85997430942561737</v>
      </c>
      <c r="AB1003">
        <v>998</v>
      </c>
      <c r="AC1003" s="24">
        <f t="shared" ca="1" si="182"/>
        <v>1.1391161589030316</v>
      </c>
      <c r="AD1003" s="24">
        <f t="shared" ca="1" si="183"/>
        <v>1.4093136767004428</v>
      </c>
      <c r="AE1003" s="24">
        <f t="shared" ca="1" si="184"/>
        <v>1.6004483632863884</v>
      </c>
      <c r="AF1003" s="24"/>
      <c r="AG1003">
        <v>998</v>
      </c>
      <c r="AH1003">
        <f t="shared" ca="1" si="190"/>
        <v>315.49409488637912</v>
      </c>
      <c r="AI1003">
        <f t="shared" ca="1" si="191"/>
        <v>169.14530692005391</v>
      </c>
      <c r="AJ1003">
        <f t="shared" ca="1" si="192"/>
        <v>54.558038981602287</v>
      </c>
      <c r="AL1003">
        <v>998</v>
      </c>
      <c r="AM1003" s="4">
        <f t="shared" ca="1" si="185"/>
        <v>1.9564672948577444E-2</v>
      </c>
      <c r="AN1003" s="4">
        <f t="shared" ca="1" si="186"/>
        <v>2.9741340415152751E-2</v>
      </c>
      <c r="AO1003" s="4">
        <f t="shared" ca="1" si="187"/>
        <v>2.8814637704688062E-2</v>
      </c>
      <c r="AP1003" s="4">
        <f t="shared" ca="1" si="188"/>
        <v>2.6410329362040755E-2</v>
      </c>
    </row>
    <row r="1004" spans="20:42" x14ac:dyDescent="0.3">
      <c r="T1004">
        <v>998</v>
      </c>
      <c r="U1004" s="4">
        <v>5.0024876968306084E-2</v>
      </c>
      <c r="V1004" s="4"/>
      <c r="W1004">
        <v>999</v>
      </c>
      <c r="X1004">
        <f t="shared" ca="1" si="189"/>
        <v>-1.8218887929237062</v>
      </c>
      <c r="Y1004">
        <f t="shared" ca="1" si="189"/>
        <v>0.32045881898218082</v>
      </c>
      <c r="Z1004">
        <f t="shared" ca="1" si="189"/>
        <v>1.373775897405966</v>
      </c>
      <c r="AB1004">
        <v>999</v>
      </c>
      <c r="AC1004" s="24">
        <f t="shared" ca="1" si="182"/>
        <v>-1.8218887929237062</v>
      </c>
      <c r="AD1004" s="24">
        <f t="shared" ca="1" si="183"/>
        <v>-1.4274625266345844</v>
      </c>
      <c r="AE1004" s="24">
        <f t="shared" ca="1" si="184"/>
        <v>-0.70140044021334491</v>
      </c>
      <c r="AF1004" s="24"/>
      <c r="AG1004">
        <v>999</v>
      </c>
      <c r="AH1004">
        <f t="shared" ca="1" si="190"/>
        <v>300.00207346057329</v>
      </c>
      <c r="AI1004">
        <f t="shared" ca="1" si="191"/>
        <v>159.45747831150533</v>
      </c>
      <c r="AJ1004">
        <f t="shared" ca="1" si="192"/>
        <v>52.374207206982611</v>
      </c>
      <c r="AL1004">
        <v>999</v>
      </c>
      <c r="AM1004" s="4">
        <f t="shared" ca="1" si="185"/>
        <v>-3.0500028782218802E-2</v>
      </c>
      <c r="AN1004" s="4">
        <f t="shared" ca="1" si="186"/>
        <v>-2.9237284524137985E-2</v>
      </c>
      <c r="AO1004" s="4">
        <f t="shared" ca="1" si="187"/>
        <v>-1.2366426313594636E-2</v>
      </c>
      <c r="AP1004" s="4">
        <f t="shared" ca="1" si="188"/>
        <v>-2.4554850338399225E-2</v>
      </c>
    </row>
    <row r="1005" spans="20:42" x14ac:dyDescent="0.3">
      <c r="T1005">
        <v>999</v>
      </c>
      <c r="U1005" s="4">
        <v>5.2594338829000956E-2</v>
      </c>
      <c r="V1005" s="4"/>
      <c r="W1005">
        <v>1000</v>
      </c>
      <c r="X1005">
        <f t="shared" ca="1" si="189"/>
        <v>0.36360403093990373</v>
      </c>
      <c r="Y1005">
        <f t="shared" ca="1" si="189"/>
        <v>-1.1868251768805367</v>
      </c>
      <c r="Z1005">
        <f t="shared" ca="1" si="189"/>
        <v>-1.3039607033149776</v>
      </c>
      <c r="AB1005">
        <v>1000</v>
      </c>
      <c r="AC1005" s="24">
        <f t="shared" ca="1" si="182"/>
        <v>0.36360403093990373</v>
      </c>
      <c r="AD1005" s="24">
        <f t="shared" ca="1" si="183"/>
        <v>-0.26839607645575619</v>
      </c>
      <c r="AE1005" s="24">
        <f t="shared" ca="1" si="184"/>
        <v>-0.69261595852328672</v>
      </c>
      <c r="AF1005" s="24"/>
      <c r="AG1005">
        <v>1000</v>
      </c>
      <c r="AH1005">
        <f t="shared" ca="1" si="190"/>
        <v>311.36091090204934</v>
      </c>
      <c r="AI1005">
        <f t="shared" ca="1" si="191"/>
        <v>163.34687922935379</v>
      </c>
      <c r="AJ1005">
        <f t="shared" ca="1" si="192"/>
        <v>52.382372871627943</v>
      </c>
      <c r="AL1005">
        <v>1000</v>
      </c>
      <c r="AM1005" s="4">
        <f t="shared" ca="1" si="185"/>
        <v>6.2076927529983728E-3</v>
      </c>
      <c r="AN1005" s="4">
        <f t="shared" ca="1" si="186"/>
        <v>-5.5589632778370035E-3</v>
      </c>
      <c r="AO1005" s="4">
        <f t="shared" ca="1" si="187"/>
        <v>-1.2212444325412464E-2</v>
      </c>
      <c r="AP1005" s="4">
        <f t="shared" ca="1" si="188"/>
        <v>-4.0250107828590283E-3</v>
      </c>
    </row>
    <row r="1006" spans="20:42" x14ac:dyDescent="0.3">
      <c r="T1006">
        <v>1000</v>
      </c>
      <c r="U1006" s="4">
        <v>5.3382637618787324E-2</v>
      </c>
      <c r="V1006" s="4"/>
    </row>
  </sheetData>
  <sortState xmlns:xlrd2="http://schemas.microsoft.com/office/spreadsheetml/2017/richdata2" ref="U7:U1006">
    <sortCondition ref="U7:U1006"/>
  </sortState>
  <mergeCells count="2">
    <mergeCell ref="K5:N5"/>
    <mergeCell ref="P11:R11"/>
  </mergeCells>
  <pageMargins left="0.7" right="0.7" top="0.75" bottom="0.75" header="0.3" footer="0.3"/>
  <ignoredErrors>
    <ignoredError sqref="AI6 AI7:AI1005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B1AE-3404-084D-84B9-995EBADEF0AF}">
  <dimension ref="A1:U254"/>
  <sheetViews>
    <sheetView showGridLines="0" zoomScale="102" workbookViewId="0">
      <selection activeCell="O11" sqref="O11"/>
    </sheetView>
  </sheetViews>
  <sheetFormatPr defaultColWidth="11.5546875" defaultRowHeight="14.4" x14ac:dyDescent="0.3"/>
  <cols>
    <col min="11" max="11" width="28.88671875" customWidth="1"/>
    <col min="12" max="12" width="10" bestFit="1" customWidth="1"/>
    <col min="13" max="13" width="11" bestFit="1" customWidth="1"/>
    <col min="15" max="15" width="8.6640625" customWidth="1"/>
    <col min="17" max="17" width="13.44140625" bestFit="1" customWidth="1"/>
    <col min="18" max="18" width="13.44140625" customWidth="1"/>
    <col min="19" max="19" width="16.44140625" bestFit="1" customWidth="1"/>
    <col min="20" max="20" width="14.77734375" bestFit="1" customWidth="1"/>
    <col min="21" max="21" width="25.77734375" bestFit="1" customWidth="1"/>
    <col min="23" max="23" width="45" bestFit="1" customWidth="1"/>
    <col min="28" max="28" width="13.109375" bestFit="1" customWidth="1"/>
  </cols>
  <sheetData>
    <row r="1" spans="1:21" x14ac:dyDescent="0.3">
      <c r="A1" s="23" t="s">
        <v>41</v>
      </c>
      <c r="F1" s="23" t="s">
        <v>57</v>
      </c>
      <c r="K1" s="23" t="s">
        <v>65</v>
      </c>
      <c r="S1" s="75" t="s">
        <v>69</v>
      </c>
      <c r="T1" s="75"/>
      <c r="U1" s="75"/>
    </row>
    <row r="2" spans="1:21" ht="15" customHeight="1" x14ac:dyDescent="0.3">
      <c r="A2" s="2" t="s">
        <v>0</v>
      </c>
      <c r="B2" s="2" t="s">
        <v>5</v>
      </c>
      <c r="C2" s="2" t="s">
        <v>6</v>
      </c>
      <c r="D2" s="2" t="s">
        <v>7</v>
      </c>
      <c r="F2" s="2" t="s">
        <v>0</v>
      </c>
      <c r="G2" s="2" t="s">
        <v>5</v>
      </c>
      <c r="H2" s="2" t="s">
        <v>6</v>
      </c>
      <c r="I2" s="2" t="s">
        <v>7</v>
      </c>
      <c r="K2" s="2" t="s">
        <v>28</v>
      </c>
      <c r="L2" s="2" t="s">
        <v>5</v>
      </c>
      <c r="M2" s="2" t="s">
        <v>6</v>
      </c>
      <c r="N2" s="2" t="s">
        <v>7</v>
      </c>
      <c r="P2" s="2" t="s">
        <v>0</v>
      </c>
      <c r="Q2" s="2" t="s">
        <v>42</v>
      </c>
      <c r="R2" s="2" t="s">
        <v>90</v>
      </c>
      <c r="S2" s="2" t="s">
        <v>43</v>
      </c>
      <c r="T2" s="2" t="s">
        <v>67</v>
      </c>
      <c r="U2" s="2" t="s">
        <v>68</v>
      </c>
    </row>
    <row r="3" spans="1:21" ht="16.05" customHeight="1" x14ac:dyDescent="0.3">
      <c r="A3" s="1">
        <v>45597</v>
      </c>
      <c r="B3" s="3">
        <f>Data!B3</f>
        <v>218.318435668945</v>
      </c>
      <c r="C3" s="3">
        <f>Data!H3</f>
        <v>113.667182922363</v>
      </c>
      <c r="D3" s="3">
        <f>Data!N3</f>
        <v>40.799842834472599</v>
      </c>
      <c r="F3" s="1">
        <v>45597</v>
      </c>
      <c r="K3" s="2" t="s">
        <v>8</v>
      </c>
      <c r="L3" s="19">
        <v>0.3</v>
      </c>
      <c r="M3" s="19">
        <v>0.4</v>
      </c>
      <c r="N3" s="19">
        <v>0.3</v>
      </c>
      <c r="P3" s="1">
        <v>45597</v>
      </c>
      <c r="S3" s="13" t="s">
        <v>46</v>
      </c>
      <c r="T3" s="13" t="s">
        <v>46</v>
      </c>
      <c r="U3" s="13" t="s">
        <v>46</v>
      </c>
    </row>
    <row r="4" spans="1:21" x14ac:dyDescent="0.3">
      <c r="A4" s="1">
        <v>45600</v>
      </c>
      <c r="B4" s="3">
        <f>Data!B4</f>
        <v>215.22393798828099</v>
      </c>
      <c r="C4" s="3">
        <f>Data!H4</f>
        <v>112.976524353027</v>
      </c>
      <c r="D4" s="3">
        <f>Data!N4</f>
        <v>40.379734039306598</v>
      </c>
      <c r="F4" s="1">
        <v>45600</v>
      </c>
      <c r="G4" s="4">
        <f>B4/B3-1</f>
        <v>-1.4174238978866938E-2</v>
      </c>
      <c r="H4" s="4">
        <f t="shared" ref="H4:I19" si="0">C4/C3-1</f>
        <v>-6.0761474999141418E-3</v>
      </c>
      <c r="I4" s="4">
        <f t="shared" si="0"/>
        <v>-1.0296823859601845E-2</v>
      </c>
      <c r="P4" s="1">
        <v>45600</v>
      </c>
      <c r="Q4" s="4">
        <f>SUMPRODUCT(G4:I4,$L$3:$N$3)</f>
        <v>-9.7717778515062914E-3</v>
      </c>
      <c r="R4" s="34">
        <f>Q4*1000000</f>
        <v>-9771.777851506291</v>
      </c>
      <c r="S4" s="34" t="b">
        <f t="shared" ref="S4:S67" si="1">$L$9&gt;R4</f>
        <v>0</v>
      </c>
      <c r="T4" s="34" t="b">
        <f t="shared" ref="T4:T67" si="2">$L$10&gt;R4</f>
        <v>0</v>
      </c>
      <c r="U4" s="34" t="b">
        <f t="shared" ref="U4:U67" si="3">$L$11&gt;R4</f>
        <v>0</v>
      </c>
    </row>
    <row r="5" spans="1:21" x14ac:dyDescent="0.3">
      <c r="A5" s="1">
        <v>45601</v>
      </c>
      <c r="B5" s="3">
        <f>Data!B5</f>
        <v>216.89848327636699</v>
      </c>
      <c r="C5" s="3">
        <f>Data!H5</f>
        <v>114.60104370117099</v>
      </c>
      <c r="D5" s="3">
        <f>Data!N5</f>
        <v>40.917087554931598</v>
      </c>
      <c r="F5" s="1">
        <v>45601</v>
      </c>
      <c r="G5" s="4">
        <f t="shared" ref="G5:G68" si="4">B5/B4-1</f>
        <v>7.7804788061128782E-3</v>
      </c>
      <c r="H5" s="4">
        <f t="shared" si="0"/>
        <v>1.4379264696333882E-2</v>
      </c>
      <c r="I5" s="4">
        <f t="shared" si="0"/>
        <v>1.3307505074251491E-2</v>
      </c>
      <c r="P5" s="1">
        <v>45601</v>
      </c>
      <c r="Q5" s="4">
        <f t="shared" ref="Q5:Q68" si="5">SUMPRODUCT(G5:I5,$L$3:$N$3)</f>
        <v>1.2078101042642864E-2</v>
      </c>
      <c r="R5" s="34">
        <f t="shared" ref="R5:R68" si="6">Q5*1000000</f>
        <v>12078.101042642864</v>
      </c>
      <c r="S5" s="34" t="b">
        <f t="shared" si="1"/>
        <v>0</v>
      </c>
      <c r="T5" s="34" t="b">
        <f t="shared" si="2"/>
        <v>0</v>
      </c>
      <c r="U5" s="34" t="b">
        <f t="shared" si="3"/>
        <v>0</v>
      </c>
    </row>
    <row r="6" spans="1:21" ht="15" thickBot="1" x14ac:dyDescent="0.35">
      <c r="A6" s="1">
        <v>45602</v>
      </c>
      <c r="B6" s="3">
        <f>Data!B6</f>
        <v>241.93843078613199</v>
      </c>
      <c r="C6" s="3">
        <f>Data!H6</f>
        <v>127.90841674804599</v>
      </c>
      <c r="D6" s="3">
        <f>Data!N6</f>
        <v>44.365924835205</v>
      </c>
      <c r="F6" s="1">
        <v>45602</v>
      </c>
      <c r="G6" s="4">
        <f t="shared" si="4"/>
        <v>0.11544547076366451</v>
      </c>
      <c r="H6" s="4">
        <f t="shared" si="0"/>
        <v>0.11611912611873554</v>
      </c>
      <c r="I6" s="4">
        <f t="shared" si="0"/>
        <v>8.4288435134668438E-2</v>
      </c>
      <c r="P6" s="1">
        <v>45602</v>
      </c>
      <c r="Q6" s="4">
        <f t="shared" si="5"/>
        <v>0.10636782221699409</v>
      </c>
      <c r="R6" s="34">
        <f t="shared" si="6"/>
        <v>106367.82221699409</v>
      </c>
      <c r="S6" s="34" t="b">
        <f t="shared" si="1"/>
        <v>0</v>
      </c>
      <c r="T6" s="34" t="b">
        <f t="shared" si="2"/>
        <v>0</v>
      </c>
      <c r="U6" s="34" t="b">
        <f t="shared" si="3"/>
        <v>0</v>
      </c>
    </row>
    <row r="7" spans="1:21" ht="18.600000000000001" thickBot="1" x14ac:dyDescent="0.35">
      <c r="A7" s="1">
        <v>45603</v>
      </c>
      <c r="B7" s="3">
        <f>Data!B7</f>
        <v>231.47981262207</v>
      </c>
      <c r="C7" s="3">
        <f>Data!H7</f>
        <v>124.941505432128</v>
      </c>
      <c r="D7" s="3">
        <f>Data!N7</f>
        <v>43.740642547607401</v>
      </c>
      <c r="F7" s="1">
        <v>45603</v>
      </c>
      <c r="G7" s="4">
        <f t="shared" si="4"/>
        <v>-4.32284285306751E-2</v>
      </c>
      <c r="H7" s="4">
        <f t="shared" si="0"/>
        <v>-2.319559096538748E-2</v>
      </c>
      <c r="I7" s="4">
        <f t="shared" si="0"/>
        <v>-1.4093750776529079E-2</v>
      </c>
      <c r="K7" s="35" t="s">
        <v>55</v>
      </c>
      <c r="L7" s="33"/>
      <c r="P7" s="1">
        <v>45603</v>
      </c>
      <c r="Q7" s="4">
        <f t="shared" si="5"/>
        <v>-2.6474890178316248E-2</v>
      </c>
      <c r="R7" s="34">
        <f t="shared" si="6"/>
        <v>-26474.890178316247</v>
      </c>
      <c r="S7" s="34" t="b">
        <f t="shared" si="1"/>
        <v>0</v>
      </c>
      <c r="T7" s="34" t="b">
        <f t="shared" si="2"/>
        <v>0</v>
      </c>
      <c r="U7" s="34" t="b">
        <f t="shared" si="3"/>
        <v>0</v>
      </c>
    </row>
    <row r="8" spans="1:21" ht="15" thickBot="1" x14ac:dyDescent="0.35">
      <c r="A8" s="1">
        <v>45604</v>
      </c>
      <c r="B8" s="3">
        <f>Data!B8</f>
        <v>232.06736755371</v>
      </c>
      <c r="C8" s="3">
        <f>Data!H8</f>
        <v>126.00179290771401</v>
      </c>
      <c r="D8" s="3">
        <f>Data!N8</f>
        <v>44.092361450195298</v>
      </c>
      <c r="F8" s="1">
        <v>45604</v>
      </c>
      <c r="G8" s="4">
        <f t="shared" si="4"/>
        <v>2.5382556041690929E-3</v>
      </c>
      <c r="H8" s="4">
        <f t="shared" si="0"/>
        <v>8.4862710107329598E-3</v>
      </c>
      <c r="I8" s="4">
        <f t="shared" si="0"/>
        <v>8.0410090502234244E-3</v>
      </c>
      <c r="K8" s="40" t="s">
        <v>78</v>
      </c>
      <c r="L8" s="27" t="s">
        <v>46</v>
      </c>
      <c r="P8" s="1">
        <v>45604</v>
      </c>
      <c r="Q8" s="4">
        <f t="shared" si="5"/>
        <v>6.5682878006109394E-3</v>
      </c>
      <c r="R8" s="34">
        <f t="shared" si="6"/>
        <v>6568.2878006109395</v>
      </c>
      <c r="S8" s="34" t="b">
        <f t="shared" si="1"/>
        <v>0</v>
      </c>
      <c r="T8" s="34" t="b">
        <f t="shared" si="2"/>
        <v>0</v>
      </c>
      <c r="U8" s="34" t="b">
        <f t="shared" si="3"/>
        <v>0</v>
      </c>
    </row>
    <row r="9" spans="1:21" ht="15" thickBot="1" x14ac:dyDescent="0.35">
      <c r="A9" s="1">
        <v>45607</v>
      </c>
      <c r="B9" s="3">
        <f>Data!B9</f>
        <v>234.32946777343699</v>
      </c>
      <c r="C9" s="3">
        <f>Data!H9</f>
        <v>129.88313293457</v>
      </c>
      <c r="D9" s="3">
        <f>Data!N9</f>
        <v>45.020523071288999</v>
      </c>
      <c r="F9" s="1">
        <v>45607</v>
      </c>
      <c r="G9" s="4">
        <f t="shared" si="4"/>
        <v>9.7476014985322657E-3</v>
      </c>
      <c r="H9" s="4">
        <f t="shared" si="0"/>
        <v>3.0803847606349244E-2</v>
      </c>
      <c r="I9" s="4">
        <f t="shared" si="0"/>
        <v>2.1050394911193537E-2</v>
      </c>
      <c r="K9" s="25" t="s">
        <v>43</v>
      </c>
      <c r="L9" s="29">
        <f>'Variance Covariance'!H12</f>
        <v>-39803.30964875433</v>
      </c>
      <c r="P9" s="1">
        <v>45607</v>
      </c>
      <c r="Q9" s="4">
        <f t="shared" si="5"/>
        <v>2.1560937965457438E-2</v>
      </c>
      <c r="R9" s="34">
        <f t="shared" si="6"/>
        <v>21560.937965457437</v>
      </c>
      <c r="S9" s="34" t="b">
        <f t="shared" si="1"/>
        <v>0</v>
      </c>
      <c r="T9" s="34" t="b">
        <f t="shared" si="2"/>
        <v>0</v>
      </c>
      <c r="U9" s="34" t="b">
        <f t="shared" si="3"/>
        <v>0</v>
      </c>
    </row>
    <row r="10" spans="1:21" ht="15" thickBot="1" x14ac:dyDescent="0.35">
      <c r="A10" s="1">
        <v>45608</v>
      </c>
      <c r="B10" s="3">
        <f>Data!B10</f>
        <v>234.59388732910099</v>
      </c>
      <c r="C10" s="3">
        <f>Data!H10</f>
        <v>128.70608520507801</v>
      </c>
      <c r="D10" s="3">
        <f>Data!N10</f>
        <v>44.805580139160099</v>
      </c>
      <c r="F10" s="1">
        <v>45608</v>
      </c>
      <c r="G10" s="4">
        <f t="shared" si="4"/>
        <v>1.1284093211856305E-3</v>
      </c>
      <c r="H10" s="4">
        <f t="shared" si="0"/>
        <v>-9.062360160999039E-3</v>
      </c>
      <c r="I10" s="4">
        <f t="shared" si="0"/>
        <v>-4.774332181537333E-3</v>
      </c>
      <c r="K10" s="25" t="s">
        <v>44</v>
      </c>
      <c r="L10" s="29">
        <f>'Historical Simulation'!R16</f>
        <v>-64814.484295695249</v>
      </c>
      <c r="P10" s="1">
        <v>45608</v>
      </c>
      <c r="Q10" s="4">
        <f t="shared" si="5"/>
        <v>-4.7187209225051261E-3</v>
      </c>
      <c r="R10" s="34">
        <f t="shared" si="6"/>
        <v>-4718.7209225051265</v>
      </c>
      <c r="S10" s="34" t="b">
        <f t="shared" si="1"/>
        <v>0</v>
      </c>
      <c r="T10" s="34" t="b">
        <f t="shared" si="2"/>
        <v>0</v>
      </c>
      <c r="U10" s="34" t="b">
        <f t="shared" si="3"/>
        <v>0</v>
      </c>
    </row>
    <row r="11" spans="1:21" ht="15" thickBot="1" x14ac:dyDescent="0.35">
      <c r="A11" s="1">
        <v>45609</v>
      </c>
      <c r="B11" s="3">
        <f>Data!B11</f>
        <v>236.160720825195</v>
      </c>
      <c r="C11" s="3">
        <f>Data!H11</f>
        <v>129.14382934570301</v>
      </c>
      <c r="D11" s="3">
        <f>Data!N11</f>
        <v>44.815349578857401</v>
      </c>
      <c r="F11" s="1">
        <v>45609</v>
      </c>
      <c r="G11" s="4">
        <f t="shared" si="4"/>
        <v>6.6789186791382793E-3</v>
      </c>
      <c r="H11" s="4">
        <f t="shared" si="0"/>
        <v>3.4011145621242189E-3</v>
      </c>
      <c r="I11" s="4">
        <f t="shared" si="0"/>
        <v>2.1804069196207365E-4</v>
      </c>
      <c r="K11" s="26" t="s">
        <v>45</v>
      </c>
      <c r="L11" s="29">
        <f>'Monte Carlo Simulation'!P15</f>
        <v>-38053.320914067357</v>
      </c>
      <c r="P11" s="1">
        <v>45609</v>
      </c>
      <c r="Q11" s="4">
        <f t="shared" si="5"/>
        <v>3.4295336361797935E-3</v>
      </c>
      <c r="R11" s="34">
        <f t="shared" si="6"/>
        <v>3429.5336361797936</v>
      </c>
      <c r="S11" s="34" t="b">
        <f t="shared" si="1"/>
        <v>0</v>
      </c>
      <c r="T11" s="34" t="b">
        <f t="shared" si="2"/>
        <v>0</v>
      </c>
      <c r="U11" s="34" t="b">
        <f t="shared" si="3"/>
        <v>0</v>
      </c>
    </row>
    <row r="12" spans="1:21" x14ac:dyDescent="0.3">
      <c r="A12" s="1">
        <v>45610</v>
      </c>
      <c r="B12" s="3">
        <f>Data!B12</f>
        <v>236.85600280761699</v>
      </c>
      <c r="C12" s="3">
        <f>Data!H12</f>
        <v>128.82279968261699</v>
      </c>
      <c r="D12" s="3">
        <f>Data!N12</f>
        <v>44.844657897949197</v>
      </c>
      <c r="F12" s="1">
        <v>45610</v>
      </c>
      <c r="G12" s="4">
        <f t="shared" si="4"/>
        <v>2.9441050992413675E-3</v>
      </c>
      <c r="H12" s="4">
        <f t="shared" si="0"/>
        <v>-2.4858304474359993E-3</v>
      </c>
      <c r="I12" s="4">
        <f t="shared" si="0"/>
        <v>6.5397948174483744E-4</v>
      </c>
      <c r="P12" s="1">
        <v>45610</v>
      </c>
      <c r="Q12" s="4">
        <f t="shared" si="5"/>
        <v>8.5093195321461594E-5</v>
      </c>
      <c r="R12" s="34">
        <f t="shared" si="6"/>
        <v>85.093195321461593</v>
      </c>
      <c r="S12" s="34" t="b">
        <f t="shared" si="1"/>
        <v>0</v>
      </c>
      <c r="T12" s="34" t="b">
        <f t="shared" si="2"/>
        <v>0</v>
      </c>
      <c r="U12" s="34" t="b">
        <f t="shared" si="3"/>
        <v>0</v>
      </c>
    </row>
    <row r="13" spans="1:21" x14ac:dyDescent="0.3">
      <c r="A13" s="1">
        <v>45611</v>
      </c>
      <c r="B13" s="3">
        <f>Data!B13</f>
        <v>240.224685668945</v>
      </c>
      <c r="C13" s="3">
        <f>Data!H13</f>
        <v>130.40841674804599</v>
      </c>
      <c r="D13" s="3">
        <f>Data!N13</f>
        <v>45.675113677978501</v>
      </c>
      <c r="F13" s="1">
        <v>45611</v>
      </c>
      <c r="G13" s="4">
        <f t="shared" si="4"/>
        <v>1.4222493081858634E-2</v>
      </c>
      <c r="H13" s="4">
        <f t="shared" si="0"/>
        <v>1.2308512696009632E-2</v>
      </c>
      <c r="I13" s="4">
        <f t="shared" si="0"/>
        <v>1.8518499615252537E-2</v>
      </c>
      <c r="P13" s="1">
        <v>45611</v>
      </c>
      <c r="Q13" s="4">
        <f t="shared" si="5"/>
        <v>1.4745702887537203E-2</v>
      </c>
      <c r="R13" s="34">
        <f t="shared" si="6"/>
        <v>14745.702887537203</v>
      </c>
      <c r="S13" s="34" t="b">
        <f t="shared" si="1"/>
        <v>0</v>
      </c>
      <c r="T13" s="34" t="b">
        <f t="shared" si="2"/>
        <v>0</v>
      </c>
      <c r="U13" s="34" t="b">
        <f t="shared" si="3"/>
        <v>0</v>
      </c>
    </row>
    <row r="14" spans="1:21" ht="15" thickBot="1" x14ac:dyDescent="0.35">
      <c r="A14" s="1">
        <v>45614</v>
      </c>
      <c r="B14" s="3">
        <f>Data!B14</f>
        <v>239.95048522949199</v>
      </c>
      <c r="C14" s="3">
        <f>Data!H14</f>
        <v>130.13604736328099</v>
      </c>
      <c r="D14" s="3">
        <f>Data!N14</f>
        <v>45.645809173583899</v>
      </c>
      <c r="F14" s="1">
        <v>45614</v>
      </c>
      <c r="G14" s="4">
        <f t="shared" si="4"/>
        <v>-1.1414332323484988E-3</v>
      </c>
      <c r="H14" s="4">
        <f t="shared" si="0"/>
        <v>-2.0885874666450865E-3</v>
      </c>
      <c r="I14" s="4">
        <f t="shared" si="0"/>
        <v>-6.4158580099449303E-4</v>
      </c>
      <c r="P14" s="1">
        <v>45614</v>
      </c>
      <c r="Q14" s="4">
        <f t="shared" si="5"/>
        <v>-1.3703406966609323E-3</v>
      </c>
      <c r="R14" s="34">
        <f t="shared" si="6"/>
        <v>-1370.3406966609323</v>
      </c>
      <c r="S14" s="34" t="b">
        <f t="shared" si="1"/>
        <v>0</v>
      </c>
      <c r="T14" s="34" t="b">
        <f t="shared" si="2"/>
        <v>0</v>
      </c>
      <c r="U14" s="34" t="b">
        <f t="shared" si="3"/>
        <v>0</v>
      </c>
    </row>
    <row r="15" spans="1:21" ht="16.2" thickBot="1" x14ac:dyDescent="0.35">
      <c r="A15" s="1">
        <v>45615</v>
      </c>
      <c r="B15" s="3">
        <f>Data!B15</f>
        <v>238.05070495605401</v>
      </c>
      <c r="C15" s="3">
        <f>Data!H15</f>
        <v>128.63801574707</v>
      </c>
      <c r="D15" s="3">
        <f>Data!N15</f>
        <v>45.342933654785099</v>
      </c>
      <c r="F15" s="1">
        <v>45615</v>
      </c>
      <c r="G15" s="4">
        <f t="shared" si="4"/>
        <v>-7.9173845871618465E-3</v>
      </c>
      <c r="H15" s="4">
        <f t="shared" si="0"/>
        <v>-1.1511273367856067E-2</v>
      </c>
      <c r="I15" s="4">
        <f t="shared" si="0"/>
        <v>-6.6353412127498901E-3</v>
      </c>
      <c r="K15" s="72" t="s">
        <v>66</v>
      </c>
      <c r="L15" s="73"/>
      <c r="M15" s="74"/>
      <c r="P15" s="1">
        <v>45615</v>
      </c>
      <c r="Q15" s="4">
        <f t="shared" si="5"/>
        <v>-8.9703270871159466E-3</v>
      </c>
      <c r="R15" s="34">
        <f t="shared" si="6"/>
        <v>-8970.3270871159457</v>
      </c>
      <c r="S15" s="34" t="b">
        <f t="shared" si="1"/>
        <v>0</v>
      </c>
      <c r="T15" s="34" t="b">
        <f t="shared" si="2"/>
        <v>0</v>
      </c>
      <c r="U15" s="34" t="b">
        <f t="shared" si="3"/>
        <v>0</v>
      </c>
    </row>
    <row r="16" spans="1:21" ht="15" thickBot="1" x14ac:dyDescent="0.35">
      <c r="A16" s="1">
        <v>45616</v>
      </c>
      <c r="B16" s="3">
        <f>Data!B16</f>
        <v>235.78858947753901</v>
      </c>
      <c r="C16" s="3">
        <f>Data!H16</f>
        <v>128.10299682617099</v>
      </c>
      <c r="D16" s="3">
        <f>Data!N16</f>
        <v>45.000984191894503</v>
      </c>
      <c r="F16" s="1">
        <v>45616</v>
      </c>
      <c r="G16" s="4">
        <f t="shared" si="4"/>
        <v>-9.5026623799858712E-3</v>
      </c>
      <c r="H16" s="4">
        <f t="shared" si="0"/>
        <v>-4.1591042724956617E-3</v>
      </c>
      <c r="I16" s="4">
        <f t="shared" si="0"/>
        <v>-7.5414058008245188E-3</v>
      </c>
      <c r="K16" s="25" t="s">
        <v>47</v>
      </c>
      <c r="L16" s="36" t="s">
        <v>46</v>
      </c>
      <c r="M16" s="28" t="s">
        <v>77</v>
      </c>
      <c r="P16" s="1">
        <v>45616</v>
      </c>
      <c r="Q16" s="4">
        <f t="shared" si="5"/>
        <v>-6.776862163241382E-3</v>
      </c>
      <c r="R16" s="34">
        <f t="shared" si="6"/>
        <v>-6776.8621632413824</v>
      </c>
      <c r="S16" s="34" t="b">
        <f t="shared" si="1"/>
        <v>0</v>
      </c>
      <c r="T16" s="34" t="b">
        <f t="shared" si="2"/>
        <v>0</v>
      </c>
      <c r="U16" s="34" t="b">
        <f t="shared" si="3"/>
        <v>0</v>
      </c>
    </row>
    <row r="17" spans="1:21" ht="15" thickBot="1" x14ac:dyDescent="0.35">
      <c r="A17" s="1">
        <v>45617</v>
      </c>
      <c r="B17" s="3">
        <f>Data!B17</f>
        <v>239.68609619140599</v>
      </c>
      <c r="C17" s="3">
        <f>Data!H17</f>
        <v>131.31309509277301</v>
      </c>
      <c r="D17" s="3">
        <f>Data!N17</f>
        <v>45.391780853271399</v>
      </c>
      <c r="F17" s="1">
        <v>45617</v>
      </c>
      <c r="G17" s="4">
        <f t="shared" si="4"/>
        <v>1.6529666352825156E-2</v>
      </c>
      <c r="H17" s="4">
        <f t="shared" si="0"/>
        <v>2.505872888327465E-2</v>
      </c>
      <c r="I17" s="4">
        <f t="shared" si="0"/>
        <v>8.6841803217114766E-3</v>
      </c>
      <c r="K17" s="25" t="s">
        <v>43</v>
      </c>
      <c r="L17" s="37">
        <f>COUNTIF(S4:S254,TRUE)</f>
        <v>5</v>
      </c>
      <c r="M17" s="38" t="str" cm="1">
        <f t="array" ref="M17">_xlfn.IFS(L17&lt;5, "Green Zone", L17&lt;10, "Yellow Zone", L17&gt;=10, "Red Zone")</f>
        <v>Yellow Zone</v>
      </c>
      <c r="P17" s="1">
        <v>45617</v>
      </c>
      <c r="Q17" s="4">
        <f t="shared" si="5"/>
        <v>1.7587645555670852E-2</v>
      </c>
      <c r="R17" s="34">
        <f t="shared" si="6"/>
        <v>17587.645555670853</v>
      </c>
      <c r="S17" s="34" t="b">
        <f t="shared" si="1"/>
        <v>0</v>
      </c>
      <c r="T17" s="34" t="b">
        <f t="shared" si="2"/>
        <v>0</v>
      </c>
      <c r="U17" s="34" t="b">
        <f t="shared" si="3"/>
        <v>0</v>
      </c>
    </row>
    <row r="18" spans="1:21" ht="15" thickBot="1" x14ac:dyDescent="0.35">
      <c r="A18" s="1">
        <v>45618</v>
      </c>
      <c r="B18" s="3">
        <f>Data!B18</f>
        <v>243.397537231445</v>
      </c>
      <c r="C18" s="3">
        <f>Data!H18</f>
        <v>131.02125549316401</v>
      </c>
      <c r="D18" s="3">
        <f>Data!N18</f>
        <v>45.919368743896399</v>
      </c>
      <c r="F18" s="1">
        <v>45618</v>
      </c>
      <c r="G18" s="4">
        <f t="shared" si="4"/>
        <v>1.5484590466503967E-2</v>
      </c>
      <c r="H18" s="4">
        <f t="shared" si="0"/>
        <v>-2.2224714100510523E-3</v>
      </c>
      <c r="I18" s="4">
        <f t="shared" si="0"/>
        <v>1.1622982855209463E-2</v>
      </c>
      <c r="K18" s="25" t="s">
        <v>44</v>
      </c>
      <c r="L18" s="37">
        <f>COUNTIF(T4:T254,TRUE)</f>
        <v>2</v>
      </c>
      <c r="M18" s="38" t="str" cm="1">
        <f t="array" ref="M18">_xlfn.IFS(L18&lt;5, "Green Zone", L18&lt;10, "Yellow Zone", L18&gt;=10, "Red Zone")</f>
        <v>Green Zone</v>
      </c>
      <c r="P18" s="1">
        <v>45618</v>
      </c>
      <c r="Q18" s="4">
        <f t="shared" si="5"/>
        <v>7.2432834324936074E-3</v>
      </c>
      <c r="R18" s="34">
        <f t="shared" si="6"/>
        <v>7243.2834324936075</v>
      </c>
      <c r="S18" s="34" t="b">
        <f t="shared" si="1"/>
        <v>0</v>
      </c>
      <c r="T18" s="34" t="b">
        <f t="shared" si="2"/>
        <v>0</v>
      </c>
      <c r="U18" s="34" t="b">
        <f t="shared" si="3"/>
        <v>0</v>
      </c>
    </row>
    <row r="19" spans="1:21" ht="15" thickBot="1" x14ac:dyDescent="0.35">
      <c r="A19" s="1">
        <v>45621</v>
      </c>
      <c r="B19" s="3">
        <f>Data!B19</f>
        <v>245.101470947265</v>
      </c>
      <c r="C19" s="3">
        <f>Data!H19</f>
        <v>130.01930236816401</v>
      </c>
      <c r="D19" s="3">
        <f>Data!N19</f>
        <v>46.407871246337798</v>
      </c>
      <c r="F19" s="1">
        <v>45621</v>
      </c>
      <c r="G19" s="4">
        <f t="shared" si="4"/>
        <v>7.0006202001942075E-3</v>
      </c>
      <c r="H19" s="4">
        <f t="shared" si="0"/>
        <v>-7.6472563266826166E-3</v>
      </c>
      <c r="I19" s="4">
        <f t="shared" si="0"/>
        <v>1.0638266940599772E-2</v>
      </c>
      <c r="K19" s="26" t="s">
        <v>45</v>
      </c>
      <c r="L19" s="37">
        <f>COUNTIF(U4:U254,TRUE)</f>
        <v>6</v>
      </c>
      <c r="M19" s="39" t="str" cm="1">
        <f t="array" ref="M19">_xlfn.IFS(L19&lt;5, "Green Zone", L19&lt;10, "Yellow Zone", L19&gt;=10, "Red Zone")</f>
        <v>Yellow Zone</v>
      </c>
      <c r="P19" s="1">
        <v>45621</v>
      </c>
      <c r="Q19" s="4">
        <f t="shared" si="5"/>
        <v>2.2327636115651471E-3</v>
      </c>
      <c r="R19" s="34">
        <f t="shared" si="6"/>
        <v>2232.7636115651471</v>
      </c>
      <c r="S19" s="34" t="b">
        <f t="shared" si="1"/>
        <v>0</v>
      </c>
      <c r="T19" s="34" t="b">
        <f t="shared" si="2"/>
        <v>0</v>
      </c>
      <c r="U19" s="34" t="b">
        <f t="shared" si="3"/>
        <v>0</v>
      </c>
    </row>
    <row r="20" spans="1:21" x14ac:dyDescent="0.3">
      <c r="A20" s="1">
        <v>45622</v>
      </c>
      <c r="B20" s="3">
        <f>Data!B20</f>
        <v>244.7880859375</v>
      </c>
      <c r="C20" s="3">
        <f>Data!H20</f>
        <v>127.704132080078</v>
      </c>
      <c r="D20" s="3">
        <f>Data!N20</f>
        <v>46.652122497558501</v>
      </c>
      <c r="F20" s="1">
        <v>45622</v>
      </c>
      <c r="G20" s="4">
        <f t="shared" si="4"/>
        <v>-1.278592937667189E-3</v>
      </c>
      <c r="H20" s="4">
        <f t="shared" ref="H20:H83" si="7">C20/C19-1</f>
        <v>-1.7806358332321692E-2</v>
      </c>
      <c r="I20" s="4">
        <f t="shared" ref="I20:I83" si="8">D20/D19-1</f>
        <v>5.2631427527496388E-3</v>
      </c>
      <c r="P20" s="1">
        <v>45622</v>
      </c>
      <c r="Q20" s="4">
        <f t="shared" si="5"/>
        <v>-5.9271783884039418E-3</v>
      </c>
      <c r="R20" s="34">
        <f t="shared" si="6"/>
        <v>-5927.1783884039414</v>
      </c>
      <c r="S20" s="34" t="b">
        <f t="shared" si="1"/>
        <v>0</v>
      </c>
      <c r="T20" s="34" t="b">
        <f t="shared" si="2"/>
        <v>0</v>
      </c>
      <c r="U20" s="34" t="b">
        <f t="shared" si="3"/>
        <v>0</v>
      </c>
    </row>
    <row r="21" spans="1:21" x14ac:dyDescent="0.3">
      <c r="A21" s="1">
        <v>45623</v>
      </c>
      <c r="B21" s="3">
        <f>Data!B21</f>
        <v>244.61180114746</v>
      </c>
      <c r="C21" s="3">
        <f>Data!H21</f>
        <v>127.63606262207</v>
      </c>
      <c r="D21" s="3">
        <f>Data!N21</f>
        <v>46.671661376953097</v>
      </c>
      <c r="F21" s="1">
        <v>45623</v>
      </c>
      <c r="G21" s="4">
        <f t="shared" si="4"/>
        <v>-7.2015265516234273E-4</v>
      </c>
      <c r="H21" s="4">
        <f t="shared" si="7"/>
        <v>-5.3302471031491105E-4</v>
      </c>
      <c r="I21" s="4">
        <f t="shared" si="8"/>
        <v>4.188208027537943E-4</v>
      </c>
      <c r="K21" s="75" t="s">
        <v>76</v>
      </c>
      <c r="L21" s="75"/>
      <c r="M21" s="75"/>
      <c r="P21" s="1">
        <v>45623</v>
      </c>
      <c r="Q21" s="4">
        <f t="shared" si="5"/>
        <v>-3.0360943984852895E-4</v>
      </c>
      <c r="R21" s="34">
        <f t="shared" si="6"/>
        <v>-303.60943984852895</v>
      </c>
      <c r="S21" s="34" t="b">
        <f t="shared" si="1"/>
        <v>0</v>
      </c>
      <c r="T21" s="34" t="b">
        <f t="shared" si="2"/>
        <v>0</v>
      </c>
      <c r="U21" s="34" t="b">
        <f t="shared" si="3"/>
        <v>0</v>
      </c>
    </row>
    <row r="22" spans="1:21" x14ac:dyDescent="0.3">
      <c r="A22" s="1">
        <v>45625</v>
      </c>
      <c r="B22" s="3">
        <f>Data!B22</f>
        <v>244.54327392578099</v>
      </c>
      <c r="C22" s="3">
        <f>Data!H22</f>
        <v>128.025146484375</v>
      </c>
      <c r="D22" s="3">
        <f>Data!N22</f>
        <v>46.417640686035099</v>
      </c>
      <c r="F22" s="1">
        <v>45625</v>
      </c>
      <c r="G22" s="4">
        <f t="shared" si="4"/>
        <v>-2.8014683411659025E-4</v>
      </c>
      <c r="H22" s="4">
        <f t="shared" si="7"/>
        <v>3.0483850278042457E-3</v>
      </c>
      <c r="I22" s="4">
        <f t="shared" si="8"/>
        <v>-5.4427179882530208E-3</v>
      </c>
      <c r="K22" s="44" t="s">
        <v>70</v>
      </c>
      <c r="L22" s="43" t="s">
        <v>71</v>
      </c>
      <c r="M22" s="45" t="s">
        <v>72</v>
      </c>
      <c r="P22" s="1">
        <v>45625</v>
      </c>
      <c r="Q22" s="4">
        <f t="shared" si="5"/>
        <v>-4.9750543558918503E-4</v>
      </c>
      <c r="R22" s="34">
        <f t="shared" si="6"/>
        <v>-497.50543558918503</v>
      </c>
      <c r="S22" s="34" t="b">
        <f t="shared" si="1"/>
        <v>0</v>
      </c>
      <c r="T22" s="34" t="b">
        <f t="shared" si="2"/>
        <v>0</v>
      </c>
      <c r="U22" s="34" t="b">
        <f t="shared" si="3"/>
        <v>0</v>
      </c>
    </row>
    <row r="23" spans="1:21" x14ac:dyDescent="0.3">
      <c r="A23" s="1">
        <v>45628</v>
      </c>
      <c r="B23" s="3">
        <f>Data!B23</f>
        <v>241.14521789550699</v>
      </c>
      <c r="C23" s="3">
        <f>Data!H23</f>
        <v>127.4609375</v>
      </c>
      <c r="D23" s="3">
        <f>Data!N23</f>
        <v>45.958446502685497</v>
      </c>
      <c r="F23" s="1">
        <v>45628</v>
      </c>
      <c r="G23" s="4">
        <f t="shared" si="4"/>
        <v>-1.3895520313125909E-2</v>
      </c>
      <c r="H23" s="4">
        <f t="shared" si="7"/>
        <v>-4.4070169015104632E-3</v>
      </c>
      <c r="I23" s="4">
        <f t="shared" si="8"/>
        <v>-9.8926653005815268E-3</v>
      </c>
      <c r="K23" t="s">
        <v>73</v>
      </c>
      <c r="L23" t="s">
        <v>74</v>
      </c>
      <c r="M23" t="s">
        <v>75</v>
      </c>
      <c r="P23" s="1">
        <v>45628</v>
      </c>
      <c r="Q23" s="4">
        <f t="shared" si="5"/>
        <v>-8.8992624447164145E-3</v>
      </c>
      <c r="R23" s="34">
        <f t="shared" si="6"/>
        <v>-8899.2624447164144</v>
      </c>
      <c r="S23" s="34" t="b">
        <f t="shared" si="1"/>
        <v>0</v>
      </c>
      <c r="T23" s="34" t="b">
        <f t="shared" si="2"/>
        <v>0</v>
      </c>
      <c r="U23" s="34" t="b">
        <f t="shared" si="3"/>
        <v>0</v>
      </c>
    </row>
    <row r="24" spans="1:21" x14ac:dyDescent="0.3">
      <c r="A24" s="1">
        <v>45629</v>
      </c>
      <c r="B24" s="3">
        <f>Data!B24</f>
        <v>239.744857788085</v>
      </c>
      <c r="C24" s="3">
        <f>Data!H24</f>
        <v>126.88701629638599</v>
      </c>
      <c r="D24" s="3">
        <f>Data!N24</f>
        <v>45.743503570556598</v>
      </c>
      <c r="F24" s="1">
        <v>45629</v>
      </c>
      <c r="G24" s="4">
        <f t="shared" si="4"/>
        <v>-5.8071236893811884E-3</v>
      </c>
      <c r="H24" s="4">
        <f t="shared" si="7"/>
        <v>-4.5027222839468806E-3</v>
      </c>
      <c r="I24" s="4">
        <f t="shared" si="8"/>
        <v>-4.6768972514408258E-3</v>
      </c>
      <c r="P24" s="1">
        <v>45629</v>
      </c>
      <c r="Q24" s="4">
        <f t="shared" si="5"/>
        <v>-4.9462951958253567E-3</v>
      </c>
      <c r="R24" s="34">
        <f t="shared" si="6"/>
        <v>-4946.295195825357</v>
      </c>
      <c r="S24" s="34" t="b">
        <f t="shared" si="1"/>
        <v>0</v>
      </c>
      <c r="T24" s="34" t="b">
        <f t="shared" si="2"/>
        <v>0</v>
      </c>
      <c r="U24" s="34" t="b">
        <f t="shared" si="3"/>
        <v>0</v>
      </c>
    </row>
    <row r="25" spans="1:21" x14ac:dyDescent="0.3">
      <c r="A25" s="1">
        <v>45630</v>
      </c>
      <c r="B25" s="3">
        <f>Data!B25</f>
        <v>238.35426330566401</v>
      </c>
      <c r="C25" s="3">
        <f>Data!H25</f>
        <v>126.44927978515599</v>
      </c>
      <c r="D25" s="3">
        <f>Data!N25</f>
        <v>45.3038520812988</v>
      </c>
      <c r="F25" s="1">
        <v>45630</v>
      </c>
      <c r="G25" s="4">
        <f t="shared" si="4"/>
        <v>-5.8003099430402605E-3</v>
      </c>
      <c r="H25" s="4">
        <f t="shared" si="7"/>
        <v>-3.4498132591243014E-3</v>
      </c>
      <c r="I25" s="4">
        <f t="shared" si="8"/>
        <v>-9.6112333979766484E-3</v>
      </c>
      <c r="P25" s="1">
        <v>45630</v>
      </c>
      <c r="Q25" s="4">
        <f t="shared" si="5"/>
        <v>-6.0033883059547929E-3</v>
      </c>
      <c r="R25" s="34">
        <f t="shared" si="6"/>
        <v>-6003.3883059547925</v>
      </c>
      <c r="S25" s="34" t="b">
        <f t="shared" si="1"/>
        <v>0</v>
      </c>
      <c r="T25" s="34" t="b">
        <f t="shared" si="2"/>
        <v>0</v>
      </c>
      <c r="U25" s="34" t="b">
        <f t="shared" si="3"/>
        <v>0</v>
      </c>
    </row>
    <row r="26" spans="1:21" x14ac:dyDescent="0.3">
      <c r="A26" s="1">
        <v>45631</v>
      </c>
      <c r="B26" s="3">
        <f>Data!B26</f>
        <v>240.39117431640599</v>
      </c>
      <c r="C26" s="3">
        <f>Data!H26</f>
        <v>126.770294189453</v>
      </c>
      <c r="D26" s="3">
        <f>Data!N26</f>
        <v>45.919368743896399</v>
      </c>
      <c r="F26" s="1">
        <v>45631</v>
      </c>
      <c r="G26" s="4">
        <f t="shared" si="4"/>
        <v>8.5457292959341125E-3</v>
      </c>
      <c r="H26" s="4">
        <f t="shared" si="7"/>
        <v>2.5386811600858206E-3</v>
      </c>
      <c r="I26" s="4">
        <f t="shared" si="8"/>
        <v>1.3586408976725473E-2</v>
      </c>
      <c r="P26" s="1">
        <v>45631</v>
      </c>
      <c r="Q26" s="4">
        <f t="shared" si="5"/>
        <v>7.6551139458322041E-3</v>
      </c>
      <c r="R26" s="34">
        <f t="shared" si="6"/>
        <v>7655.1139458322041</v>
      </c>
      <c r="S26" s="34" t="b">
        <f t="shared" si="1"/>
        <v>0</v>
      </c>
      <c r="T26" s="34" t="b">
        <f t="shared" si="2"/>
        <v>0</v>
      </c>
      <c r="U26" s="34" t="b">
        <f t="shared" si="3"/>
        <v>0</v>
      </c>
    </row>
    <row r="27" spans="1:21" x14ac:dyDescent="0.3">
      <c r="A27" s="1">
        <v>45632</v>
      </c>
      <c r="B27" s="3">
        <f>Data!B27</f>
        <v>242.23220825195301</v>
      </c>
      <c r="C27" s="3">
        <f>Data!H27</f>
        <v>126.420104980468</v>
      </c>
      <c r="D27" s="3">
        <f>Data!N27</f>
        <v>45.929191589355398</v>
      </c>
      <c r="F27" s="1">
        <v>45632</v>
      </c>
      <c r="G27" s="4">
        <f t="shared" si="4"/>
        <v>7.6584922087190588E-3</v>
      </c>
      <c r="H27" s="4">
        <f t="shared" si="7"/>
        <v>-2.7623917040190404E-3</v>
      </c>
      <c r="I27" s="4">
        <f t="shared" si="8"/>
        <v>2.1391508044854568E-4</v>
      </c>
      <c r="P27" s="1">
        <v>45632</v>
      </c>
      <c r="Q27" s="4">
        <f t="shared" si="5"/>
        <v>1.2567655051426649E-3</v>
      </c>
      <c r="R27" s="34">
        <f t="shared" si="6"/>
        <v>1256.7655051426648</v>
      </c>
      <c r="S27" s="34" t="b">
        <f t="shared" si="1"/>
        <v>0</v>
      </c>
      <c r="T27" s="34" t="b">
        <f t="shared" si="2"/>
        <v>0</v>
      </c>
      <c r="U27" s="34" t="b">
        <f t="shared" si="3"/>
        <v>0</v>
      </c>
    </row>
    <row r="28" spans="1:21" x14ac:dyDescent="0.3">
      <c r="A28" s="1">
        <v>45635</v>
      </c>
      <c r="B28" s="3">
        <f>Data!B28</f>
        <v>238.75578308105401</v>
      </c>
      <c r="C28" s="3">
        <f>Data!H28</f>
        <v>125.07769012451099</v>
      </c>
      <c r="D28" s="3">
        <f>Data!N28</f>
        <v>45.1039428710937</v>
      </c>
      <c r="F28" s="1">
        <v>45635</v>
      </c>
      <c r="G28" s="4">
        <f t="shared" si="4"/>
        <v>-1.4351622337864578E-2</v>
      </c>
      <c r="H28" s="4">
        <f t="shared" si="7"/>
        <v>-1.0618681705448774E-2</v>
      </c>
      <c r="I28" s="4">
        <f t="shared" si="8"/>
        <v>-1.7967847673873716E-2</v>
      </c>
      <c r="P28" s="1">
        <v>45635</v>
      </c>
      <c r="Q28" s="4">
        <f t="shared" si="5"/>
        <v>-1.3943313685700998E-2</v>
      </c>
      <c r="R28" s="34">
        <f t="shared" si="6"/>
        <v>-13943.313685700998</v>
      </c>
      <c r="S28" s="34" t="b">
        <f t="shared" si="1"/>
        <v>0</v>
      </c>
      <c r="T28" s="34" t="b">
        <f t="shared" si="2"/>
        <v>0</v>
      </c>
      <c r="U28" s="34" t="b">
        <f t="shared" si="3"/>
        <v>0</v>
      </c>
    </row>
    <row r="29" spans="1:21" x14ac:dyDescent="0.3">
      <c r="A29" s="1">
        <v>45636</v>
      </c>
      <c r="B29" s="3">
        <f>Data!B29</f>
        <v>237.82546997070301</v>
      </c>
      <c r="C29" s="3">
        <f>Data!H29</f>
        <v>123.33644104003901</v>
      </c>
      <c r="D29" s="3">
        <f>Data!N29</f>
        <v>44.946750640869098</v>
      </c>
      <c r="F29" s="1">
        <v>45636</v>
      </c>
      <c r="G29" s="4">
        <f t="shared" si="4"/>
        <v>-3.896505032655706E-3</v>
      </c>
      <c r="H29" s="4">
        <f t="shared" si="7"/>
        <v>-1.3921340270504068E-2</v>
      </c>
      <c r="I29" s="4">
        <f t="shared" si="8"/>
        <v>-3.485110618241416E-3</v>
      </c>
      <c r="P29" s="1">
        <v>45636</v>
      </c>
      <c r="Q29" s="4">
        <f t="shared" si="5"/>
        <v>-7.7830208034707637E-3</v>
      </c>
      <c r="R29" s="34">
        <f t="shared" si="6"/>
        <v>-7783.0208034707639</v>
      </c>
      <c r="S29" s="34" t="b">
        <f t="shared" si="1"/>
        <v>0</v>
      </c>
      <c r="T29" s="34" t="b">
        <f t="shared" si="2"/>
        <v>0</v>
      </c>
      <c r="U29" s="34" t="b">
        <f t="shared" si="3"/>
        <v>0</v>
      </c>
    </row>
    <row r="30" spans="1:21" x14ac:dyDescent="0.3">
      <c r="A30" s="1">
        <v>45637</v>
      </c>
      <c r="B30" s="3">
        <f>Data!B30</f>
        <v>238.48158264160099</v>
      </c>
      <c r="C30" s="3">
        <f>Data!H30</f>
        <v>124.11464691162099</v>
      </c>
      <c r="D30" s="3">
        <f>Data!N30</f>
        <v>45.270957946777301</v>
      </c>
      <c r="F30" s="1">
        <v>45637</v>
      </c>
      <c r="G30" s="4">
        <f t="shared" si="4"/>
        <v>2.7587990091171299E-3</v>
      </c>
      <c r="H30" s="4">
        <f t="shared" si="7"/>
        <v>6.3096183497735048E-3</v>
      </c>
      <c r="I30" s="4">
        <f t="shared" si="8"/>
        <v>7.2131422468926232E-3</v>
      </c>
      <c r="P30" s="1">
        <v>45637</v>
      </c>
      <c r="Q30" s="4">
        <f t="shared" si="5"/>
        <v>5.5154297167123272E-3</v>
      </c>
      <c r="R30" s="34">
        <f t="shared" si="6"/>
        <v>5515.4297167123268</v>
      </c>
      <c r="S30" s="34" t="b">
        <f t="shared" si="1"/>
        <v>0</v>
      </c>
      <c r="T30" s="34" t="b">
        <f t="shared" si="2"/>
        <v>0</v>
      </c>
      <c r="U30" s="34" t="b">
        <f t="shared" si="3"/>
        <v>0</v>
      </c>
    </row>
    <row r="31" spans="1:21" x14ac:dyDescent="0.3">
      <c r="A31" s="1">
        <v>45638</v>
      </c>
      <c r="B31" s="3">
        <f>Data!B31</f>
        <v>236.52305603027301</v>
      </c>
      <c r="C31" s="3">
        <f>Data!H31</f>
        <v>124.42592620849599</v>
      </c>
      <c r="D31" s="3">
        <f>Data!N31</f>
        <v>45.270957946777301</v>
      </c>
      <c r="F31" s="1">
        <v>45638</v>
      </c>
      <c r="G31" s="4">
        <f t="shared" si="4"/>
        <v>-8.2124858013514768E-3</v>
      </c>
      <c r="H31" s="4">
        <f t="shared" si="7"/>
        <v>2.5079980858073725E-3</v>
      </c>
      <c r="I31" s="4">
        <f t="shared" si="8"/>
        <v>0</v>
      </c>
      <c r="P31" s="1">
        <v>45638</v>
      </c>
      <c r="Q31" s="4">
        <f t="shared" si="5"/>
        <v>-1.4605465060824939E-3</v>
      </c>
      <c r="R31" s="34">
        <f t="shared" si="6"/>
        <v>-1460.5465060824938</v>
      </c>
      <c r="S31" s="34" t="b">
        <f t="shared" si="1"/>
        <v>0</v>
      </c>
      <c r="T31" s="34" t="b">
        <f t="shared" si="2"/>
        <v>0</v>
      </c>
      <c r="U31" s="34" t="b">
        <f t="shared" si="3"/>
        <v>0</v>
      </c>
    </row>
    <row r="32" spans="1:21" x14ac:dyDescent="0.3">
      <c r="A32" s="1">
        <v>45639</v>
      </c>
      <c r="B32" s="3">
        <f>Data!B32</f>
        <v>234.96600341796801</v>
      </c>
      <c r="C32" s="3">
        <f>Data!H32</f>
        <v>123.92982482910099</v>
      </c>
      <c r="D32" s="3">
        <f>Data!N32</f>
        <v>44.868148803710902</v>
      </c>
      <c r="F32" s="1">
        <v>45639</v>
      </c>
      <c r="G32" s="4">
        <f t="shared" si="4"/>
        <v>-6.5830902003299885E-3</v>
      </c>
      <c r="H32" s="4">
        <f t="shared" si="7"/>
        <v>-3.9871222542776641E-3</v>
      </c>
      <c r="I32" s="4">
        <f t="shared" si="8"/>
        <v>-8.8977384472394005E-3</v>
      </c>
      <c r="P32" s="1">
        <v>45639</v>
      </c>
      <c r="Q32" s="4">
        <f t="shared" si="5"/>
        <v>-6.2390974959818822E-3</v>
      </c>
      <c r="R32" s="34">
        <f t="shared" si="6"/>
        <v>-6239.0974959818823</v>
      </c>
      <c r="S32" s="34" t="b">
        <f t="shared" si="1"/>
        <v>0</v>
      </c>
      <c r="T32" s="34" t="b">
        <f t="shared" si="2"/>
        <v>0</v>
      </c>
      <c r="U32" s="34" t="b">
        <f t="shared" si="3"/>
        <v>0</v>
      </c>
    </row>
    <row r="33" spans="1:21" x14ac:dyDescent="0.3">
      <c r="A33" s="1">
        <v>45642</v>
      </c>
      <c r="B33" s="3">
        <f>Data!B33</f>
        <v>234.61346435546801</v>
      </c>
      <c r="C33" s="3">
        <f>Data!H33</f>
        <v>125.515426635742</v>
      </c>
      <c r="D33" s="3">
        <f>Data!N33</f>
        <v>44.671665191650298</v>
      </c>
      <c r="F33" s="1">
        <v>45642</v>
      </c>
      <c r="G33" s="4">
        <f t="shared" si="4"/>
        <v>-1.500383278311479E-3</v>
      </c>
      <c r="H33" s="4">
        <f t="shared" si="7"/>
        <v>1.2794352036142653E-2</v>
      </c>
      <c r="I33" s="4">
        <f t="shared" si="8"/>
        <v>-4.3791334677117932E-3</v>
      </c>
      <c r="P33" s="1">
        <v>45642</v>
      </c>
      <c r="Q33" s="4">
        <f t="shared" si="5"/>
        <v>3.3538857906500802E-3</v>
      </c>
      <c r="R33" s="34">
        <f t="shared" si="6"/>
        <v>3353.8857906500803</v>
      </c>
      <c r="S33" s="34" t="b">
        <f t="shared" si="1"/>
        <v>0</v>
      </c>
      <c r="T33" s="34" t="b">
        <f t="shared" si="2"/>
        <v>0</v>
      </c>
      <c r="U33" s="34" t="b">
        <f t="shared" si="3"/>
        <v>0</v>
      </c>
    </row>
    <row r="34" spans="1:21" x14ac:dyDescent="0.3">
      <c r="A34" s="1">
        <v>45643</v>
      </c>
      <c r="B34" s="3">
        <f>Data!B34</f>
        <v>233.41876220703099</v>
      </c>
      <c r="C34" s="3">
        <f>Data!H34</f>
        <v>124.260566711425</v>
      </c>
      <c r="D34" s="3">
        <f>Data!N34</f>
        <v>44.259040832519503</v>
      </c>
      <c r="F34" s="1">
        <v>45643</v>
      </c>
      <c r="G34" s="4">
        <f t="shared" si="4"/>
        <v>-5.0922147700223075E-3</v>
      </c>
      <c r="H34" s="4">
        <f t="shared" si="7"/>
        <v>-9.9976549333551379E-3</v>
      </c>
      <c r="I34" s="4">
        <f t="shared" si="8"/>
        <v>-9.2368251185747097E-3</v>
      </c>
      <c r="P34" s="1">
        <v>45643</v>
      </c>
      <c r="Q34" s="4">
        <f t="shared" si="5"/>
        <v>-8.2977739399211596E-3</v>
      </c>
      <c r="R34" s="34">
        <f t="shared" si="6"/>
        <v>-8297.7739399211605</v>
      </c>
      <c r="S34" s="34" t="b">
        <f t="shared" si="1"/>
        <v>0</v>
      </c>
      <c r="T34" s="34" t="b">
        <f t="shared" si="2"/>
        <v>0</v>
      </c>
      <c r="U34" s="34" t="b">
        <f t="shared" si="3"/>
        <v>0</v>
      </c>
    </row>
    <row r="35" spans="1:21" x14ac:dyDescent="0.3">
      <c r="A35" s="1">
        <v>45644</v>
      </c>
      <c r="B35" s="3">
        <f>Data!B35</f>
        <v>225.59440612792901</v>
      </c>
      <c r="C35" s="3">
        <f>Data!H35</f>
        <v>117.74305725097599</v>
      </c>
      <c r="D35" s="3">
        <f>Data!N35</f>
        <v>42.736251831054602</v>
      </c>
      <c r="F35" s="1">
        <v>45644</v>
      </c>
      <c r="G35" s="4">
        <f t="shared" si="4"/>
        <v>-3.352068190714752E-2</v>
      </c>
      <c r="H35" s="4">
        <f t="shared" si="7"/>
        <v>-5.2450343925960596E-2</v>
      </c>
      <c r="I35" s="4">
        <f t="shared" si="8"/>
        <v>-3.4406281130837879E-2</v>
      </c>
      <c r="P35" s="1">
        <v>45644</v>
      </c>
      <c r="Q35" s="4">
        <f t="shared" si="5"/>
        <v>-4.1358226481779864E-2</v>
      </c>
      <c r="R35" s="34">
        <f t="shared" si="6"/>
        <v>-41358.226481779864</v>
      </c>
      <c r="S35" s="34" t="b">
        <f t="shared" si="1"/>
        <v>1</v>
      </c>
      <c r="T35" s="34" t="b">
        <f t="shared" si="2"/>
        <v>0</v>
      </c>
      <c r="U35" s="34" t="b">
        <f t="shared" si="3"/>
        <v>1</v>
      </c>
    </row>
    <row r="36" spans="1:21" x14ac:dyDescent="0.3">
      <c r="A36" s="1">
        <v>45645</v>
      </c>
      <c r="B36" s="3">
        <f>Data!B36</f>
        <v>228.13070678710901</v>
      </c>
      <c r="C36" s="3">
        <f>Data!H36</f>
        <v>117.217765808105</v>
      </c>
      <c r="D36" s="3">
        <f>Data!N36</f>
        <v>42.618358612060497</v>
      </c>
      <c r="F36" s="1">
        <v>45645</v>
      </c>
      <c r="G36" s="4">
        <f t="shared" si="4"/>
        <v>1.1242746230780698E-2</v>
      </c>
      <c r="H36" s="4">
        <f t="shared" si="7"/>
        <v>-4.4613368731483138E-3</v>
      </c>
      <c r="I36" s="4">
        <f t="shared" si="8"/>
        <v>-2.7586232751567463E-3</v>
      </c>
      <c r="P36" s="1">
        <v>45645</v>
      </c>
      <c r="Q36" s="4">
        <f t="shared" si="5"/>
        <v>7.6070213742786004E-4</v>
      </c>
      <c r="R36" s="34">
        <f t="shared" si="6"/>
        <v>760.70213742786007</v>
      </c>
      <c r="S36" s="34" t="b">
        <f t="shared" si="1"/>
        <v>0</v>
      </c>
      <c r="T36" s="34" t="b">
        <f t="shared" si="2"/>
        <v>0</v>
      </c>
      <c r="U36" s="34" t="b">
        <f t="shared" si="3"/>
        <v>0</v>
      </c>
    </row>
    <row r="37" spans="1:21" x14ac:dyDescent="0.3">
      <c r="A37" s="1">
        <v>45646</v>
      </c>
      <c r="B37" s="3">
        <f>Data!B37</f>
        <v>232.67453002929599</v>
      </c>
      <c r="C37" s="3">
        <f>Data!H37</f>
        <v>120.07769775390599</v>
      </c>
      <c r="D37" s="3">
        <f>Data!N37</f>
        <v>43.39448928833</v>
      </c>
      <c r="F37" s="1">
        <v>45646</v>
      </c>
      <c r="G37" s="4">
        <f t="shared" si="4"/>
        <v>1.991763102030486E-2</v>
      </c>
      <c r="H37" s="4">
        <f t="shared" si="7"/>
        <v>2.4398451259367349E-2</v>
      </c>
      <c r="I37" s="4">
        <f t="shared" si="8"/>
        <v>1.8211181789855813E-2</v>
      </c>
      <c r="P37" s="1">
        <v>45646</v>
      </c>
      <c r="Q37" s="4">
        <f t="shared" si="5"/>
        <v>2.1198024346795141E-2</v>
      </c>
      <c r="R37" s="34">
        <f t="shared" si="6"/>
        <v>21198.02434679514</v>
      </c>
      <c r="S37" s="34" t="b">
        <f t="shared" si="1"/>
        <v>0</v>
      </c>
      <c r="T37" s="34" t="b">
        <f t="shared" si="2"/>
        <v>0</v>
      </c>
      <c r="U37" s="34" t="b">
        <f t="shared" si="3"/>
        <v>0</v>
      </c>
    </row>
    <row r="38" spans="1:21" x14ac:dyDescent="0.3">
      <c r="A38" s="1">
        <v>45649</v>
      </c>
      <c r="B38" s="3">
        <f>Data!B38</f>
        <v>233.448150634765</v>
      </c>
      <c r="C38" s="3">
        <f>Data!H38</f>
        <v>121.060173034667</v>
      </c>
      <c r="D38" s="3">
        <f>Data!N38</f>
        <v>43.1194038391113</v>
      </c>
      <c r="F38" s="1">
        <v>45649</v>
      </c>
      <c r="G38" s="4">
        <f t="shared" si="4"/>
        <v>3.3249045581895675E-3</v>
      </c>
      <c r="H38" s="4">
        <f t="shared" si="7"/>
        <v>8.181996316872775E-3</v>
      </c>
      <c r="I38" s="4">
        <f t="shared" si="8"/>
        <v>-6.3391793227689508E-3</v>
      </c>
      <c r="P38" s="1">
        <v>45649</v>
      </c>
      <c r="Q38" s="4">
        <f t="shared" si="5"/>
        <v>2.3685160973752951E-3</v>
      </c>
      <c r="R38" s="34">
        <f t="shared" si="6"/>
        <v>2368.516097375295</v>
      </c>
      <c r="S38" s="34" t="b">
        <f t="shared" si="1"/>
        <v>0</v>
      </c>
      <c r="T38" s="34" t="b">
        <f t="shared" si="2"/>
        <v>0</v>
      </c>
      <c r="U38" s="34" t="b">
        <f t="shared" si="3"/>
        <v>0</v>
      </c>
    </row>
    <row r="39" spans="1:21" x14ac:dyDescent="0.3">
      <c r="A39" s="1">
        <v>45650</v>
      </c>
      <c r="B39" s="3">
        <f>Data!B39</f>
        <v>237.28688049316401</v>
      </c>
      <c r="C39" s="3">
        <f>Data!H39</f>
        <v>123.599082946777</v>
      </c>
      <c r="D39" s="3">
        <f>Data!N39</f>
        <v>43.600803375244098</v>
      </c>
      <c r="F39" s="1">
        <v>45650</v>
      </c>
      <c r="G39" s="4">
        <f t="shared" si="4"/>
        <v>1.6443607918765535E-2</v>
      </c>
      <c r="H39" s="4">
        <f t="shared" si="7"/>
        <v>2.0972297069020041E-2</v>
      </c>
      <c r="I39" s="4">
        <f t="shared" si="8"/>
        <v>1.1164336546233722E-2</v>
      </c>
      <c r="P39" s="1">
        <v>45650</v>
      </c>
      <c r="Q39" s="4">
        <f t="shared" si="5"/>
        <v>1.6671302167107792E-2</v>
      </c>
      <c r="R39" s="34">
        <f t="shared" si="6"/>
        <v>16671.302167107791</v>
      </c>
      <c r="S39" s="34" t="b">
        <f t="shared" si="1"/>
        <v>0</v>
      </c>
      <c r="T39" s="34" t="b">
        <f t="shared" si="2"/>
        <v>0</v>
      </c>
      <c r="U39" s="34" t="b">
        <f t="shared" si="3"/>
        <v>0</v>
      </c>
    </row>
    <row r="40" spans="1:21" x14ac:dyDescent="0.3">
      <c r="A40" s="1">
        <v>45652</v>
      </c>
      <c r="B40" s="3">
        <f>Data!B40</f>
        <v>238.09967041015599</v>
      </c>
      <c r="C40" s="3">
        <f>Data!H40</f>
        <v>124.542663574218</v>
      </c>
      <c r="D40" s="3">
        <f>Data!N40</f>
        <v>43.767818450927699</v>
      </c>
      <c r="F40" s="1">
        <v>45652</v>
      </c>
      <c r="G40" s="4">
        <f t="shared" si="4"/>
        <v>3.425347053755079E-3</v>
      </c>
      <c r="H40" s="4">
        <f t="shared" si="7"/>
        <v>7.6342041133696803E-3</v>
      </c>
      <c r="I40" s="4">
        <f t="shared" si="8"/>
        <v>3.8305504200508711E-3</v>
      </c>
      <c r="P40" s="1">
        <v>45652</v>
      </c>
      <c r="Q40" s="4">
        <f t="shared" si="5"/>
        <v>5.2304508874896575E-3</v>
      </c>
      <c r="R40" s="34">
        <f t="shared" si="6"/>
        <v>5230.4508874896574</v>
      </c>
      <c r="S40" s="34" t="b">
        <f t="shared" si="1"/>
        <v>0</v>
      </c>
      <c r="T40" s="34" t="b">
        <f t="shared" si="2"/>
        <v>0</v>
      </c>
      <c r="U40" s="34" t="b">
        <f t="shared" si="3"/>
        <v>0</v>
      </c>
    </row>
    <row r="41" spans="1:21" x14ac:dyDescent="0.3">
      <c r="A41" s="1">
        <v>45653</v>
      </c>
      <c r="B41" s="3">
        <f>Data!B41</f>
        <v>236.17050170898401</v>
      </c>
      <c r="C41" s="3">
        <f>Data!H41</f>
        <v>123.307258605957</v>
      </c>
      <c r="D41" s="3">
        <f>Data!N41</f>
        <v>43.561504364013601</v>
      </c>
      <c r="F41" s="1">
        <v>45653</v>
      </c>
      <c r="G41" s="4">
        <f t="shared" si="4"/>
        <v>-8.1023577136782876E-3</v>
      </c>
      <c r="H41" s="4">
        <f t="shared" si="7"/>
        <v>-9.9195322534979535E-3</v>
      </c>
      <c r="I41" s="4">
        <f t="shared" si="8"/>
        <v>-4.7138307143504976E-3</v>
      </c>
      <c r="P41" s="1">
        <v>45653</v>
      </c>
      <c r="Q41" s="4">
        <f t="shared" si="5"/>
        <v>-7.8126694298078173E-3</v>
      </c>
      <c r="R41" s="34">
        <f t="shared" si="6"/>
        <v>-7812.6694298078173</v>
      </c>
      <c r="S41" s="34" t="b">
        <f t="shared" si="1"/>
        <v>0</v>
      </c>
      <c r="T41" s="34" t="b">
        <f t="shared" si="2"/>
        <v>0</v>
      </c>
      <c r="U41" s="34" t="b">
        <f t="shared" si="3"/>
        <v>0</v>
      </c>
    </row>
    <row r="42" spans="1:21" x14ac:dyDescent="0.3">
      <c r="A42" s="1">
        <v>45656</v>
      </c>
      <c r="B42" s="3">
        <f>Data!B42</f>
        <v>234.35887145996</v>
      </c>
      <c r="C42" s="3">
        <f>Data!H42</f>
        <v>122.3247756958</v>
      </c>
      <c r="D42" s="3">
        <f>Data!N42</f>
        <v>43.139053344726499</v>
      </c>
      <c r="F42" s="1">
        <v>45656</v>
      </c>
      <c r="G42" s="4">
        <f t="shared" si="4"/>
        <v>-7.6708574352624126E-3</v>
      </c>
      <c r="H42" s="4">
        <f t="shared" si="7"/>
        <v>-7.9677621679730137E-3</v>
      </c>
      <c r="I42" s="4">
        <f t="shared" si="8"/>
        <v>-9.6978060205856753E-3</v>
      </c>
      <c r="P42" s="1">
        <v>45656</v>
      </c>
      <c r="Q42" s="4">
        <f t="shared" si="5"/>
        <v>-8.3977039039436312E-3</v>
      </c>
      <c r="R42" s="34">
        <f t="shared" si="6"/>
        <v>-8397.7039039436313</v>
      </c>
      <c r="S42" s="34" t="b">
        <f t="shared" si="1"/>
        <v>0</v>
      </c>
      <c r="T42" s="34" t="b">
        <f t="shared" si="2"/>
        <v>0</v>
      </c>
      <c r="U42" s="34" t="b">
        <f t="shared" si="3"/>
        <v>0</v>
      </c>
    </row>
    <row r="43" spans="1:21" x14ac:dyDescent="0.3">
      <c r="A43" s="1">
        <v>45657</v>
      </c>
      <c r="B43" s="3">
        <f>Data!B43</f>
        <v>234.74078369140599</v>
      </c>
      <c r="C43" s="3">
        <f>Data!H43</f>
        <v>122.29557800292901</v>
      </c>
      <c r="D43" s="3">
        <f>Data!N43</f>
        <v>43.178352355957003</v>
      </c>
      <c r="F43" s="1">
        <v>45657</v>
      </c>
      <c r="G43" s="4">
        <f t="shared" si="4"/>
        <v>1.629604328894585E-3</v>
      </c>
      <c r="H43" s="4">
        <f t="shared" si="7"/>
        <v>-2.3868993590969723E-4</v>
      </c>
      <c r="I43" s="4">
        <f t="shared" si="8"/>
        <v>9.1098455305593795E-4</v>
      </c>
      <c r="P43" s="1">
        <v>45657</v>
      </c>
      <c r="Q43" s="4">
        <f t="shared" si="5"/>
        <v>6.6670069022127792E-4</v>
      </c>
      <c r="R43" s="34">
        <f t="shared" si="6"/>
        <v>666.70069022127791</v>
      </c>
      <c r="S43" s="34" t="b">
        <f t="shared" si="1"/>
        <v>0</v>
      </c>
      <c r="T43" s="34" t="b">
        <f t="shared" si="2"/>
        <v>0</v>
      </c>
      <c r="U43" s="34" t="b">
        <f t="shared" si="3"/>
        <v>0</v>
      </c>
    </row>
    <row r="44" spans="1:21" x14ac:dyDescent="0.3">
      <c r="A44" s="1">
        <v>45659</v>
      </c>
      <c r="B44" s="3">
        <f>Data!B44</f>
        <v>235.02474975585901</v>
      </c>
      <c r="C44" s="3">
        <f>Data!H44</f>
        <v>121.38118743896401</v>
      </c>
      <c r="D44" s="3">
        <f>Data!N44</f>
        <v>43.512382507324197</v>
      </c>
      <c r="F44" s="1">
        <v>45659</v>
      </c>
      <c r="G44" s="4">
        <f t="shared" si="4"/>
        <v>1.2097005896782864E-3</v>
      </c>
      <c r="H44" s="4">
        <f t="shared" si="7"/>
        <v>-7.4768898344230728E-3</v>
      </c>
      <c r="I44" s="4">
        <f t="shared" si="8"/>
        <v>7.7360559896655356E-3</v>
      </c>
      <c r="P44" s="1">
        <v>45659</v>
      </c>
      <c r="Q44" s="4">
        <f t="shared" si="5"/>
        <v>-3.0702895996608274E-4</v>
      </c>
      <c r="R44" s="34">
        <f t="shared" si="6"/>
        <v>-307.02895996608277</v>
      </c>
      <c r="S44" s="34" t="b">
        <f t="shared" si="1"/>
        <v>0</v>
      </c>
      <c r="T44" s="34" t="b">
        <f t="shared" si="2"/>
        <v>0</v>
      </c>
      <c r="U44" s="34" t="b">
        <f t="shared" si="3"/>
        <v>0</v>
      </c>
    </row>
    <row r="45" spans="1:21" x14ac:dyDescent="0.3">
      <c r="A45" s="1">
        <v>45660</v>
      </c>
      <c r="B45" s="3">
        <f>Data!B45</f>
        <v>238.23677062988199</v>
      </c>
      <c r="C45" s="3">
        <f>Data!H45</f>
        <v>122.509590148925</v>
      </c>
      <c r="D45" s="3">
        <f>Data!N45</f>
        <v>44.0232543945312</v>
      </c>
      <c r="F45" s="1">
        <v>45660</v>
      </c>
      <c r="G45" s="4">
        <f t="shared" si="4"/>
        <v>1.3666734577356676E-2</v>
      </c>
      <c r="H45" s="4">
        <f t="shared" si="7"/>
        <v>9.2963558337935126E-3</v>
      </c>
      <c r="I45" s="4">
        <f t="shared" si="8"/>
        <v>1.1740839222513566E-2</v>
      </c>
      <c r="P45" s="1">
        <v>45660</v>
      </c>
      <c r="Q45" s="4">
        <f t="shared" si="5"/>
        <v>1.1340814473478476E-2</v>
      </c>
      <c r="R45" s="34">
        <f t="shared" si="6"/>
        <v>11340.814473478476</v>
      </c>
      <c r="S45" s="34" t="b">
        <f t="shared" si="1"/>
        <v>0</v>
      </c>
      <c r="T45" s="34" t="b">
        <f t="shared" si="2"/>
        <v>0</v>
      </c>
      <c r="U45" s="34" t="b">
        <f t="shared" si="3"/>
        <v>0</v>
      </c>
    </row>
    <row r="46" spans="1:21" x14ac:dyDescent="0.3">
      <c r="A46" s="1">
        <v>45663</v>
      </c>
      <c r="B46" s="3">
        <f>Data!B46</f>
        <v>237.07528686523401</v>
      </c>
      <c r="C46" s="3">
        <f>Data!H46</f>
        <v>125.13604736328099</v>
      </c>
      <c r="D46" s="3">
        <f>Data!N46</f>
        <v>44.602893829345703</v>
      </c>
      <c r="F46" s="1">
        <v>45663</v>
      </c>
      <c r="G46" s="4">
        <f t="shared" si="4"/>
        <v>-4.8753337344906722E-3</v>
      </c>
      <c r="H46" s="4">
        <f t="shared" si="7"/>
        <v>2.1438788679018606E-2</v>
      </c>
      <c r="I46" s="4">
        <f t="shared" si="8"/>
        <v>1.3166664818094587E-2</v>
      </c>
      <c r="P46" s="1">
        <v>45663</v>
      </c>
      <c r="Q46" s="4">
        <f t="shared" si="5"/>
        <v>1.1062914796688618E-2</v>
      </c>
      <c r="R46" s="34">
        <f t="shared" si="6"/>
        <v>11062.914796688618</v>
      </c>
      <c r="S46" s="34" t="b">
        <f t="shared" si="1"/>
        <v>0</v>
      </c>
      <c r="T46" s="34" t="b">
        <f t="shared" si="2"/>
        <v>0</v>
      </c>
      <c r="U46" s="34" t="b">
        <f t="shared" si="3"/>
        <v>0</v>
      </c>
    </row>
    <row r="47" spans="1:21" x14ac:dyDescent="0.3">
      <c r="A47" s="1">
        <v>45664</v>
      </c>
      <c r="B47" s="3">
        <f>Data!B47</f>
        <v>239.35890197753901</v>
      </c>
      <c r="C47" s="3">
        <f>Data!H47</f>
        <v>123.42398071289</v>
      </c>
      <c r="D47" s="3">
        <f>Data!N47</f>
        <v>45.270957946777301</v>
      </c>
      <c r="F47" s="1">
        <v>45664</v>
      </c>
      <c r="G47" s="4">
        <f t="shared" si="4"/>
        <v>9.6324469011530578E-3</v>
      </c>
      <c r="H47" s="4">
        <f t="shared" si="7"/>
        <v>-1.3681642392145532E-2</v>
      </c>
      <c r="I47" s="4">
        <f t="shared" si="8"/>
        <v>1.4978044249498002E-2</v>
      </c>
      <c r="P47" s="1">
        <v>45664</v>
      </c>
      <c r="Q47" s="4">
        <f t="shared" si="5"/>
        <v>1.9104903883371037E-3</v>
      </c>
      <c r="R47" s="34">
        <f t="shared" si="6"/>
        <v>1910.4903883371037</v>
      </c>
      <c r="S47" s="34" t="b">
        <f t="shared" si="1"/>
        <v>0</v>
      </c>
      <c r="T47" s="34" t="b">
        <f t="shared" si="2"/>
        <v>0</v>
      </c>
      <c r="U47" s="34" t="b">
        <f t="shared" si="3"/>
        <v>0</v>
      </c>
    </row>
    <row r="48" spans="1:21" x14ac:dyDescent="0.3">
      <c r="A48" s="1">
        <v>45665</v>
      </c>
      <c r="B48" s="3">
        <f>Data!B48</f>
        <v>239.31954956054599</v>
      </c>
      <c r="C48" s="3">
        <f>Data!H48</f>
        <v>124.377296447753</v>
      </c>
      <c r="D48" s="3">
        <f>Data!N48</f>
        <v>45.398670196533203</v>
      </c>
      <c r="F48" s="1">
        <v>45665</v>
      </c>
      <c r="G48" s="4">
        <f t="shared" si="4"/>
        <v>-1.644075765216968E-4</v>
      </c>
      <c r="H48" s="4">
        <f t="shared" si="7"/>
        <v>7.72391012959317E-3</v>
      </c>
      <c r="I48" s="4">
        <f t="shared" si="8"/>
        <v>2.8210635592480493E-3</v>
      </c>
      <c r="P48" s="1">
        <v>45665</v>
      </c>
      <c r="Q48" s="4">
        <f t="shared" si="5"/>
        <v>3.8865608466551742E-3</v>
      </c>
      <c r="R48" s="34">
        <f t="shared" si="6"/>
        <v>3886.5608466551744</v>
      </c>
      <c r="S48" s="34" t="b">
        <f t="shared" si="1"/>
        <v>0</v>
      </c>
      <c r="T48" s="34" t="b">
        <f t="shared" si="2"/>
        <v>0</v>
      </c>
      <c r="U48" s="34" t="b">
        <f t="shared" si="3"/>
        <v>0</v>
      </c>
    </row>
    <row r="49" spans="1:21" x14ac:dyDescent="0.3">
      <c r="A49" s="1">
        <v>45667</v>
      </c>
      <c r="B49" s="3">
        <f>Data!B49</f>
        <v>236.11061096191401</v>
      </c>
      <c r="C49" s="3">
        <f>Data!H49</f>
        <v>120.08740997314401</v>
      </c>
      <c r="D49" s="3">
        <f>Data!N49</f>
        <v>44.317985534667898</v>
      </c>
      <c r="F49" s="1">
        <v>45667</v>
      </c>
      <c r="G49" s="4">
        <f t="shared" si="4"/>
        <v>-1.3408593675378611E-2</v>
      </c>
      <c r="H49" s="4">
        <f t="shared" si="7"/>
        <v>-3.4490912707778931E-2</v>
      </c>
      <c r="I49" s="4">
        <f t="shared" si="8"/>
        <v>-2.380432416163214E-2</v>
      </c>
      <c r="P49" s="1">
        <v>45667</v>
      </c>
      <c r="Q49" s="4">
        <f t="shared" si="5"/>
        <v>-2.4960240434214798E-2</v>
      </c>
      <c r="R49" s="34">
        <f t="shared" si="6"/>
        <v>-24960.240434214797</v>
      </c>
      <c r="S49" s="34" t="b">
        <f t="shared" si="1"/>
        <v>0</v>
      </c>
      <c r="T49" s="34" t="b">
        <f t="shared" si="2"/>
        <v>0</v>
      </c>
      <c r="U49" s="34" t="b">
        <f t="shared" si="3"/>
        <v>0</v>
      </c>
    </row>
    <row r="50" spans="1:21" x14ac:dyDescent="0.3">
      <c r="A50" s="1">
        <v>45670</v>
      </c>
      <c r="B50" s="3">
        <f>Data!B50</f>
        <v>240.38261413574199</v>
      </c>
      <c r="C50" s="3">
        <f>Data!H50</f>
        <v>120.612701416015</v>
      </c>
      <c r="D50" s="3">
        <f>Data!N50</f>
        <v>44.268863677978501</v>
      </c>
      <c r="F50" s="1">
        <v>45670</v>
      </c>
      <c r="G50" s="4">
        <f t="shared" si="4"/>
        <v>1.8093228239187686E-2</v>
      </c>
      <c r="H50" s="4">
        <f t="shared" si="7"/>
        <v>4.3742424204875618E-3</v>
      </c>
      <c r="I50" s="4">
        <f t="shared" si="8"/>
        <v>-1.108395521519645E-3</v>
      </c>
      <c r="P50" s="1">
        <v>45670</v>
      </c>
      <c r="Q50" s="4">
        <f t="shared" si="5"/>
        <v>6.8451467834954368E-3</v>
      </c>
      <c r="R50" s="34">
        <f t="shared" si="6"/>
        <v>6845.1467834954365</v>
      </c>
      <c r="S50" s="34" t="b">
        <f t="shared" si="1"/>
        <v>0</v>
      </c>
      <c r="T50" s="34" t="b">
        <f t="shared" si="2"/>
        <v>0</v>
      </c>
      <c r="U50" s="34" t="b">
        <f t="shared" si="3"/>
        <v>0</v>
      </c>
    </row>
    <row r="51" spans="1:21" x14ac:dyDescent="0.3">
      <c r="A51" s="1">
        <v>45671</v>
      </c>
      <c r="B51" s="3">
        <f>Data!B51</f>
        <v>243.59150695800699</v>
      </c>
      <c r="C51" s="3">
        <f>Data!H51</f>
        <v>121.22555541992099</v>
      </c>
      <c r="D51" s="3">
        <f>Data!N51</f>
        <v>44.976222991943303</v>
      </c>
      <c r="F51" s="1">
        <v>45671</v>
      </c>
      <c r="G51" s="4">
        <f t="shared" si="4"/>
        <v>1.3349105274531148E-2</v>
      </c>
      <c r="H51" s="4">
        <f t="shared" si="7"/>
        <v>5.0811730166970825E-3</v>
      </c>
      <c r="I51" s="4">
        <f t="shared" si="8"/>
        <v>1.5978709530705126E-2</v>
      </c>
      <c r="P51" s="1">
        <v>45671</v>
      </c>
      <c r="Q51" s="4">
        <f t="shared" si="5"/>
        <v>1.0830813648249716E-2</v>
      </c>
      <c r="R51" s="34">
        <f t="shared" si="6"/>
        <v>10830.813648249716</v>
      </c>
      <c r="S51" s="34" t="b">
        <f t="shared" si="1"/>
        <v>0</v>
      </c>
      <c r="T51" s="34" t="b">
        <f t="shared" si="2"/>
        <v>0</v>
      </c>
      <c r="U51" s="34" t="b">
        <f t="shared" si="3"/>
        <v>0</v>
      </c>
    </row>
    <row r="52" spans="1:21" x14ac:dyDescent="0.3">
      <c r="A52" s="1">
        <v>45672</v>
      </c>
      <c r="B52" s="3">
        <f>Data!B52</f>
        <v>248.39503479003901</v>
      </c>
      <c r="C52" s="3">
        <f>Data!H52</f>
        <v>126.99403381347599</v>
      </c>
      <c r="D52" s="3">
        <f>Data!N52</f>
        <v>46.273048400878899</v>
      </c>
      <c r="F52" s="1">
        <v>45672</v>
      </c>
      <c r="G52" s="4">
        <f t="shared" si="4"/>
        <v>1.9719603084766391E-2</v>
      </c>
      <c r="H52" s="4">
        <f t="shared" si="7"/>
        <v>4.7584672832169828E-2</v>
      </c>
      <c r="I52" s="4">
        <f t="shared" si="8"/>
        <v>2.8833577447530345E-2</v>
      </c>
      <c r="P52" s="1">
        <v>45672</v>
      </c>
      <c r="Q52" s="4">
        <f t="shared" si="5"/>
        <v>3.3599823292556952E-2</v>
      </c>
      <c r="R52" s="34">
        <f t="shared" si="6"/>
        <v>33599.823292556954</v>
      </c>
      <c r="S52" s="34" t="b">
        <f t="shared" si="1"/>
        <v>0</v>
      </c>
      <c r="T52" s="34" t="b">
        <f t="shared" si="2"/>
        <v>0</v>
      </c>
      <c r="U52" s="34" t="b">
        <f t="shared" si="3"/>
        <v>0</v>
      </c>
    </row>
    <row r="53" spans="1:21" x14ac:dyDescent="0.3">
      <c r="A53" s="1">
        <v>45673</v>
      </c>
      <c r="B53" s="3">
        <f>Data!B53</f>
        <v>250.28494262695301</v>
      </c>
      <c r="C53" s="3">
        <f>Data!H53</f>
        <v>132.11076354980401</v>
      </c>
      <c r="D53" s="3">
        <f>Data!N53</f>
        <v>45.8211250305175</v>
      </c>
      <c r="F53" s="1">
        <v>45673</v>
      </c>
      <c r="G53" s="4">
        <f t="shared" si="4"/>
        <v>7.6084767093331784E-3</v>
      </c>
      <c r="H53" s="4">
        <f t="shared" si="7"/>
        <v>4.0291103311540288E-2</v>
      </c>
      <c r="I53" s="4">
        <f t="shared" si="8"/>
        <v>-9.76644906655455E-3</v>
      </c>
      <c r="P53" s="1">
        <v>45673</v>
      </c>
      <c r="Q53" s="4">
        <f t="shared" si="5"/>
        <v>1.5469049617449706E-2</v>
      </c>
      <c r="R53" s="34">
        <f t="shared" si="6"/>
        <v>15469.049617449706</v>
      </c>
      <c r="S53" s="34" t="b">
        <f t="shared" si="1"/>
        <v>0</v>
      </c>
      <c r="T53" s="34" t="b">
        <f t="shared" si="2"/>
        <v>0</v>
      </c>
      <c r="U53" s="34" t="b">
        <f t="shared" si="3"/>
        <v>0</v>
      </c>
    </row>
    <row r="54" spans="1:21" x14ac:dyDescent="0.3">
      <c r="A54" s="1">
        <v>45674</v>
      </c>
      <c r="B54" s="3">
        <f>Data!B54</f>
        <v>255.09829711914</v>
      </c>
      <c r="C54" s="3">
        <f>Data!H54</f>
        <v>134.11463928222599</v>
      </c>
      <c r="D54" s="3">
        <f>Data!N54</f>
        <v>45.713054656982401</v>
      </c>
      <c r="F54" s="1">
        <v>45674</v>
      </c>
      <c r="G54" s="4">
        <f t="shared" si="4"/>
        <v>1.9231498473966324E-2</v>
      </c>
      <c r="H54" s="4">
        <f t="shared" si="7"/>
        <v>1.5168148897016565E-2</v>
      </c>
      <c r="I54" s="4">
        <f t="shared" si="8"/>
        <v>-2.3585272832808979E-3</v>
      </c>
      <c r="P54" s="1">
        <v>45674</v>
      </c>
      <c r="Q54" s="4">
        <f t="shared" si="5"/>
        <v>1.1129150916012255E-2</v>
      </c>
      <c r="R54" s="34">
        <f t="shared" si="6"/>
        <v>11129.150916012255</v>
      </c>
      <c r="S54" s="34" t="b">
        <f t="shared" si="1"/>
        <v>0</v>
      </c>
      <c r="T54" s="34" t="b">
        <f t="shared" si="2"/>
        <v>0</v>
      </c>
      <c r="U54" s="34" t="b">
        <f t="shared" si="3"/>
        <v>0</v>
      </c>
    </row>
    <row r="55" spans="1:21" x14ac:dyDescent="0.3">
      <c r="A55" s="1">
        <v>45678</v>
      </c>
      <c r="B55" s="3">
        <f>Data!B55</f>
        <v>258.907623291015</v>
      </c>
      <c r="C55" s="3">
        <f>Data!H55</f>
        <v>133.56016540527301</v>
      </c>
      <c r="D55" s="3">
        <f>Data!N55</f>
        <v>45.840770721435497</v>
      </c>
      <c r="F55" s="1">
        <v>45678</v>
      </c>
      <c r="G55" s="4">
        <f t="shared" si="4"/>
        <v>1.4932777736638148E-2</v>
      </c>
      <c r="H55" s="4">
        <f t="shared" si="7"/>
        <v>-4.1343277655631061E-3</v>
      </c>
      <c r="I55" s="4">
        <f t="shared" si="8"/>
        <v>2.7938641469364978E-3</v>
      </c>
      <c r="P55" s="1">
        <v>45678</v>
      </c>
      <c r="Q55" s="4">
        <f t="shared" si="5"/>
        <v>3.6642614588471511E-3</v>
      </c>
      <c r="R55" s="34">
        <f t="shared" si="6"/>
        <v>3664.2614588471511</v>
      </c>
      <c r="S55" s="34" t="b">
        <f t="shared" si="1"/>
        <v>0</v>
      </c>
      <c r="T55" s="34" t="b">
        <f t="shared" si="2"/>
        <v>0</v>
      </c>
      <c r="U55" s="34" t="b">
        <f t="shared" si="3"/>
        <v>0</v>
      </c>
    </row>
    <row r="56" spans="1:21" x14ac:dyDescent="0.3">
      <c r="A56" s="1">
        <v>45679</v>
      </c>
      <c r="B56" s="3">
        <f>Data!B56</f>
        <v>258.72064208984301</v>
      </c>
      <c r="C56" s="3">
        <f>Data!H56</f>
        <v>132.29559326171801</v>
      </c>
      <c r="D56" s="3">
        <f>Data!N56</f>
        <v>44.986045837402301</v>
      </c>
      <c r="F56" s="1">
        <v>45679</v>
      </c>
      <c r="G56" s="4">
        <f t="shared" si="4"/>
        <v>-7.2219272184903538E-4</v>
      </c>
      <c r="H56" s="4">
        <f t="shared" si="7"/>
        <v>-9.4681834191938652E-3</v>
      </c>
      <c r="I56" s="4">
        <f t="shared" si="8"/>
        <v>-1.8645517310936444E-2</v>
      </c>
      <c r="P56" s="1">
        <v>45679</v>
      </c>
      <c r="Q56" s="4">
        <f t="shared" si="5"/>
        <v>-9.5975863775131891E-3</v>
      </c>
      <c r="R56" s="34">
        <f t="shared" si="6"/>
        <v>-9597.5863775131893</v>
      </c>
      <c r="S56" s="34" t="b">
        <f t="shared" si="1"/>
        <v>0</v>
      </c>
      <c r="T56" s="34" t="b">
        <f t="shared" si="2"/>
        <v>0</v>
      </c>
      <c r="U56" s="34" t="b">
        <f t="shared" si="3"/>
        <v>0</v>
      </c>
    </row>
    <row r="57" spans="1:21" x14ac:dyDescent="0.3">
      <c r="A57" s="1">
        <v>45680</v>
      </c>
      <c r="B57" s="3">
        <f>Data!B57</f>
        <v>261.78189086914</v>
      </c>
      <c r="C57" s="3">
        <f>Data!H57</f>
        <v>134.04655456542901</v>
      </c>
      <c r="D57" s="3">
        <f>Data!N57</f>
        <v>45.575511932372997</v>
      </c>
      <c r="F57" s="1">
        <v>45680</v>
      </c>
      <c r="G57" s="4">
        <f t="shared" si="4"/>
        <v>1.183225565061008E-2</v>
      </c>
      <c r="H57" s="4">
        <f t="shared" si="7"/>
        <v>1.3235220165248363E-2</v>
      </c>
      <c r="I57" s="4">
        <f t="shared" si="8"/>
        <v>1.3103309793024875E-2</v>
      </c>
      <c r="P57" s="1">
        <v>45680</v>
      </c>
      <c r="Q57" s="4">
        <f t="shared" si="5"/>
        <v>1.2774757699189832E-2</v>
      </c>
      <c r="R57" s="34">
        <f t="shared" si="6"/>
        <v>12774.757699189831</v>
      </c>
      <c r="S57" s="34" t="b">
        <f t="shared" si="1"/>
        <v>0</v>
      </c>
      <c r="T57" s="34" t="b">
        <f t="shared" si="2"/>
        <v>0</v>
      </c>
      <c r="U57" s="34" t="b">
        <f t="shared" si="3"/>
        <v>0</v>
      </c>
    </row>
    <row r="58" spans="1:21" x14ac:dyDescent="0.3">
      <c r="A58" s="1">
        <v>45681</v>
      </c>
      <c r="B58" s="3">
        <f>Data!B58</f>
        <v>260.68930053710898</v>
      </c>
      <c r="C58" s="3">
        <f>Data!H58</f>
        <v>134.06600952148401</v>
      </c>
      <c r="D58" s="3">
        <f>Data!N58</f>
        <v>45.703231811523402</v>
      </c>
      <c r="F58" s="1">
        <v>45681</v>
      </c>
      <c r="G58" s="4">
        <f t="shared" si="4"/>
        <v>-4.1736665909299919E-3</v>
      </c>
      <c r="H58" s="4">
        <f t="shared" si="7"/>
        <v>1.4513581582220603E-4</v>
      </c>
      <c r="I58" s="4">
        <f t="shared" si="8"/>
        <v>2.8023794738700758E-3</v>
      </c>
      <c r="P58" s="1">
        <v>45681</v>
      </c>
      <c r="Q58" s="4">
        <f t="shared" si="5"/>
        <v>-3.5333180878909236E-4</v>
      </c>
      <c r="R58" s="34">
        <f t="shared" si="6"/>
        <v>-353.33180878909235</v>
      </c>
      <c r="S58" s="34" t="b">
        <f t="shared" si="1"/>
        <v>0</v>
      </c>
      <c r="T58" s="34" t="b">
        <f t="shared" si="2"/>
        <v>0</v>
      </c>
      <c r="U58" s="34" t="b">
        <f t="shared" si="3"/>
        <v>0</v>
      </c>
    </row>
    <row r="59" spans="1:21" x14ac:dyDescent="0.3">
      <c r="A59" s="1">
        <v>45684</v>
      </c>
      <c r="B59" s="3">
        <f>Data!B59</f>
        <v>261.68344116210898</v>
      </c>
      <c r="C59" s="3">
        <f>Data!H59</f>
        <v>132.92787170410099</v>
      </c>
      <c r="D59" s="3">
        <f>Data!N59</f>
        <v>46.263221740722599</v>
      </c>
      <c r="F59" s="1">
        <v>45684</v>
      </c>
      <c r="G59" s="4">
        <f t="shared" si="4"/>
        <v>3.8135075852814282E-3</v>
      </c>
      <c r="H59" s="4">
        <f t="shared" si="7"/>
        <v>-8.4893838598263383E-3</v>
      </c>
      <c r="I59" s="4">
        <f t="shared" si="8"/>
        <v>1.2252742464877509E-2</v>
      </c>
      <c r="P59" s="1">
        <v>45684</v>
      </c>
      <c r="Q59" s="4">
        <f t="shared" si="5"/>
        <v>1.4241214711171448E-3</v>
      </c>
      <c r="R59" s="34">
        <f t="shared" si="6"/>
        <v>1424.1214711171449</v>
      </c>
      <c r="S59" s="34" t="b">
        <f t="shared" si="1"/>
        <v>0</v>
      </c>
      <c r="T59" s="34" t="b">
        <f t="shared" si="2"/>
        <v>0</v>
      </c>
      <c r="U59" s="34" t="b">
        <f t="shared" si="3"/>
        <v>0</v>
      </c>
    </row>
    <row r="60" spans="1:21" x14ac:dyDescent="0.3">
      <c r="A60" s="1">
        <v>45685</v>
      </c>
      <c r="B60" s="3">
        <f>Data!B60</f>
        <v>262.95324707031199</v>
      </c>
      <c r="C60" s="3">
        <f>Data!H60</f>
        <v>134.76638793945301</v>
      </c>
      <c r="D60" s="3">
        <f>Data!N60</f>
        <v>46.017608642578097</v>
      </c>
      <c r="F60" s="1">
        <v>45685</v>
      </c>
      <c r="G60" s="4">
        <f t="shared" si="4"/>
        <v>4.8524503597320301E-3</v>
      </c>
      <c r="H60" s="4">
        <f t="shared" si="7"/>
        <v>1.383093110408451E-2</v>
      </c>
      <c r="I60" s="4">
        <f t="shared" si="8"/>
        <v>-5.3090357502773022E-3</v>
      </c>
      <c r="P60" s="1">
        <v>45685</v>
      </c>
      <c r="Q60" s="4">
        <f t="shared" si="5"/>
        <v>5.3953968244702223E-3</v>
      </c>
      <c r="R60" s="34">
        <f t="shared" si="6"/>
        <v>5395.3968244702228</v>
      </c>
      <c r="S60" s="34" t="b">
        <f t="shared" si="1"/>
        <v>0</v>
      </c>
      <c r="T60" s="34" t="b">
        <f t="shared" si="2"/>
        <v>0</v>
      </c>
      <c r="U60" s="34" t="b">
        <f t="shared" si="3"/>
        <v>0</v>
      </c>
    </row>
    <row r="61" spans="1:21" x14ac:dyDescent="0.3">
      <c r="A61" s="1">
        <v>45686</v>
      </c>
      <c r="B61" s="3">
        <f>Data!B61</f>
        <v>262.40200805664</v>
      </c>
      <c r="C61" s="3">
        <f>Data!H61</f>
        <v>134.93176269531199</v>
      </c>
      <c r="D61" s="3">
        <f>Data!N61</f>
        <v>45.929191589355398</v>
      </c>
      <c r="F61" s="1">
        <v>45686</v>
      </c>
      <c r="G61" s="4">
        <f t="shared" si="4"/>
        <v>-2.0963384929206796E-3</v>
      </c>
      <c r="H61" s="4">
        <f t="shared" si="7"/>
        <v>1.2271216761650106E-3</v>
      </c>
      <c r="I61" s="4">
        <f t="shared" si="8"/>
        <v>-1.9213743571387942E-3</v>
      </c>
      <c r="P61" s="1">
        <v>45686</v>
      </c>
      <c r="Q61" s="4">
        <f t="shared" si="5"/>
        <v>-7.1446518455183796E-4</v>
      </c>
      <c r="R61" s="34">
        <f t="shared" si="6"/>
        <v>-714.46518455183798</v>
      </c>
      <c r="S61" s="34" t="b">
        <f t="shared" si="1"/>
        <v>0</v>
      </c>
      <c r="T61" s="34" t="b">
        <f t="shared" si="2"/>
        <v>0</v>
      </c>
      <c r="U61" s="34" t="b">
        <f t="shared" si="3"/>
        <v>0</v>
      </c>
    </row>
    <row r="62" spans="1:21" x14ac:dyDescent="0.3">
      <c r="A62" s="1">
        <v>45687</v>
      </c>
      <c r="B62" s="3">
        <f>Data!B62</f>
        <v>264.02615356445301</v>
      </c>
      <c r="C62" s="3">
        <f>Data!H62</f>
        <v>136.12826538085901</v>
      </c>
      <c r="D62" s="3">
        <f>Data!N62</f>
        <v>45.899715423583899</v>
      </c>
      <c r="F62" s="1">
        <v>45687</v>
      </c>
      <c r="G62" s="4">
        <f t="shared" si="4"/>
        <v>6.1895315506215187E-3</v>
      </c>
      <c r="H62" s="4">
        <f t="shared" si="7"/>
        <v>8.8674650182167802E-3</v>
      </c>
      <c r="I62" s="4">
        <f t="shared" si="8"/>
        <v>-6.4177410382137978E-4</v>
      </c>
      <c r="P62" s="1">
        <v>45687</v>
      </c>
      <c r="Q62" s="4">
        <f t="shared" si="5"/>
        <v>5.2113132413267533E-3</v>
      </c>
      <c r="R62" s="34">
        <f t="shared" si="6"/>
        <v>5211.3132413267531</v>
      </c>
      <c r="S62" s="34" t="b">
        <f t="shared" si="1"/>
        <v>0</v>
      </c>
      <c r="T62" s="34" t="b">
        <f t="shared" si="2"/>
        <v>0</v>
      </c>
      <c r="U62" s="34" t="b">
        <f t="shared" si="3"/>
        <v>0</v>
      </c>
    </row>
    <row r="63" spans="1:21" x14ac:dyDescent="0.3">
      <c r="A63" s="1">
        <v>45688</v>
      </c>
      <c r="B63" s="3">
        <f>Data!B63</f>
        <v>263.11071777343699</v>
      </c>
      <c r="C63" s="3">
        <f>Data!H63</f>
        <v>135.55538940429599</v>
      </c>
      <c r="D63" s="3">
        <f>Data!N63</f>
        <v>45.487094879150298</v>
      </c>
      <c r="F63" s="1">
        <v>45688</v>
      </c>
      <c r="G63" s="4">
        <f t="shared" si="4"/>
        <v>-3.4672163293570923E-3</v>
      </c>
      <c r="H63" s="4">
        <f t="shared" si="7"/>
        <v>-4.2083543411077784E-3</v>
      </c>
      <c r="I63" s="4">
        <f t="shared" si="8"/>
        <v>-8.9896100798392276E-3</v>
      </c>
      <c r="P63" s="1">
        <v>45688</v>
      </c>
      <c r="Q63" s="4">
        <f t="shared" si="5"/>
        <v>-5.4203896592020075E-3</v>
      </c>
      <c r="R63" s="34">
        <f t="shared" si="6"/>
        <v>-5420.3896592020074</v>
      </c>
      <c r="S63" s="34" t="b">
        <f t="shared" si="1"/>
        <v>0</v>
      </c>
      <c r="T63" s="34" t="b">
        <f t="shared" si="2"/>
        <v>0</v>
      </c>
      <c r="U63" s="34" t="b">
        <f t="shared" si="3"/>
        <v>0</v>
      </c>
    </row>
    <row r="64" spans="1:21" x14ac:dyDescent="0.3">
      <c r="A64" s="1">
        <v>45691</v>
      </c>
      <c r="B64" s="3">
        <f>Data!B64</f>
        <v>262.62838745117102</v>
      </c>
      <c r="C64" s="3">
        <f>Data!H64</f>
        <v>134.31178283691401</v>
      </c>
      <c r="D64" s="3">
        <f>Data!N64</f>
        <v>45.398670196533203</v>
      </c>
      <c r="F64" s="1">
        <v>45691</v>
      </c>
      <c r="G64" s="4">
        <f t="shared" si="4"/>
        <v>-1.8331838639933373E-3</v>
      </c>
      <c r="H64" s="4">
        <f t="shared" si="7"/>
        <v>-9.1741580533762912E-3</v>
      </c>
      <c r="I64" s="4">
        <f t="shared" si="8"/>
        <v>-1.9439509788879983E-3</v>
      </c>
      <c r="P64" s="1">
        <v>45691</v>
      </c>
      <c r="Q64" s="4">
        <f t="shared" si="5"/>
        <v>-4.802803674214917E-3</v>
      </c>
      <c r="R64" s="34">
        <f t="shared" si="6"/>
        <v>-4802.803674214917</v>
      </c>
      <c r="S64" s="34" t="b">
        <f t="shared" si="1"/>
        <v>0</v>
      </c>
      <c r="T64" s="34" t="b">
        <f t="shared" si="2"/>
        <v>0</v>
      </c>
      <c r="U64" s="34" t="b">
        <f t="shared" si="3"/>
        <v>0</v>
      </c>
    </row>
    <row r="65" spans="1:21" x14ac:dyDescent="0.3">
      <c r="A65" s="1">
        <v>45692</v>
      </c>
      <c r="B65" s="3">
        <f>Data!B65</f>
        <v>263.74069213867102</v>
      </c>
      <c r="C65" s="3">
        <f>Data!H65</f>
        <v>133.92988586425699</v>
      </c>
      <c r="D65" s="3">
        <f>Data!N65</f>
        <v>45.889896392822202</v>
      </c>
      <c r="F65" s="1">
        <v>45692</v>
      </c>
      <c r="G65" s="4">
        <f t="shared" si="4"/>
        <v>4.2352797361131511E-3</v>
      </c>
      <c r="H65" s="4">
        <f t="shared" si="7"/>
        <v>-2.8433616514549342E-3</v>
      </c>
      <c r="I65" s="4">
        <f t="shared" si="8"/>
        <v>1.0820277205531692E-2</v>
      </c>
      <c r="P65" s="1">
        <v>45692</v>
      </c>
      <c r="Q65" s="4">
        <f t="shared" si="5"/>
        <v>3.3793224219114794E-3</v>
      </c>
      <c r="R65" s="34">
        <f t="shared" si="6"/>
        <v>3379.3224219114795</v>
      </c>
      <c r="S65" s="34" t="b">
        <f t="shared" si="1"/>
        <v>0</v>
      </c>
      <c r="T65" s="34" t="b">
        <f t="shared" si="2"/>
        <v>0</v>
      </c>
      <c r="U65" s="34" t="b">
        <f t="shared" si="3"/>
        <v>0</v>
      </c>
    </row>
    <row r="66" spans="1:21" x14ac:dyDescent="0.3">
      <c r="A66" s="1">
        <v>45693</v>
      </c>
      <c r="B66" s="3">
        <f>Data!B66</f>
        <v>266.191650390625</v>
      </c>
      <c r="C66" s="3">
        <f>Data!H66</f>
        <v>136.04502868652301</v>
      </c>
      <c r="D66" s="3">
        <f>Data!N66</f>
        <v>46.282867431640597</v>
      </c>
      <c r="F66" s="1">
        <v>45693</v>
      </c>
      <c r="G66" s="4">
        <f t="shared" si="4"/>
        <v>9.2930606653041092E-3</v>
      </c>
      <c r="H66" s="4">
        <f t="shared" si="7"/>
        <v>1.5792911407464416E-2</v>
      </c>
      <c r="I66" s="4">
        <f t="shared" si="8"/>
        <v>8.5633455228253386E-3</v>
      </c>
      <c r="P66" s="1">
        <v>45693</v>
      </c>
      <c r="Q66" s="4">
        <f t="shared" si="5"/>
        <v>1.1674086419424599E-2</v>
      </c>
      <c r="R66" s="34">
        <f t="shared" si="6"/>
        <v>11674.086419424599</v>
      </c>
      <c r="S66" s="34" t="b">
        <f t="shared" si="1"/>
        <v>0</v>
      </c>
      <c r="T66" s="34" t="b">
        <f t="shared" si="2"/>
        <v>0</v>
      </c>
      <c r="U66" s="34" t="b">
        <f t="shared" si="3"/>
        <v>0</v>
      </c>
    </row>
    <row r="67" spans="1:21" x14ac:dyDescent="0.3">
      <c r="A67" s="1">
        <v>45694</v>
      </c>
      <c r="B67" s="3">
        <f>Data!B67</f>
        <v>272.56027221679602</v>
      </c>
      <c r="C67" s="3">
        <f>Data!H67</f>
        <v>138.15037536621</v>
      </c>
      <c r="D67" s="3">
        <f>Data!N67</f>
        <v>46.901809692382798</v>
      </c>
      <c r="F67" s="1">
        <v>45694</v>
      </c>
      <c r="G67" s="4">
        <f t="shared" si="4"/>
        <v>2.3924949624923864E-2</v>
      </c>
      <c r="H67" s="4">
        <f t="shared" si="7"/>
        <v>1.5475366501911392E-2</v>
      </c>
      <c r="I67" s="4">
        <f t="shared" si="8"/>
        <v>1.3373031860145046E-2</v>
      </c>
      <c r="P67" s="1">
        <v>45694</v>
      </c>
      <c r="Q67" s="4">
        <f t="shared" si="5"/>
        <v>1.7379541046285231E-2</v>
      </c>
      <c r="R67" s="34">
        <f t="shared" si="6"/>
        <v>17379.541046285231</v>
      </c>
      <c r="S67" s="34" t="b">
        <f t="shared" si="1"/>
        <v>0</v>
      </c>
      <c r="T67" s="34" t="b">
        <f t="shared" si="2"/>
        <v>0</v>
      </c>
      <c r="U67" s="34" t="b">
        <f t="shared" si="3"/>
        <v>0</v>
      </c>
    </row>
    <row r="68" spans="1:21" x14ac:dyDescent="0.3">
      <c r="A68" s="1">
        <v>45695</v>
      </c>
      <c r="B68" s="3">
        <f>Data!B68</f>
        <v>271.47747802734301</v>
      </c>
      <c r="C68" s="3">
        <f>Data!H68</f>
        <v>137.07321166992099</v>
      </c>
      <c r="D68" s="3">
        <f>Data!N68</f>
        <v>46.567779541015597</v>
      </c>
      <c r="F68" s="1">
        <v>45695</v>
      </c>
      <c r="G68" s="4">
        <f t="shared" si="4"/>
        <v>-3.9726779719083671E-3</v>
      </c>
      <c r="H68" s="4">
        <f t="shared" si="7"/>
        <v>-7.7970377817190295E-3</v>
      </c>
      <c r="I68" s="4">
        <f t="shared" si="8"/>
        <v>-7.1219032604077359E-3</v>
      </c>
      <c r="P68" s="1">
        <v>45695</v>
      </c>
      <c r="Q68" s="4">
        <f t="shared" si="5"/>
        <v>-6.447189482382442E-3</v>
      </c>
      <c r="R68" s="34">
        <f t="shared" si="6"/>
        <v>-6447.1894823824423</v>
      </c>
      <c r="S68" s="34" t="b">
        <f t="shared" ref="S68:S131" si="9">$L$9&gt;R68</f>
        <v>0</v>
      </c>
      <c r="T68" s="34" t="b">
        <f t="shared" ref="T68:T131" si="10">$L$10&gt;R68</f>
        <v>0</v>
      </c>
      <c r="U68" s="34" t="b">
        <f t="shared" ref="U68:U131" si="11">$L$11&gt;R68</f>
        <v>0</v>
      </c>
    </row>
    <row r="69" spans="1:21" x14ac:dyDescent="0.3">
      <c r="A69" s="1">
        <v>45698</v>
      </c>
      <c r="B69" s="3">
        <f>Data!B69</f>
        <v>266.79214477539</v>
      </c>
      <c r="C69" s="3">
        <f>Data!H69</f>
        <v>134.45866394042901</v>
      </c>
      <c r="D69" s="3">
        <f>Data!N69</f>
        <v>45.850589752197202</v>
      </c>
      <c r="F69" s="1">
        <v>45698</v>
      </c>
      <c r="G69" s="4">
        <f t="shared" ref="G69:G132" si="12">B69/B68-1</f>
        <v>-1.7258644385524713E-2</v>
      </c>
      <c r="H69" s="4">
        <f t="shared" si="7"/>
        <v>-1.907409695621598E-2</v>
      </c>
      <c r="I69" s="4">
        <f t="shared" si="8"/>
        <v>-1.5400987461442361E-2</v>
      </c>
      <c r="P69" s="1">
        <v>45698</v>
      </c>
      <c r="Q69" s="4">
        <f t="shared" ref="Q69:Q132" si="13">SUMPRODUCT(G69:I69,$L$3:$N$3)</f>
        <v>-1.7427528336576514E-2</v>
      </c>
      <c r="R69" s="34">
        <f t="shared" ref="R69:R132" si="14">Q69*1000000</f>
        <v>-17427.528336576514</v>
      </c>
      <c r="S69" s="34" t="b">
        <f t="shared" si="9"/>
        <v>0</v>
      </c>
      <c r="T69" s="34" t="b">
        <f t="shared" si="10"/>
        <v>0</v>
      </c>
      <c r="U69" s="34" t="b">
        <f t="shared" si="11"/>
        <v>0</v>
      </c>
    </row>
    <row r="70" spans="1:21" x14ac:dyDescent="0.3">
      <c r="A70" s="1">
        <v>45699</v>
      </c>
      <c r="B70" s="3">
        <f>Data!B70</f>
        <v>270.68017578125</v>
      </c>
      <c r="C70" s="3">
        <f>Data!H70</f>
        <v>134.92869567871</v>
      </c>
      <c r="D70" s="3">
        <f>Data!N70</f>
        <v>45.968490600585902</v>
      </c>
      <c r="F70" s="1">
        <v>45699</v>
      </c>
      <c r="G70" s="4">
        <f t="shared" si="12"/>
        <v>1.4573258928344046E-2</v>
      </c>
      <c r="H70" s="4">
        <f t="shared" si="7"/>
        <v>3.4957341126731212E-3</v>
      </c>
      <c r="I70" s="4">
        <f t="shared" si="8"/>
        <v>2.571413999817862E-3</v>
      </c>
      <c r="P70" s="1">
        <v>45699</v>
      </c>
      <c r="Q70" s="4">
        <f t="shared" si="13"/>
        <v>6.5416955235178213E-3</v>
      </c>
      <c r="R70" s="34">
        <f t="shared" si="14"/>
        <v>6541.6955235178211</v>
      </c>
      <c r="S70" s="34" t="b">
        <f t="shared" si="9"/>
        <v>0</v>
      </c>
      <c r="T70" s="34" t="b">
        <f t="shared" si="10"/>
        <v>0</v>
      </c>
      <c r="U70" s="34" t="b">
        <f t="shared" si="11"/>
        <v>0</v>
      </c>
    </row>
    <row r="71" spans="1:21" x14ac:dyDescent="0.3">
      <c r="A71" s="1">
        <v>45700</v>
      </c>
      <c r="B71" s="3">
        <f>Data!B71</f>
        <v>271.13299560546801</v>
      </c>
      <c r="C71" s="3">
        <f>Data!H71</f>
        <v>134.26281738281199</v>
      </c>
      <c r="D71" s="3">
        <f>Data!N71</f>
        <v>45.398670196533203</v>
      </c>
      <c r="F71" s="1">
        <v>45700</v>
      </c>
      <c r="G71" s="4">
        <f t="shared" si="12"/>
        <v>1.6728961510057427E-3</v>
      </c>
      <c r="H71" s="4">
        <f t="shared" si="7"/>
        <v>-4.9350384108328704E-3</v>
      </c>
      <c r="I71" s="4">
        <f t="shared" si="8"/>
        <v>-1.2395891111670165E-2</v>
      </c>
      <c r="P71" s="1">
        <v>45700</v>
      </c>
      <c r="Q71" s="4">
        <f t="shared" si="13"/>
        <v>-5.1909138525324753E-3</v>
      </c>
      <c r="R71" s="34">
        <f t="shared" si="14"/>
        <v>-5190.9138525324752</v>
      </c>
      <c r="S71" s="34" t="b">
        <f t="shared" si="9"/>
        <v>0</v>
      </c>
      <c r="T71" s="34" t="b">
        <f t="shared" si="10"/>
        <v>0</v>
      </c>
      <c r="U71" s="34" t="b">
        <f t="shared" si="11"/>
        <v>0</v>
      </c>
    </row>
    <row r="72" spans="1:21" x14ac:dyDescent="0.3">
      <c r="A72" s="1">
        <v>45701</v>
      </c>
      <c r="B72" s="3">
        <f>Data!B72</f>
        <v>271.98934936523398</v>
      </c>
      <c r="C72" s="3">
        <f>Data!H72</f>
        <v>133.99841308593699</v>
      </c>
      <c r="D72" s="3">
        <f>Data!N72</f>
        <v>45.516563415527301</v>
      </c>
      <c r="F72" s="1">
        <v>45701</v>
      </c>
      <c r="G72" s="4">
        <f t="shared" si="12"/>
        <v>3.158426947829307E-3</v>
      </c>
      <c r="H72" s="4">
        <f t="shared" si="7"/>
        <v>-1.9693039519730338E-3</v>
      </c>
      <c r="I72" s="4">
        <f t="shared" si="8"/>
        <v>2.5968430018705746E-3</v>
      </c>
      <c r="P72" s="1">
        <v>45701</v>
      </c>
      <c r="Q72" s="4">
        <f t="shared" si="13"/>
        <v>9.3885940412075086E-4</v>
      </c>
      <c r="R72" s="34">
        <f t="shared" si="14"/>
        <v>938.85940412075081</v>
      </c>
      <c r="S72" s="34" t="b">
        <f t="shared" si="9"/>
        <v>0</v>
      </c>
      <c r="T72" s="34" t="b">
        <f t="shared" si="10"/>
        <v>0</v>
      </c>
      <c r="U72" s="34" t="b">
        <f t="shared" si="11"/>
        <v>0</v>
      </c>
    </row>
    <row r="73" spans="1:21" x14ac:dyDescent="0.3">
      <c r="A73" s="1">
        <v>45702</v>
      </c>
      <c r="B73" s="3">
        <f>Data!B73</f>
        <v>272.255126953125</v>
      </c>
      <c r="C73" s="3">
        <f>Data!H73</f>
        <v>136.06462097167901</v>
      </c>
      <c r="D73" s="3">
        <f>Data!N73</f>
        <v>46.135505676269503</v>
      </c>
      <c r="F73" s="1">
        <v>45702</v>
      </c>
      <c r="G73" s="4">
        <f t="shared" si="12"/>
        <v>9.7716174736728334E-4</v>
      </c>
      <c r="H73" s="4">
        <f t="shared" si="7"/>
        <v>1.5419644443228631E-2</v>
      </c>
      <c r="I73" s="4">
        <f t="shared" si="8"/>
        <v>1.3598176450444921E-2</v>
      </c>
      <c r="P73" s="1">
        <v>45702</v>
      </c>
      <c r="Q73" s="4">
        <f t="shared" si="13"/>
        <v>1.0540459236635113E-2</v>
      </c>
      <c r="R73" s="34">
        <f t="shared" si="14"/>
        <v>10540.459236635113</v>
      </c>
      <c r="S73" s="34" t="b">
        <f t="shared" si="9"/>
        <v>0</v>
      </c>
      <c r="T73" s="34" t="b">
        <f t="shared" si="10"/>
        <v>0</v>
      </c>
      <c r="U73" s="34" t="b">
        <f t="shared" si="11"/>
        <v>0</v>
      </c>
    </row>
    <row r="74" spans="1:21" x14ac:dyDescent="0.3">
      <c r="A74" s="1">
        <v>45706</v>
      </c>
      <c r="B74" s="3">
        <f>Data!B74</f>
        <v>275.5625</v>
      </c>
      <c r="C74" s="3">
        <f>Data!H74</f>
        <v>137.78807067871</v>
      </c>
      <c r="D74" s="3">
        <f>Data!N74</f>
        <v>45.713054656982401</v>
      </c>
      <c r="F74" s="1">
        <v>45706</v>
      </c>
      <c r="G74" s="4">
        <f t="shared" si="12"/>
        <v>1.2148065250005224E-2</v>
      </c>
      <c r="H74" s="4">
        <f t="shared" si="7"/>
        <v>1.2666405820435322E-2</v>
      </c>
      <c r="I74" s="4">
        <f t="shared" si="8"/>
        <v>-9.1567440975161007E-3</v>
      </c>
      <c r="P74" s="1">
        <v>45706</v>
      </c>
      <c r="Q74" s="4">
        <f t="shared" si="13"/>
        <v>5.9639586739208671E-3</v>
      </c>
      <c r="R74" s="34">
        <f t="shared" si="14"/>
        <v>5963.9586739208671</v>
      </c>
      <c r="S74" s="34" t="b">
        <f t="shared" si="9"/>
        <v>0</v>
      </c>
      <c r="T74" s="34" t="b">
        <f t="shared" si="10"/>
        <v>0</v>
      </c>
      <c r="U74" s="34" t="b">
        <f t="shared" si="11"/>
        <v>0</v>
      </c>
    </row>
    <row r="75" spans="1:21" x14ac:dyDescent="0.3">
      <c r="A75" s="1">
        <v>45707</v>
      </c>
      <c r="B75" s="3">
        <f>Data!B75</f>
        <v>274.873443603515</v>
      </c>
      <c r="C75" s="3">
        <f>Data!H75</f>
        <v>137.76847839355401</v>
      </c>
      <c r="D75" s="3">
        <f>Data!N75</f>
        <v>45.202178955078097</v>
      </c>
      <c r="F75" s="1">
        <v>45707</v>
      </c>
      <c r="G75" s="4">
        <f t="shared" si="12"/>
        <v>-2.50054487270579E-3</v>
      </c>
      <c r="H75" s="4">
        <f t="shared" si="7"/>
        <v>-1.4219144704974429E-4</v>
      </c>
      <c r="I75" s="4">
        <f t="shared" si="8"/>
        <v>-1.117570693399883E-2</v>
      </c>
      <c r="P75" s="1">
        <v>45707</v>
      </c>
      <c r="Q75" s="4">
        <f t="shared" si="13"/>
        <v>-4.1597521208312834E-3</v>
      </c>
      <c r="R75" s="34">
        <f t="shared" si="14"/>
        <v>-4159.7521208312837</v>
      </c>
      <c r="S75" s="34" t="b">
        <f t="shared" si="9"/>
        <v>0</v>
      </c>
      <c r="T75" s="34" t="b">
        <f t="shared" si="10"/>
        <v>0</v>
      </c>
      <c r="U75" s="34" t="b">
        <f t="shared" si="11"/>
        <v>0</v>
      </c>
    </row>
    <row r="76" spans="1:21" x14ac:dyDescent="0.3">
      <c r="A76" s="1">
        <v>45708</v>
      </c>
      <c r="B76" s="3">
        <f>Data!B76</f>
        <v>262.618560791015</v>
      </c>
      <c r="C76" s="3">
        <f>Data!H76</f>
        <v>131.55033874511699</v>
      </c>
      <c r="D76" s="3">
        <f>Data!N76</f>
        <v>44.504653930663999</v>
      </c>
      <c r="F76" s="1">
        <v>45708</v>
      </c>
      <c r="G76" s="4">
        <f t="shared" si="12"/>
        <v>-4.4583727885247337E-2</v>
      </c>
      <c r="H76" s="4">
        <f t="shared" si="7"/>
        <v>-4.5134705129529551E-2</v>
      </c>
      <c r="I76" s="4">
        <f t="shared" si="8"/>
        <v>-1.5431225674038762E-2</v>
      </c>
      <c r="P76" s="1">
        <v>45708</v>
      </c>
      <c r="Q76" s="4">
        <f t="shared" si="13"/>
        <v>-3.6058368119597659E-2</v>
      </c>
      <c r="R76" s="34">
        <f t="shared" si="14"/>
        <v>-36058.368119597661</v>
      </c>
      <c r="S76" s="34" t="b">
        <f t="shared" si="9"/>
        <v>0</v>
      </c>
      <c r="T76" s="34" t="b">
        <f t="shared" si="10"/>
        <v>0</v>
      </c>
      <c r="U76" s="34" t="b">
        <f t="shared" si="11"/>
        <v>0</v>
      </c>
    </row>
    <row r="77" spans="1:21" x14ac:dyDescent="0.3">
      <c r="A77" s="1">
        <v>45709</v>
      </c>
      <c r="B77" s="3">
        <f>Data!B77</f>
        <v>260.09869384765602</v>
      </c>
      <c r="C77" s="3">
        <f>Data!H77</f>
        <v>128.95536804199199</v>
      </c>
      <c r="D77" s="3">
        <f>Data!N77</f>
        <v>44.0232543945312</v>
      </c>
      <c r="F77" s="1">
        <v>45709</v>
      </c>
      <c r="G77" s="4">
        <f t="shared" si="12"/>
        <v>-9.5951593663793355E-3</v>
      </c>
      <c r="H77" s="4">
        <f t="shared" si="7"/>
        <v>-1.9726066294309175E-2</v>
      </c>
      <c r="I77" s="4">
        <f t="shared" si="8"/>
        <v>-1.0816835850084194E-2</v>
      </c>
      <c r="P77" s="1">
        <v>45709</v>
      </c>
      <c r="Q77" s="4">
        <f t="shared" si="13"/>
        <v>-1.4014025082662728E-2</v>
      </c>
      <c r="R77" s="34">
        <f t="shared" si="14"/>
        <v>-14014.025082662729</v>
      </c>
      <c r="S77" s="34" t="b">
        <f t="shared" si="9"/>
        <v>0</v>
      </c>
      <c r="T77" s="34" t="b">
        <f t="shared" si="10"/>
        <v>0</v>
      </c>
      <c r="U77" s="34" t="b">
        <f t="shared" si="11"/>
        <v>0</v>
      </c>
    </row>
    <row r="78" spans="1:21" x14ac:dyDescent="0.3">
      <c r="A78" s="1">
        <v>45712</v>
      </c>
      <c r="B78" s="3">
        <f>Data!B78</f>
        <v>257.24411010742102</v>
      </c>
      <c r="C78" s="3">
        <f>Data!H78</f>
        <v>127.271095275878</v>
      </c>
      <c r="D78" s="3">
        <f>Data!N78</f>
        <v>43.679397583007798</v>
      </c>
      <c r="F78" s="1">
        <v>45712</v>
      </c>
      <c r="G78" s="4">
        <f t="shared" si="12"/>
        <v>-1.0975002211687346E-2</v>
      </c>
      <c r="H78" s="4">
        <f t="shared" si="7"/>
        <v>-1.3060896895471186E-2</v>
      </c>
      <c r="I78" s="4">
        <f t="shared" si="8"/>
        <v>-7.810799457073303E-3</v>
      </c>
      <c r="P78" s="1">
        <v>45712</v>
      </c>
      <c r="Q78" s="4">
        <f t="shared" si="13"/>
        <v>-1.0860099258816669E-2</v>
      </c>
      <c r="R78" s="34">
        <f t="shared" si="14"/>
        <v>-10860.09925881667</v>
      </c>
      <c r="S78" s="34" t="b">
        <f t="shared" si="9"/>
        <v>0</v>
      </c>
      <c r="T78" s="34" t="b">
        <f t="shared" si="10"/>
        <v>0</v>
      </c>
      <c r="U78" s="34" t="b">
        <f t="shared" si="11"/>
        <v>0</v>
      </c>
    </row>
    <row r="79" spans="1:21" x14ac:dyDescent="0.3">
      <c r="A79" s="1">
        <v>45713</v>
      </c>
      <c r="B79" s="3">
        <f>Data!B79</f>
        <v>253.36587524414</v>
      </c>
      <c r="C79" s="3">
        <f>Data!H79</f>
        <v>126.908767700195</v>
      </c>
      <c r="D79" s="3">
        <f>Data!N79</f>
        <v>43.168525695800703</v>
      </c>
      <c r="F79" s="1">
        <v>45713</v>
      </c>
      <c r="G79" s="4">
        <f t="shared" si="12"/>
        <v>-1.5076088084821637E-2</v>
      </c>
      <c r="H79" s="4">
        <f t="shared" si="7"/>
        <v>-2.8468960284941947E-3</v>
      </c>
      <c r="I79" s="4">
        <f t="shared" si="8"/>
        <v>-1.1695946269319357E-2</v>
      </c>
      <c r="P79" s="1">
        <v>45713</v>
      </c>
      <c r="Q79" s="4">
        <f t="shared" si="13"/>
        <v>-9.1703687176399769E-3</v>
      </c>
      <c r="R79" s="34">
        <f t="shared" si="14"/>
        <v>-9170.3687176399762</v>
      </c>
      <c r="S79" s="34" t="b">
        <f t="shared" si="9"/>
        <v>0</v>
      </c>
      <c r="T79" s="34" t="b">
        <f t="shared" si="10"/>
        <v>0</v>
      </c>
      <c r="U79" s="34" t="b">
        <f t="shared" si="11"/>
        <v>0</v>
      </c>
    </row>
    <row r="80" spans="1:21" x14ac:dyDescent="0.3">
      <c r="A80" s="1">
        <v>45714</v>
      </c>
      <c r="B80" s="3">
        <f>Data!B80</f>
        <v>254.734115600585</v>
      </c>
      <c r="C80" s="3">
        <f>Data!H80</f>
        <v>128.32865905761699</v>
      </c>
      <c r="D80" s="3">
        <f>Data!N80</f>
        <v>43.168525695800703</v>
      </c>
      <c r="F80" s="1">
        <v>45714</v>
      </c>
      <c r="G80" s="4">
        <f t="shared" si="12"/>
        <v>5.4002550861538268E-3</v>
      </c>
      <c r="H80" s="4">
        <f t="shared" si="7"/>
        <v>1.1188284175734031E-2</v>
      </c>
      <c r="I80" s="4">
        <f t="shared" si="8"/>
        <v>0</v>
      </c>
      <c r="P80" s="1">
        <v>45714</v>
      </c>
      <c r="Q80" s="4">
        <f t="shared" si="13"/>
        <v>6.0953901961397607E-3</v>
      </c>
      <c r="R80" s="34">
        <f t="shared" si="14"/>
        <v>6095.3901961397605</v>
      </c>
      <c r="S80" s="34" t="b">
        <f t="shared" si="9"/>
        <v>0</v>
      </c>
      <c r="T80" s="34" t="b">
        <f t="shared" si="10"/>
        <v>0</v>
      </c>
      <c r="U80" s="34" t="b">
        <f t="shared" si="11"/>
        <v>0</v>
      </c>
    </row>
    <row r="81" spans="1:21" x14ac:dyDescent="0.3">
      <c r="A81" s="1">
        <v>45715</v>
      </c>
      <c r="B81" s="3">
        <f>Data!B81</f>
        <v>254.989990234375</v>
      </c>
      <c r="C81" s="3">
        <f>Data!H81</f>
        <v>126.55624389648401</v>
      </c>
      <c r="D81" s="3">
        <f>Data!N81</f>
        <v>43.345363616943303</v>
      </c>
      <c r="F81" s="1">
        <v>45715</v>
      </c>
      <c r="G81" s="4">
        <f t="shared" si="12"/>
        <v>1.0044772887476405E-3</v>
      </c>
      <c r="H81" s="4">
        <f t="shared" si="7"/>
        <v>-1.3811530285976148E-2</v>
      </c>
      <c r="I81" s="4">
        <f t="shared" si="8"/>
        <v>4.096454958613549E-3</v>
      </c>
      <c r="P81" s="1">
        <v>45715</v>
      </c>
      <c r="Q81" s="4">
        <f t="shared" si="13"/>
        <v>-3.9943324401821023E-3</v>
      </c>
      <c r="R81" s="34">
        <f t="shared" si="14"/>
        <v>-3994.3324401821023</v>
      </c>
      <c r="S81" s="34" t="b">
        <f t="shared" si="9"/>
        <v>0</v>
      </c>
      <c r="T81" s="34" t="b">
        <f t="shared" si="10"/>
        <v>0</v>
      </c>
      <c r="U81" s="34" t="b">
        <f t="shared" si="11"/>
        <v>0</v>
      </c>
    </row>
    <row r="82" spans="1:21" x14ac:dyDescent="0.3">
      <c r="A82" s="1">
        <v>45716</v>
      </c>
      <c r="B82" s="3">
        <f>Data!B82</f>
        <v>260.50225830078102</v>
      </c>
      <c r="C82" s="3">
        <f>Data!H82</f>
        <v>130.34588623046801</v>
      </c>
      <c r="D82" s="3">
        <f>Data!N82</f>
        <v>45.290599822997997</v>
      </c>
      <c r="F82" s="1">
        <v>45716</v>
      </c>
      <c r="G82" s="4">
        <f t="shared" si="12"/>
        <v>2.1617586091671193E-2</v>
      </c>
      <c r="H82" s="4">
        <f t="shared" si="7"/>
        <v>2.9944333185834227E-2</v>
      </c>
      <c r="I82" s="4">
        <f t="shared" si="8"/>
        <v>4.4877607285645604E-2</v>
      </c>
      <c r="P82" s="1">
        <v>45716</v>
      </c>
      <c r="Q82" s="4">
        <f t="shared" si="13"/>
        <v>3.1926291287528732E-2</v>
      </c>
      <c r="R82" s="34">
        <f t="shared" si="14"/>
        <v>31926.291287528733</v>
      </c>
      <c r="S82" s="34" t="b">
        <f t="shared" si="9"/>
        <v>0</v>
      </c>
      <c r="T82" s="34" t="b">
        <f t="shared" si="10"/>
        <v>0</v>
      </c>
      <c r="U82" s="34" t="b">
        <f t="shared" si="11"/>
        <v>0</v>
      </c>
    </row>
    <row r="83" spans="1:21" x14ac:dyDescent="0.3">
      <c r="A83" s="1">
        <v>45719</v>
      </c>
      <c r="B83" s="3">
        <f>Data!B83</f>
        <v>256.53543090820301</v>
      </c>
      <c r="C83" s="3">
        <f>Data!H83</f>
        <v>126.448532104492</v>
      </c>
      <c r="D83" s="3">
        <f>Data!N83</f>
        <v>44.760086059570298</v>
      </c>
      <c r="F83" s="1">
        <v>45719</v>
      </c>
      <c r="G83" s="4">
        <f t="shared" si="12"/>
        <v>-1.5227612299613336E-2</v>
      </c>
      <c r="H83" s="4">
        <f t="shared" si="7"/>
        <v>-2.9900093042330433E-2</v>
      </c>
      <c r="I83" s="4">
        <f t="shared" si="8"/>
        <v>-1.1713551277771073E-2</v>
      </c>
      <c r="P83" s="1">
        <v>45719</v>
      </c>
      <c r="Q83" s="4">
        <f t="shared" si="13"/>
        <v>-2.0042386290147495E-2</v>
      </c>
      <c r="R83" s="34">
        <f t="shared" si="14"/>
        <v>-20042.386290147497</v>
      </c>
      <c r="S83" s="34" t="b">
        <f t="shared" si="9"/>
        <v>0</v>
      </c>
      <c r="T83" s="34" t="b">
        <f t="shared" si="10"/>
        <v>0</v>
      </c>
      <c r="U83" s="34" t="b">
        <f t="shared" si="11"/>
        <v>0</v>
      </c>
    </row>
    <row r="84" spans="1:21" x14ac:dyDescent="0.3">
      <c r="A84" s="1">
        <v>45720</v>
      </c>
      <c r="B84" s="3">
        <f>Data!B84</f>
        <v>246.32794189453099</v>
      </c>
      <c r="C84" s="3">
        <f>Data!H84</f>
        <v>119.19239807128901</v>
      </c>
      <c r="D84" s="3">
        <f>Data!N84</f>
        <v>41.920822143554602</v>
      </c>
      <c r="F84" s="1">
        <v>45720</v>
      </c>
      <c r="G84" s="4">
        <f t="shared" si="12"/>
        <v>-3.9789782555707087E-2</v>
      </c>
      <c r="H84" s="4">
        <f t="shared" ref="H84:H147" si="15">C84/C83-1</f>
        <v>-5.7384090684475586E-2</v>
      </c>
      <c r="I84" s="4">
        <f t="shared" ref="I84:I147" si="16">D84/D83-1</f>
        <v>-6.3432941398659848E-2</v>
      </c>
      <c r="P84" s="1">
        <v>45720</v>
      </c>
      <c r="Q84" s="4">
        <f t="shared" si="13"/>
        <v>-5.3920453460100312E-2</v>
      </c>
      <c r="R84" s="34">
        <f t="shared" si="14"/>
        <v>-53920.453460100311</v>
      </c>
      <c r="S84" s="34" t="b">
        <f t="shared" si="9"/>
        <v>1</v>
      </c>
      <c r="T84" s="34" t="b">
        <f t="shared" si="10"/>
        <v>0</v>
      </c>
      <c r="U84" s="34" t="b">
        <f t="shared" si="11"/>
        <v>1</v>
      </c>
    </row>
    <row r="85" spans="1:21" x14ac:dyDescent="0.3">
      <c r="A85" s="1">
        <v>45721</v>
      </c>
      <c r="B85" s="3">
        <f>Data!B85</f>
        <v>247.58787536621</v>
      </c>
      <c r="C85" s="3">
        <f>Data!H85</f>
        <v>121.1802444458</v>
      </c>
      <c r="D85" s="3">
        <f>Data!N85</f>
        <v>41.547500610351499</v>
      </c>
      <c r="F85" s="1">
        <v>45721</v>
      </c>
      <c r="G85" s="4">
        <f t="shared" si="12"/>
        <v>5.114862171090806E-3</v>
      </c>
      <c r="H85" s="4">
        <f t="shared" si="15"/>
        <v>1.66776271530511E-2</v>
      </c>
      <c r="I85" s="4">
        <f t="shared" si="16"/>
        <v>-8.905396271206012E-3</v>
      </c>
      <c r="P85" s="1">
        <v>45721</v>
      </c>
      <c r="Q85" s="4">
        <f t="shared" si="13"/>
        <v>5.5338906311858775E-3</v>
      </c>
      <c r="R85" s="34">
        <f t="shared" si="14"/>
        <v>5533.8906311858773</v>
      </c>
      <c r="S85" s="34" t="b">
        <f t="shared" si="9"/>
        <v>0</v>
      </c>
      <c r="T85" s="34" t="b">
        <f t="shared" si="10"/>
        <v>0</v>
      </c>
      <c r="U85" s="34" t="b">
        <f t="shared" si="11"/>
        <v>0</v>
      </c>
    </row>
    <row r="86" spans="1:21" x14ac:dyDescent="0.3">
      <c r="A86" s="1">
        <v>45722</v>
      </c>
      <c r="B86" s="3">
        <f>Data!B86</f>
        <v>242.67608642578099</v>
      </c>
      <c r="C86" s="3">
        <f>Data!H86</f>
        <v>116.89120483398401</v>
      </c>
      <c r="D86" s="3">
        <f>Data!N86</f>
        <v>40.732067108154297</v>
      </c>
      <c r="F86" s="1">
        <v>45722</v>
      </c>
      <c r="G86" s="4">
        <f t="shared" si="12"/>
        <v>-1.9838568157523606E-2</v>
      </c>
      <c r="H86" s="4">
        <f t="shared" si="15"/>
        <v>-3.5393884798890163E-2</v>
      </c>
      <c r="I86" s="4">
        <f t="shared" si="16"/>
        <v>-1.9626535657214395E-2</v>
      </c>
      <c r="P86" s="1">
        <v>45722</v>
      </c>
      <c r="Q86" s="4">
        <f t="shared" si="13"/>
        <v>-2.5997085063977465E-2</v>
      </c>
      <c r="R86" s="34">
        <f t="shared" si="14"/>
        <v>-25997.085063977465</v>
      </c>
      <c r="S86" s="34" t="b">
        <f t="shared" si="9"/>
        <v>0</v>
      </c>
      <c r="T86" s="34" t="b">
        <f t="shared" si="10"/>
        <v>0</v>
      </c>
      <c r="U86" s="34" t="b">
        <f t="shared" si="11"/>
        <v>0</v>
      </c>
    </row>
    <row r="87" spans="1:21" x14ac:dyDescent="0.3">
      <c r="A87" s="1">
        <v>45723</v>
      </c>
      <c r="B87" s="3">
        <f>Data!B87</f>
        <v>238.48284912109301</v>
      </c>
      <c r="C87" s="3">
        <f>Data!H87</f>
        <v>116.812858581542</v>
      </c>
      <c r="D87" s="3">
        <f>Data!N87</f>
        <v>40.929801940917898</v>
      </c>
      <c r="F87" s="1">
        <v>45723</v>
      </c>
      <c r="G87" s="4">
        <f t="shared" si="12"/>
        <v>-1.7279153320986285E-2</v>
      </c>
      <c r="H87" s="4">
        <f t="shared" si="15"/>
        <v>-6.7024933615211779E-4</v>
      </c>
      <c r="I87" s="4">
        <f t="shared" si="16"/>
        <v>4.8545248695226473E-3</v>
      </c>
      <c r="P87" s="1">
        <v>45723</v>
      </c>
      <c r="Q87" s="4">
        <f t="shared" si="13"/>
        <v>-3.9954882698999385E-3</v>
      </c>
      <c r="R87" s="34">
        <f t="shared" si="14"/>
        <v>-3995.4882698999386</v>
      </c>
      <c r="S87" s="34" t="b">
        <f t="shared" si="9"/>
        <v>0</v>
      </c>
      <c r="T87" s="34" t="b">
        <f t="shared" si="10"/>
        <v>0</v>
      </c>
      <c r="U87" s="34" t="b">
        <f t="shared" si="11"/>
        <v>0</v>
      </c>
    </row>
    <row r="88" spans="1:21" x14ac:dyDescent="0.3">
      <c r="A88" s="1">
        <v>45726</v>
      </c>
      <c r="B88" s="3">
        <f>Data!B88</f>
        <v>228.58052062988199</v>
      </c>
      <c r="C88" s="3">
        <f>Data!H88</f>
        <v>109.370681762695</v>
      </c>
      <c r="D88" s="3">
        <f>Data!N88</f>
        <v>39.377632141113203</v>
      </c>
      <c r="F88" s="1">
        <v>45726</v>
      </c>
      <c r="G88" s="4">
        <f t="shared" si="12"/>
        <v>-4.1522182948187547E-2</v>
      </c>
      <c r="H88" s="4">
        <f t="shared" si="15"/>
        <v>-6.37102533849212E-2</v>
      </c>
      <c r="I88" s="4">
        <f t="shared" si="16"/>
        <v>-3.7922729312134251E-2</v>
      </c>
      <c r="P88" s="1">
        <v>45726</v>
      </c>
      <c r="Q88" s="4">
        <f t="shared" si="13"/>
        <v>-4.931757503206502E-2</v>
      </c>
      <c r="R88" s="34">
        <f t="shared" si="14"/>
        <v>-49317.575032065019</v>
      </c>
      <c r="S88" s="34" t="b">
        <f t="shared" si="9"/>
        <v>1</v>
      </c>
      <c r="T88" s="34" t="b">
        <f t="shared" si="10"/>
        <v>0</v>
      </c>
      <c r="U88" s="34" t="b">
        <f t="shared" si="11"/>
        <v>1</v>
      </c>
    </row>
    <row r="89" spans="1:21" x14ac:dyDescent="0.3">
      <c r="A89" s="1">
        <v>45727</v>
      </c>
      <c r="B89" s="3">
        <f>Data!B89</f>
        <v>225.54879760742099</v>
      </c>
      <c r="C89" s="3">
        <f>Data!H89</f>
        <v>109.713409423828</v>
      </c>
      <c r="D89" s="3">
        <f>Data!N89</f>
        <v>39.160129547119098</v>
      </c>
      <c r="F89" s="1">
        <v>45727</v>
      </c>
      <c r="G89" s="4">
        <f t="shared" si="12"/>
        <v>-1.3263260640524854E-2</v>
      </c>
      <c r="H89" s="4">
        <f t="shared" si="15"/>
        <v>3.1336337637231093E-3</v>
      </c>
      <c r="I89" s="4">
        <f t="shared" si="16"/>
        <v>-5.5235061675283914E-3</v>
      </c>
      <c r="P89" s="1">
        <v>45727</v>
      </c>
      <c r="Q89" s="4">
        <f t="shared" si="13"/>
        <v>-4.3825765369267296E-3</v>
      </c>
      <c r="R89" s="34">
        <f t="shared" si="14"/>
        <v>-4382.5765369267292</v>
      </c>
      <c r="S89" s="34" t="b">
        <f t="shared" si="9"/>
        <v>0</v>
      </c>
      <c r="T89" s="34" t="b">
        <f t="shared" si="10"/>
        <v>0</v>
      </c>
      <c r="U89" s="34" t="b">
        <f t="shared" si="11"/>
        <v>0</v>
      </c>
    </row>
    <row r="90" spans="1:21" x14ac:dyDescent="0.3">
      <c r="A90" s="1">
        <v>45728</v>
      </c>
      <c r="B90" s="3">
        <f>Data!B90</f>
        <v>224.32821655273401</v>
      </c>
      <c r="C90" s="3">
        <f>Data!H90</f>
        <v>111.63271331787099</v>
      </c>
      <c r="D90" s="3">
        <f>Data!N90</f>
        <v>39.456722259521399</v>
      </c>
      <c r="F90" s="1">
        <v>45728</v>
      </c>
      <c r="G90" s="4">
        <f t="shared" si="12"/>
        <v>-5.4116052385766444E-3</v>
      </c>
      <c r="H90" s="4">
        <f t="shared" si="15"/>
        <v>1.7493795007578639E-2</v>
      </c>
      <c r="I90" s="4">
        <f t="shared" si="16"/>
        <v>7.5738440049191169E-3</v>
      </c>
      <c r="P90" s="1">
        <v>45728</v>
      </c>
      <c r="Q90" s="4">
        <f t="shared" si="13"/>
        <v>7.6461896329341975E-3</v>
      </c>
      <c r="R90" s="34">
        <f t="shared" si="14"/>
        <v>7646.1896329341971</v>
      </c>
      <c r="S90" s="34" t="b">
        <f t="shared" si="9"/>
        <v>0</v>
      </c>
      <c r="T90" s="34" t="b">
        <f t="shared" si="10"/>
        <v>0</v>
      </c>
      <c r="U90" s="34" t="b">
        <f t="shared" si="11"/>
        <v>0</v>
      </c>
    </row>
    <row r="91" spans="1:21" x14ac:dyDescent="0.3">
      <c r="A91" s="1">
        <v>45729</v>
      </c>
      <c r="B91" s="3">
        <f>Data!B91</f>
        <v>221.66069030761699</v>
      </c>
      <c r="C91" s="3">
        <f>Data!H91</f>
        <v>109.36089324951099</v>
      </c>
      <c r="D91" s="3">
        <f>Data!N91</f>
        <v>39.219444274902301</v>
      </c>
      <c r="F91" s="1">
        <v>45729</v>
      </c>
      <c r="G91" s="4">
        <f t="shared" si="12"/>
        <v>-1.1891175733971693E-2</v>
      </c>
      <c r="H91" s="4">
        <f t="shared" si="15"/>
        <v>-2.0350845203332635E-2</v>
      </c>
      <c r="I91" s="4">
        <f t="shared" si="16"/>
        <v>-6.01362634884961E-3</v>
      </c>
      <c r="P91" s="1">
        <v>45729</v>
      </c>
      <c r="Q91" s="4">
        <f t="shared" si="13"/>
        <v>-1.3511778706179445E-2</v>
      </c>
      <c r="R91" s="34">
        <f t="shared" si="14"/>
        <v>-13511.778706179444</v>
      </c>
      <c r="S91" s="34" t="b">
        <f t="shared" si="9"/>
        <v>0</v>
      </c>
      <c r="T91" s="34" t="b">
        <f t="shared" si="10"/>
        <v>0</v>
      </c>
      <c r="U91" s="34" t="b">
        <f t="shared" si="11"/>
        <v>0</v>
      </c>
    </row>
    <row r="92" spans="1:21" x14ac:dyDescent="0.3">
      <c r="A92" s="1">
        <v>45730</v>
      </c>
      <c r="B92" s="3">
        <f>Data!B92</f>
        <v>228.79705810546801</v>
      </c>
      <c r="C92" s="3">
        <f>Data!H92</f>
        <v>112.94487762451099</v>
      </c>
      <c r="D92" s="3">
        <f>Data!N92</f>
        <v>40.425590515136697</v>
      </c>
      <c r="F92" s="1">
        <v>45730</v>
      </c>
      <c r="G92" s="4">
        <f t="shared" si="12"/>
        <v>3.2195008451644247E-2</v>
      </c>
      <c r="H92" s="4">
        <f t="shared" si="15"/>
        <v>3.2772083955303843E-2</v>
      </c>
      <c r="I92" s="4">
        <f t="shared" si="16"/>
        <v>3.0753782021492038E-2</v>
      </c>
      <c r="P92" s="1">
        <v>45730</v>
      </c>
      <c r="Q92" s="4">
        <f t="shared" si="13"/>
        <v>3.1993470724062424E-2</v>
      </c>
      <c r="R92" s="34">
        <f t="shared" si="14"/>
        <v>31993.470724062423</v>
      </c>
      <c r="S92" s="34" t="b">
        <f t="shared" si="9"/>
        <v>0</v>
      </c>
      <c r="T92" s="34" t="b">
        <f t="shared" si="10"/>
        <v>0</v>
      </c>
      <c r="U92" s="34" t="b">
        <f t="shared" si="11"/>
        <v>0</v>
      </c>
    </row>
    <row r="93" spans="1:21" x14ac:dyDescent="0.3">
      <c r="A93" s="1">
        <v>45733</v>
      </c>
      <c r="B93" s="3">
        <f>Data!B93</f>
        <v>230.26370239257801</v>
      </c>
      <c r="C93" s="3">
        <f>Data!H93</f>
        <v>115.51047515869099</v>
      </c>
      <c r="D93" s="3">
        <f>Data!N93</f>
        <v>40.969345092773402</v>
      </c>
      <c r="F93" s="1">
        <v>45733</v>
      </c>
      <c r="G93" s="4">
        <f t="shared" si="12"/>
        <v>6.4102410199431414E-3</v>
      </c>
      <c r="H93" s="4">
        <f t="shared" si="15"/>
        <v>2.2715483766421185E-2</v>
      </c>
      <c r="I93" s="4">
        <f t="shared" si="16"/>
        <v>1.345075163300602E-2</v>
      </c>
      <c r="P93" s="1">
        <v>45733</v>
      </c>
      <c r="Q93" s="4">
        <f t="shared" si="13"/>
        <v>1.5044491302453222E-2</v>
      </c>
      <c r="R93" s="34">
        <f t="shared" si="14"/>
        <v>15044.491302453222</v>
      </c>
      <c r="S93" s="34" t="b">
        <f t="shared" si="9"/>
        <v>0</v>
      </c>
      <c r="T93" s="34" t="b">
        <f t="shared" si="10"/>
        <v>0</v>
      </c>
      <c r="U93" s="34" t="b">
        <f t="shared" si="11"/>
        <v>0</v>
      </c>
    </row>
    <row r="94" spans="1:21" x14ac:dyDescent="0.3">
      <c r="A94" s="1">
        <v>45734</v>
      </c>
      <c r="B94" s="3">
        <f>Data!B94</f>
        <v>231.28741455078099</v>
      </c>
      <c r="C94" s="3">
        <f>Data!H94</f>
        <v>115.65736389160099</v>
      </c>
      <c r="D94" s="3">
        <f>Data!N94</f>
        <v>41.176959991455</v>
      </c>
      <c r="F94" s="1">
        <v>45734</v>
      </c>
      <c r="G94" s="4">
        <f t="shared" si="12"/>
        <v>4.4458251455439246E-3</v>
      </c>
      <c r="H94" s="4">
        <f t="shared" si="15"/>
        <v>1.2716485903827568E-3</v>
      </c>
      <c r="I94" s="4">
        <f t="shared" si="16"/>
        <v>5.0675669384381283E-3</v>
      </c>
      <c r="P94" s="1">
        <v>45734</v>
      </c>
      <c r="Q94" s="4">
        <f t="shared" si="13"/>
        <v>3.3626770613477187E-3</v>
      </c>
      <c r="R94" s="34">
        <f t="shared" si="14"/>
        <v>3362.6770613477188</v>
      </c>
      <c r="S94" s="34" t="b">
        <f t="shared" si="9"/>
        <v>0</v>
      </c>
      <c r="T94" s="34" t="b">
        <f t="shared" si="10"/>
        <v>0</v>
      </c>
      <c r="U94" s="34" t="b">
        <f t="shared" si="11"/>
        <v>0</v>
      </c>
    </row>
    <row r="95" spans="1:21" x14ac:dyDescent="0.3">
      <c r="A95" s="1">
        <v>45735</v>
      </c>
      <c r="B95" s="3">
        <f>Data!B95</f>
        <v>235.362533569335</v>
      </c>
      <c r="C95" s="3">
        <f>Data!H95</f>
        <v>117.36122894287099</v>
      </c>
      <c r="D95" s="3">
        <f>Data!N95</f>
        <v>41.730598449707003</v>
      </c>
      <c r="F95" s="1">
        <v>45735</v>
      </c>
      <c r="G95" s="4">
        <f t="shared" si="12"/>
        <v>1.7619285625501524E-2</v>
      </c>
      <c r="H95" s="4">
        <f t="shared" si="15"/>
        <v>1.4732006626633209E-2</v>
      </c>
      <c r="I95" s="4">
        <f t="shared" si="16"/>
        <v>1.3445345609945258E-2</v>
      </c>
      <c r="P95" s="1">
        <v>45735</v>
      </c>
      <c r="Q95" s="4">
        <f t="shared" si="13"/>
        <v>1.5212192021287319E-2</v>
      </c>
      <c r="R95" s="34">
        <f t="shared" si="14"/>
        <v>15212.192021287319</v>
      </c>
      <c r="S95" s="34" t="b">
        <f t="shared" si="9"/>
        <v>0</v>
      </c>
      <c r="T95" s="34" t="b">
        <f t="shared" si="10"/>
        <v>0</v>
      </c>
      <c r="U95" s="34" t="b">
        <f t="shared" si="11"/>
        <v>0</v>
      </c>
    </row>
    <row r="96" spans="1:21" x14ac:dyDescent="0.3">
      <c r="A96" s="1">
        <v>45736</v>
      </c>
      <c r="B96" s="3">
        <f>Data!B96</f>
        <v>235.26409912109301</v>
      </c>
      <c r="C96" s="3">
        <f>Data!H96</f>
        <v>117.968360900878</v>
      </c>
      <c r="D96" s="3">
        <f>Data!N96</f>
        <v>41.997535705566399</v>
      </c>
      <c r="F96" s="1">
        <v>45736</v>
      </c>
      <c r="G96" s="4">
        <f t="shared" si="12"/>
        <v>-4.1822479877828833E-4</v>
      </c>
      <c r="H96" s="4">
        <f t="shared" si="15"/>
        <v>5.1731901878988573E-3</v>
      </c>
      <c r="I96" s="4">
        <f t="shared" si="16"/>
        <v>6.3966793138876543E-3</v>
      </c>
      <c r="P96" s="1">
        <v>45736</v>
      </c>
      <c r="Q96" s="4">
        <f t="shared" si="13"/>
        <v>3.8628124296923531E-3</v>
      </c>
      <c r="R96" s="34">
        <f t="shared" si="14"/>
        <v>3862.8124296923529</v>
      </c>
      <c r="S96" s="34" t="b">
        <f t="shared" si="9"/>
        <v>0</v>
      </c>
      <c r="T96" s="34" t="b">
        <f t="shared" si="10"/>
        <v>0</v>
      </c>
      <c r="U96" s="34" t="b">
        <f t="shared" si="11"/>
        <v>0</v>
      </c>
    </row>
    <row r="97" spans="1:21" x14ac:dyDescent="0.3">
      <c r="A97" s="1">
        <v>45737</v>
      </c>
      <c r="B97" s="3">
        <f>Data!B97</f>
        <v>237.84304809570301</v>
      </c>
      <c r="C97" s="3">
        <f>Data!H97</f>
        <v>117.645210266113</v>
      </c>
      <c r="D97" s="3">
        <f>Data!N97</f>
        <v>41.987648010253899</v>
      </c>
      <c r="F97" s="1">
        <v>45737</v>
      </c>
      <c r="G97" s="4">
        <f t="shared" si="12"/>
        <v>1.0961931651469747E-2</v>
      </c>
      <c r="H97" s="4">
        <f t="shared" si="15"/>
        <v>-2.7392991840966552E-3</v>
      </c>
      <c r="I97" s="4">
        <f t="shared" si="16"/>
        <v>-2.3543513080914735E-4</v>
      </c>
      <c r="P97" s="1">
        <v>45737</v>
      </c>
      <c r="Q97" s="4">
        <f t="shared" si="13"/>
        <v>2.1222292825595177E-3</v>
      </c>
      <c r="R97" s="34">
        <f t="shared" si="14"/>
        <v>2122.2292825595177</v>
      </c>
      <c r="S97" s="34" t="b">
        <f t="shared" si="9"/>
        <v>0</v>
      </c>
      <c r="T97" s="34" t="b">
        <f t="shared" si="10"/>
        <v>0</v>
      </c>
      <c r="U97" s="34" t="b">
        <f t="shared" si="11"/>
        <v>0</v>
      </c>
    </row>
    <row r="98" spans="1:21" x14ac:dyDescent="0.3">
      <c r="A98" s="1">
        <v>45740</v>
      </c>
      <c r="B98" s="3">
        <f>Data!B98</f>
        <v>244.172271728515</v>
      </c>
      <c r="C98" s="3">
        <f>Data!H98</f>
        <v>121.68943786621</v>
      </c>
      <c r="D98" s="3">
        <f>Data!N98</f>
        <v>42.5808296203613</v>
      </c>
      <c r="F98" s="1">
        <v>45740</v>
      </c>
      <c r="G98" s="4">
        <f t="shared" si="12"/>
        <v>2.6610925496822757E-2</v>
      </c>
      <c r="H98" s="4">
        <f t="shared" si="15"/>
        <v>3.4376474749366892E-2</v>
      </c>
      <c r="I98" s="4">
        <f t="shared" si="16"/>
        <v>1.4127526504045695E-2</v>
      </c>
      <c r="P98" s="1">
        <v>45740</v>
      </c>
      <c r="Q98" s="4">
        <f t="shared" si="13"/>
        <v>2.5972125500007291E-2</v>
      </c>
      <c r="R98" s="34">
        <f t="shared" si="14"/>
        <v>25972.125500007292</v>
      </c>
      <c r="S98" s="34" t="b">
        <f t="shared" si="9"/>
        <v>0</v>
      </c>
      <c r="T98" s="34" t="b">
        <f t="shared" si="10"/>
        <v>0</v>
      </c>
      <c r="U98" s="34" t="b">
        <f t="shared" si="11"/>
        <v>0</v>
      </c>
    </row>
    <row r="99" spans="1:21" x14ac:dyDescent="0.3">
      <c r="A99" s="1">
        <v>45741</v>
      </c>
      <c r="B99" s="3">
        <f>Data!B99</f>
        <v>247.19415283203099</v>
      </c>
      <c r="C99" s="3">
        <f>Data!H99</f>
        <v>122.600135803222</v>
      </c>
      <c r="D99" s="3">
        <f>Data!N99</f>
        <v>42.788448333740199</v>
      </c>
      <c r="F99" s="1">
        <v>45741</v>
      </c>
      <c r="G99" s="4">
        <f t="shared" si="12"/>
        <v>1.2376020758310791E-2</v>
      </c>
      <c r="H99" s="4">
        <f t="shared" si="15"/>
        <v>7.4837878535789493E-3</v>
      </c>
      <c r="I99" s="4">
        <f t="shared" si="16"/>
        <v>4.8758729040736526E-3</v>
      </c>
      <c r="P99" s="1">
        <v>45741</v>
      </c>
      <c r="Q99" s="4">
        <f t="shared" si="13"/>
        <v>8.1690832401469134E-3</v>
      </c>
      <c r="R99" s="34">
        <f t="shared" si="14"/>
        <v>8169.0832401469133</v>
      </c>
      <c r="S99" s="34" t="b">
        <f t="shared" si="9"/>
        <v>0</v>
      </c>
      <c r="T99" s="34" t="b">
        <f t="shared" si="10"/>
        <v>0</v>
      </c>
      <c r="U99" s="34" t="b">
        <f t="shared" si="11"/>
        <v>0</v>
      </c>
    </row>
    <row r="100" spans="1:21" x14ac:dyDescent="0.3">
      <c r="A100" s="1">
        <v>45742</v>
      </c>
      <c r="B100" s="3">
        <f>Data!B100</f>
        <v>247.09571838378901</v>
      </c>
      <c r="C100" s="3">
        <f>Data!H100</f>
        <v>119.66242980957</v>
      </c>
      <c r="D100" s="3">
        <f>Data!N100</f>
        <v>42.333671569824197</v>
      </c>
      <c r="F100" s="1">
        <v>45742</v>
      </c>
      <c r="G100" s="4">
        <f t="shared" si="12"/>
        <v>-3.9820702518345019E-4</v>
      </c>
      <c r="H100" s="4">
        <f t="shared" si="15"/>
        <v>-2.3961686293456741E-2</v>
      </c>
      <c r="I100" s="4">
        <f t="shared" si="16"/>
        <v>-1.0628493942310024E-2</v>
      </c>
      <c r="P100" s="1">
        <v>45742</v>
      </c>
      <c r="Q100" s="4">
        <f t="shared" si="13"/>
        <v>-1.289268480763074E-2</v>
      </c>
      <c r="R100" s="34">
        <f t="shared" si="14"/>
        <v>-12892.68480763074</v>
      </c>
      <c r="S100" s="34" t="b">
        <f t="shared" si="9"/>
        <v>0</v>
      </c>
      <c r="T100" s="34" t="b">
        <f t="shared" si="10"/>
        <v>0</v>
      </c>
      <c r="U100" s="34" t="b">
        <f t="shared" si="11"/>
        <v>0</v>
      </c>
    </row>
    <row r="101" spans="1:21" x14ac:dyDescent="0.3">
      <c r="A101" s="1">
        <v>45743</v>
      </c>
      <c r="B101" s="3">
        <f>Data!B101</f>
        <v>244.23132324218699</v>
      </c>
      <c r="C101" s="3">
        <f>Data!H101</f>
        <v>116.5288772583</v>
      </c>
      <c r="D101" s="3">
        <f>Data!N101</f>
        <v>42.076625823974602</v>
      </c>
      <c r="F101" s="1">
        <v>45743</v>
      </c>
      <c r="G101" s="4">
        <f t="shared" si="12"/>
        <v>-1.1592249191275106E-2</v>
      </c>
      <c r="H101" s="4">
        <f t="shared" si="15"/>
        <v>-2.6186603065445957E-2</v>
      </c>
      <c r="I101" s="4">
        <f t="shared" si="16"/>
        <v>-6.0718982388671128E-3</v>
      </c>
      <c r="P101" s="1">
        <v>45743</v>
      </c>
      <c r="Q101" s="4">
        <f t="shared" si="13"/>
        <v>-1.577388545522105E-2</v>
      </c>
      <c r="R101" s="34">
        <f t="shared" si="14"/>
        <v>-15773.885455221051</v>
      </c>
      <c r="S101" s="34" t="b">
        <f t="shared" si="9"/>
        <v>0</v>
      </c>
      <c r="T101" s="34" t="b">
        <f t="shared" si="10"/>
        <v>0</v>
      </c>
      <c r="U101" s="34" t="b">
        <f t="shared" si="11"/>
        <v>0</v>
      </c>
    </row>
    <row r="102" spans="1:21" x14ac:dyDescent="0.3">
      <c r="A102" s="1">
        <v>45744</v>
      </c>
      <c r="B102" s="3">
        <f>Data!B102</f>
        <v>239.04393005371</v>
      </c>
      <c r="C102" s="3">
        <f>Data!H102</f>
        <v>112.935096740722</v>
      </c>
      <c r="D102" s="3">
        <f>Data!N102</f>
        <v>40.781501770019503</v>
      </c>
      <c r="F102" s="1">
        <v>45744</v>
      </c>
      <c r="G102" s="4">
        <f t="shared" si="12"/>
        <v>-2.1239671961867934E-2</v>
      </c>
      <c r="H102" s="4">
        <f t="shared" si="15"/>
        <v>-3.0840256957182843E-2</v>
      </c>
      <c r="I102" s="4">
        <f t="shared" si="16"/>
        <v>-3.0780130977545173E-2</v>
      </c>
      <c r="P102" s="1">
        <v>45744</v>
      </c>
      <c r="Q102" s="4">
        <f t="shared" si="13"/>
        <v>-2.7942043664697068E-2</v>
      </c>
      <c r="R102" s="34">
        <f t="shared" si="14"/>
        <v>-27942.043664697067</v>
      </c>
      <c r="S102" s="34" t="b">
        <f t="shared" si="9"/>
        <v>0</v>
      </c>
      <c r="T102" s="34" t="b">
        <f t="shared" si="10"/>
        <v>0</v>
      </c>
      <c r="U102" s="34" t="b">
        <f t="shared" si="11"/>
        <v>0</v>
      </c>
    </row>
    <row r="103" spans="1:21" x14ac:dyDescent="0.3">
      <c r="A103" s="1">
        <v>45747</v>
      </c>
      <c r="B103" s="3">
        <f>Data!B103</f>
        <v>241.45553588867099</v>
      </c>
      <c r="C103" s="3">
        <f>Data!H103</f>
        <v>114.247261047363</v>
      </c>
      <c r="D103" s="3">
        <f>Data!N103</f>
        <v>41.256050109863203</v>
      </c>
      <c r="F103" s="1">
        <v>45747</v>
      </c>
      <c r="G103" s="4">
        <f t="shared" si="12"/>
        <v>1.0088546629982043E-2</v>
      </c>
      <c r="H103" s="4">
        <f t="shared" si="15"/>
        <v>1.1618746913136135E-2</v>
      </c>
      <c r="I103" s="4">
        <f t="shared" si="16"/>
        <v>1.1636362547898127E-2</v>
      </c>
      <c r="P103" s="1">
        <v>45747</v>
      </c>
      <c r="Q103" s="4">
        <f t="shared" si="13"/>
        <v>1.1164971518618505E-2</v>
      </c>
      <c r="R103" s="34">
        <f t="shared" si="14"/>
        <v>11164.971518618506</v>
      </c>
      <c r="S103" s="34" t="b">
        <f t="shared" si="9"/>
        <v>0</v>
      </c>
      <c r="T103" s="34" t="b">
        <f t="shared" si="10"/>
        <v>0</v>
      </c>
      <c r="U103" s="34" t="b">
        <f t="shared" si="11"/>
        <v>0</v>
      </c>
    </row>
    <row r="104" spans="1:21" x14ac:dyDescent="0.3">
      <c r="A104" s="1">
        <v>45748</v>
      </c>
      <c r="B104" s="3">
        <f>Data!B104</f>
        <v>239.84123229980401</v>
      </c>
      <c r="C104" s="3">
        <f>Data!H104</f>
        <v>113.33657073974599</v>
      </c>
      <c r="D104" s="3">
        <f>Data!N104</f>
        <v>41.018779754638601</v>
      </c>
      <c r="F104" s="1">
        <v>45748</v>
      </c>
      <c r="G104" s="4">
        <f t="shared" si="12"/>
        <v>-6.685717860746454E-3</v>
      </c>
      <c r="H104" s="4">
        <f t="shared" si="15"/>
        <v>-7.9712222355988738E-3</v>
      </c>
      <c r="I104" s="4">
        <f t="shared" si="16"/>
        <v>-5.7511650919745971E-3</v>
      </c>
      <c r="P104" s="1">
        <v>45748</v>
      </c>
      <c r="Q104" s="4">
        <f t="shared" si="13"/>
        <v>-6.9195537800558647E-3</v>
      </c>
      <c r="R104" s="34">
        <f t="shared" si="14"/>
        <v>-6919.553780055865</v>
      </c>
      <c r="S104" s="34" t="b">
        <f t="shared" si="9"/>
        <v>0</v>
      </c>
      <c r="T104" s="34" t="b">
        <f t="shared" si="10"/>
        <v>0</v>
      </c>
      <c r="U104" s="34" t="b">
        <f t="shared" si="11"/>
        <v>0</v>
      </c>
    </row>
    <row r="105" spans="1:21" x14ac:dyDescent="0.3">
      <c r="A105" s="1">
        <v>45749</v>
      </c>
      <c r="B105" s="3">
        <f>Data!B105</f>
        <v>241.96737670898401</v>
      </c>
      <c r="C105" s="3">
        <f>Data!H105</f>
        <v>116.79327392578099</v>
      </c>
      <c r="D105" s="3">
        <f>Data!N105</f>
        <v>41.374687194824197</v>
      </c>
      <c r="F105" s="1">
        <v>45749</v>
      </c>
      <c r="G105" s="4">
        <f t="shared" si="12"/>
        <v>8.8647993874644282E-3</v>
      </c>
      <c r="H105" s="4">
        <f t="shared" si="15"/>
        <v>3.0499451002206523E-2</v>
      </c>
      <c r="I105" s="4">
        <f t="shared" si="16"/>
        <v>8.6766949751924116E-3</v>
      </c>
      <c r="P105" s="1">
        <v>45749</v>
      </c>
      <c r="Q105" s="4">
        <f t="shared" si="13"/>
        <v>1.7462228709679662E-2</v>
      </c>
      <c r="R105" s="34">
        <f t="shared" si="14"/>
        <v>17462.228709679661</v>
      </c>
      <c r="S105" s="34" t="b">
        <f t="shared" si="9"/>
        <v>0</v>
      </c>
      <c r="T105" s="34" t="b">
        <f t="shared" si="10"/>
        <v>0</v>
      </c>
      <c r="U105" s="34" t="b">
        <f t="shared" si="11"/>
        <v>0</v>
      </c>
    </row>
    <row r="106" spans="1:21" x14ac:dyDescent="0.3">
      <c r="A106" s="1">
        <v>45750</v>
      </c>
      <c r="B106" s="3">
        <f>Data!B106</f>
        <v>225.10583496093699</v>
      </c>
      <c r="C106" s="3">
        <f>Data!H106</f>
        <v>105.688758850097</v>
      </c>
      <c r="D106" s="3">
        <f>Data!N106</f>
        <v>36.797275543212798</v>
      </c>
      <c r="F106" s="1">
        <v>45750</v>
      </c>
      <c r="G106" s="4">
        <f t="shared" si="12"/>
        <v>-6.9685186397365095E-2</v>
      </c>
      <c r="H106" s="4">
        <f t="shared" si="15"/>
        <v>-9.507837825267762E-2</v>
      </c>
      <c r="I106" s="4">
        <f t="shared" si="16"/>
        <v>-0.11063314219289166</v>
      </c>
      <c r="P106" s="1">
        <v>45750</v>
      </c>
      <c r="Q106" s="4">
        <f t="shared" si="13"/>
        <v>-9.2126849878148065E-2</v>
      </c>
      <c r="R106" s="34">
        <f t="shared" si="14"/>
        <v>-92126.849878148059</v>
      </c>
      <c r="S106" s="34" t="b">
        <f t="shared" si="9"/>
        <v>1</v>
      </c>
      <c r="T106" s="34" t="b">
        <f t="shared" si="10"/>
        <v>1</v>
      </c>
      <c r="U106" s="34" t="b">
        <f t="shared" si="11"/>
        <v>1</v>
      </c>
    </row>
    <row r="107" spans="1:21" x14ac:dyDescent="0.3">
      <c r="A107" s="1">
        <v>45751</v>
      </c>
      <c r="B107" s="3">
        <f>Data!B107</f>
        <v>208.25930786132801</v>
      </c>
      <c r="C107" s="3">
        <f>Data!H107</f>
        <v>97.7569580078125</v>
      </c>
      <c r="D107" s="3">
        <f>Data!N107</f>
        <v>33.999412536621001</v>
      </c>
      <c r="F107" s="1">
        <v>45751</v>
      </c>
      <c r="G107" s="4">
        <f t="shared" si="12"/>
        <v>-7.4838251538581368E-2</v>
      </c>
      <c r="H107" s="4">
        <f t="shared" si="15"/>
        <v>-7.5048670535856399E-2</v>
      </c>
      <c r="I107" s="4">
        <f t="shared" si="16"/>
        <v>-7.6034515199532415E-2</v>
      </c>
      <c r="P107" s="1">
        <v>45751</v>
      </c>
      <c r="Q107" s="4">
        <f t="shared" si="13"/>
        <v>-7.5281298235776686E-2</v>
      </c>
      <c r="R107" s="34">
        <f t="shared" si="14"/>
        <v>-75281.298235776689</v>
      </c>
      <c r="S107" s="34" t="b">
        <f t="shared" si="9"/>
        <v>1</v>
      </c>
      <c r="T107" s="34" t="b">
        <f t="shared" si="10"/>
        <v>1</v>
      </c>
      <c r="U107" s="34" t="b">
        <f t="shared" si="11"/>
        <v>1</v>
      </c>
    </row>
    <row r="108" spans="1:21" x14ac:dyDescent="0.3">
      <c r="A108" s="1">
        <v>45754</v>
      </c>
      <c r="B108" s="3">
        <f>Data!B108</f>
        <v>212.37933349609301</v>
      </c>
      <c r="C108" s="3">
        <f>Data!H108</f>
        <v>98.824325561523395</v>
      </c>
      <c r="D108" s="3">
        <f>Data!N108</f>
        <v>35.1759033203125</v>
      </c>
      <c r="F108" s="1">
        <v>45754</v>
      </c>
      <c r="G108" s="4">
        <f t="shared" si="12"/>
        <v>1.9783152441418705E-2</v>
      </c>
      <c r="H108" s="4">
        <f t="shared" si="15"/>
        <v>1.0918583960290551E-2</v>
      </c>
      <c r="I108" s="4">
        <f t="shared" si="16"/>
        <v>3.4603267995418907E-2</v>
      </c>
      <c r="P108" s="1">
        <v>45754</v>
      </c>
      <c r="Q108" s="4">
        <f t="shared" si="13"/>
        <v>2.0683359715167503E-2</v>
      </c>
      <c r="R108" s="34">
        <f t="shared" si="14"/>
        <v>20683.359715167502</v>
      </c>
      <c r="S108" s="34" t="b">
        <f t="shared" si="9"/>
        <v>0</v>
      </c>
      <c r="T108" s="34" t="b">
        <f t="shared" si="10"/>
        <v>0</v>
      </c>
      <c r="U108" s="34" t="b">
        <f t="shared" si="11"/>
        <v>0</v>
      </c>
    </row>
    <row r="109" spans="1:21" x14ac:dyDescent="0.3">
      <c r="A109" s="1">
        <v>45755</v>
      </c>
      <c r="B109" s="3">
        <f>Data!B109</f>
        <v>214.78596496582</v>
      </c>
      <c r="C109" s="3">
        <f>Data!H109</f>
        <v>98.226989746093693</v>
      </c>
      <c r="D109" s="3">
        <f>Data!N109</f>
        <v>34.632144927978501</v>
      </c>
      <c r="F109" s="1">
        <v>45755</v>
      </c>
      <c r="G109" s="4">
        <f t="shared" si="12"/>
        <v>1.1331759216445914E-2</v>
      </c>
      <c r="H109" s="4">
        <f t="shared" si="15"/>
        <v>-6.0444208653650522E-3</v>
      </c>
      <c r="I109" s="4">
        <f t="shared" si="16"/>
        <v>-1.5458263783093895E-2</v>
      </c>
      <c r="P109" s="1">
        <v>45755</v>
      </c>
      <c r="Q109" s="4">
        <f t="shared" si="13"/>
        <v>-3.6557197161404152E-3</v>
      </c>
      <c r="R109" s="34">
        <f t="shared" si="14"/>
        <v>-3655.7197161404151</v>
      </c>
      <c r="S109" s="34" t="b">
        <f t="shared" si="9"/>
        <v>0</v>
      </c>
      <c r="T109" s="34" t="b">
        <f t="shared" si="10"/>
        <v>0</v>
      </c>
      <c r="U109" s="34" t="b">
        <f t="shared" si="11"/>
        <v>0</v>
      </c>
    </row>
    <row r="110" spans="1:21" x14ac:dyDescent="0.3">
      <c r="A110" s="1">
        <v>45756</v>
      </c>
      <c r="B110" s="3">
        <f>Data!B110</f>
        <v>232.08808898925699</v>
      </c>
      <c r="C110" s="3">
        <f>Data!H110</f>
        <v>109.380470275878</v>
      </c>
      <c r="D110" s="3">
        <f>Data!N110</f>
        <v>36.728069305419901</v>
      </c>
      <c r="F110" s="1">
        <v>45756</v>
      </c>
      <c r="G110" s="4">
        <f t="shared" si="12"/>
        <v>8.0555189098088231E-2</v>
      </c>
      <c r="H110" s="4">
        <f t="shared" si="15"/>
        <v>0.11354802339575776</v>
      </c>
      <c r="I110" s="4">
        <f t="shared" si="16"/>
        <v>6.0519623656002608E-2</v>
      </c>
      <c r="P110" s="1">
        <v>45756</v>
      </c>
      <c r="Q110" s="4">
        <f t="shared" si="13"/>
        <v>8.7741653184530352E-2</v>
      </c>
      <c r="R110" s="34">
        <f t="shared" si="14"/>
        <v>87741.653184530354</v>
      </c>
      <c r="S110" s="34" t="b">
        <f t="shared" si="9"/>
        <v>0</v>
      </c>
      <c r="T110" s="34" t="b">
        <f t="shared" si="10"/>
        <v>0</v>
      </c>
      <c r="U110" s="34" t="b">
        <f t="shared" si="11"/>
        <v>0</v>
      </c>
    </row>
    <row r="111" spans="1:21" x14ac:dyDescent="0.3">
      <c r="A111" s="1">
        <v>45757</v>
      </c>
      <c r="B111" s="3">
        <f>Data!B111</f>
        <v>224.92756652832</v>
      </c>
      <c r="C111" s="3">
        <f>Data!H111</f>
        <v>104.36679077148401</v>
      </c>
      <c r="D111" s="3">
        <f>Data!N111</f>
        <v>35.44282913208</v>
      </c>
      <c r="F111" s="1">
        <v>45757</v>
      </c>
      <c r="G111" s="4">
        <f t="shared" si="12"/>
        <v>-3.0852606405270655E-2</v>
      </c>
      <c r="H111" s="4">
        <f t="shared" si="15"/>
        <v>-4.5837062976128662E-2</v>
      </c>
      <c r="I111" s="4">
        <f t="shared" si="16"/>
        <v>-3.4993404163236042E-2</v>
      </c>
      <c r="P111" s="1">
        <v>45757</v>
      </c>
      <c r="Q111" s="4">
        <f t="shared" si="13"/>
        <v>-3.8088628361003476E-2</v>
      </c>
      <c r="R111" s="34">
        <f t="shared" si="14"/>
        <v>-38088.628361003473</v>
      </c>
      <c r="S111" s="34" t="b">
        <f t="shared" si="9"/>
        <v>0</v>
      </c>
      <c r="T111" s="34" t="b">
        <f t="shared" si="10"/>
        <v>0</v>
      </c>
      <c r="U111" s="34" t="b">
        <f t="shared" si="11"/>
        <v>1</v>
      </c>
    </row>
    <row r="112" spans="1:21" x14ac:dyDescent="0.3">
      <c r="A112" s="1">
        <v>45758</v>
      </c>
      <c r="B112" s="3">
        <f>Data!B112</f>
        <v>233.93022155761699</v>
      </c>
      <c r="C112" s="3">
        <f>Data!H112</f>
        <v>105.87480926513599</v>
      </c>
      <c r="D112" s="3">
        <f>Data!N112</f>
        <v>35.541698455810497</v>
      </c>
      <c r="F112" s="1">
        <v>45758</v>
      </c>
      <c r="G112" s="4">
        <f t="shared" si="12"/>
        <v>4.0024685138642102E-2</v>
      </c>
      <c r="H112" s="4">
        <f t="shared" si="15"/>
        <v>1.4449217825944993E-2</v>
      </c>
      <c r="I112" s="4">
        <f t="shared" si="16"/>
        <v>2.7895437850644633E-3</v>
      </c>
      <c r="P112" s="1">
        <v>45758</v>
      </c>
      <c r="Q112" s="4">
        <f t="shared" si="13"/>
        <v>1.8623955807489968E-2</v>
      </c>
      <c r="R112" s="34">
        <f t="shared" si="14"/>
        <v>18623.955807489969</v>
      </c>
      <c r="S112" s="34" t="b">
        <f t="shared" si="9"/>
        <v>0</v>
      </c>
      <c r="T112" s="34" t="b">
        <f t="shared" si="10"/>
        <v>0</v>
      </c>
      <c r="U112" s="34" t="b">
        <f t="shared" si="11"/>
        <v>0</v>
      </c>
    </row>
    <row r="113" spans="1:21" x14ac:dyDescent="0.3">
      <c r="A113" s="1">
        <v>45761</v>
      </c>
      <c r="B113" s="3">
        <f>Data!B113</f>
        <v>232.464431762695</v>
      </c>
      <c r="C113" s="3">
        <f>Data!H113</f>
        <v>106.84425354003901</v>
      </c>
      <c r="D113" s="3">
        <f>Data!N113</f>
        <v>36.253517150878899</v>
      </c>
      <c r="F113" s="1">
        <v>45761</v>
      </c>
      <c r="G113" s="4">
        <f t="shared" si="12"/>
        <v>-6.2659274426454248E-3</v>
      </c>
      <c r="H113" s="4">
        <f t="shared" si="15"/>
        <v>9.1565149598078488E-3</v>
      </c>
      <c r="I113" s="4">
        <f t="shared" si="16"/>
        <v>2.0027706215374419E-2</v>
      </c>
      <c r="P113" s="1">
        <v>45761</v>
      </c>
      <c r="Q113" s="4">
        <f t="shared" si="13"/>
        <v>7.7911396157418385E-3</v>
      </c>
      <c r="R113" s="34">
        <f t="shared" si="14"/>
        <v>7791.1396157418385</v>
      </c>
      <c r="S113" s="34" t="b">
        <f t="shared" si="9"/>
        <v>0</v>
      </c>
      <c r="T113" s="34" t="b">
        <f t="shared" si="10"/>
        <v>0</v>
      </c>
      <c r="U113" s="34" t="b">
        <f t="shared" si="11"/>
        <v>0</v>
      </c>
    </row>
    <row r="114" spans="1:21" x14ac:dyDescent="0.3">
      <c r="A114" s="1">
        <v>45762</v>
      </c>
      <c r="B114" s="3">
        <f>Data!B114</f>
        <v>230.88973999023401</v>
      </c>
      <c r="C114" s="3">
        <f>Data!H114</f>
        <v>108.14663696289</v>
      </c>
      <c r="D114" s="3">
        <f>Data!N114</f>
        <v>37.558528900146399</v>
      </c>
      <c r="F114" s="1">
        <v>45762</v>
      </c>
      <c r="G114" s="4">
        <f t="shared" si="12"/>
        <v>-6.7739041216785534E-3</v>
      </c>
      <c r="H114" s="4">
        <f t="shared" si="15"/>
        <v>1.2189550487738066E-2</v>
      </c>
      <c r="I114" s="4">
        <f t="shared" si="16"/>
        <v>3.599683153047839E-2</v>
      </c>
      <c r="P114" s="1">
        <v>45762</v>
      </c>
      <c r="Q114" s="4">
        <f t="shared" si="13"/>
        <v>1.3642698417735178E-2</v>
      </c>
      <c r="R114" s="34">
        <f t="shared" si="14"/>
        <v>13642.698417735179</v>
      </c>
      <c r="S114" s="34" t="b">
        <f t="shared" si="9"/>
        <v>0</v>
      </c>
      <c r="T114" s="34" t="b">
        <f t="shared" si="10"/>
        <v>0</v>
      </c>
      <c r="U114" s="34" t="b">
        <f t="shared" si="11"/>
        <v>0</v>
      </c>
    </row>
    <row r="115" spans="1:21" x14ac:dyDescent="0.3">
      <c r="A115" s="1">
        <v>45763</v>
      </c>
      <c r="B115" s="3">
        <f>Data!B115</f>
        <v>227.403549194335</v>
      </c>
      <c r="C115" s="3">
        <f>Data!H115</f>
        <v>105.620216369628</v>
      </c>
      <c r="D115" s="3">
        <f>Data!N115</f>
        <v>36.9060249328613</v>
      </c>
      <c r="F115" s="1">
        <v>45763</v>
      </c>
      <c r="G115" s="4">
        <f t="shared" si="12"/>
        <v>-1.509894201468831E-2</v>
      </c>
      <c r="H115" s="4">
        <f t="shared" si="15"/>
        <v>-2.3361064793248509E-2</v>
      </c>
      <c r="I115" s="4">
        <f t="shared" si="16"/>
        <v>-1.737299054017416E-2</v>
      </c>
      <c r="P115" s="1">
        <v>45763</v>
      </c>
      <c r="Q115" s="4">
        <f t="shared" si="13"/>
        <v>-1.9086005683758143E-2</v>
      </c>
      <c r="R115" s="34">
        <f t="shared" si="14"/>
        <v>-19086.005683758143</v>
      </c>
      <c r="S115" s="34" t="b">
        <f t="shared" si="9"/>
        <v>0</v>
      </c>
      <c r="T115" s="34" t="b">
        <f t="shared" si="10"/>
        <v>0</v>
      </c>
      <c r="U115" s="34" t="b">
        <f t="shared" si="11"/>
        <v>0</v>
      </c>
    </row>
    <row r="116" spans="1:21" x14ac:dyDescent="0.3">
      <c r="A116" s="1">
        <v>45764</v>
      </c>
      <c r="B116" s="3">
        <f>Data!B116</f>
        <v>229.73097229003901</v>
      </c>
      <c r="C116" s="3">
        <f>Data!H116</f>
        <v>106.912803649902</v>
      </c>
      <c r="D116" s="3">
        <f>Data!N116</f>
        <v>36.985115051269503</v>
      </c>
      <c r="F116" s="1">
        <v>45764</v>
      </c>
      <c r="G116" s="4">
        <f t="shared" si="12"/>
        <v>1.0234770318888087E-2</v>
      </c>
      <c r="H116" s="4">
        <f t="shared" si="15"/>
        <v>1.2238066960121197E-2</v>
      </c>
      <c r="I116" s="4">
        <f t="shared" si="16"/>
        <v>2.1430137369733426E-3</v>
      </c>
      <c r="P116" s="1">
        <v>45764</v>
      </c>
      <c r="Q116" s="4">
        <f t="shared" si="13"/>
        <v>8.6085620008069068E-3</v>
      </c>
      <c r="R116" s="34">
        <f t="shared" si="14"/>
        <v>8608.5620008069072</v>
      </c>
      <c r="S116" s="34" t="b">
        <f t="shared" si="9"/>
        <v>0</v>
      </c>
      <c r="T116" s="34" t="b">
        <f t="shared" si="10"/>
        <v>0</v>
      </c>
      <c r="U116" s="34" t="b">
        <f t="shared" si="11"/>
        <v>0</v>
      </c>
    </row>
    <row r="117" spans="1:21" x14ac:dyDescent="0.3">
      <c r="A117" s="1">
        <v>45768</v>
      </c>
      <c r="B117" s="3">
        <f>Data!B117</f>
        <v>226.78950500488199</v>
      </c>
      <c r="C117" s="3">
        <f>Data!H117</f>
        <v>104.09261322021401</v>
      </c>
      <c r="D117" s="3">
        <f>Data!N117</f>
        <v>36.500679016113203</v>
      </c>
      <c r="F117" s="1">
        <v>45768</v>
      </c>
      <c r="G117" s="4">
        <f t="shared" si="12"/>
        <v>-1.2803964810819579E-2</v>
      </c>
      <c r="H117" s="4">
        <f t="shared" si="15"/>
        <v>-2.6378416180376507E-2</v>
      </c>
      <c r="I117" s="4">
        <f t="shared" si="16"/>
        <v>-1.3098135141252465E-2</v>
      </c>
      <c r="P117" s="1">
        <v>45768</v>
      </c>
      <c r="Q117" s="4">
        <f t="shared" si="13"/>
        <v>-1.8321996457772216E-2</v>
      </c>
      <c r="R117" s="34">
        <f t="shared" si="14"/>
        <v>-18321.996457772217</v>
      </c>
      <c r="S117" s="34" t="b">
        <f t="shared" si="9"/>
        <v>0</v>
      </c>
      <c r="T117" s="34" t="b">
        <f t="shared" si="10"/>
        <v>0</v>
      </c>
      <c r="U117" s="34" t="b">
        <f t="shared" si="11"/>
        <v>0</v>
      </c>
    </row>
    <row r="118" spans="1:21" x14ac:dyDescent="0.3">
      <c r="A118" s="1">
        <v>45769</v>
      </c>
      <c r="B118" s="3">
        <f>Data!B118</f>
        <v>233.326080322265</v>
      </c>
      <c r="C118" s="3">
        <f>Data!H118</f>
        <v>108.087882995605</v>
      </c>
      <c r="D118" s="3">
        <f>Data!N118</f>
        <v>37.884780883788999</v>
      </c>
      <c r="F118" s="1">
        <v>45769</v>
      </c>
      <c r="G118" s="4">
        <f t="shared" si="12"/>
        <v>2.8822212550101423E-2</v>
      </c>
      <c r="H118" s="4">
        <f t="shared" si="15"/>
        <v>3.8381876021680528E-2</v>
      </c>
      <c r="I118" s="4">
        <f t="shared" si="16"/>
        <v>3.7919893683752592E-2</v>
      </c>
      <c r="P118" s="1">
        <v>45769</v>
      </c>
      <c r="Q118" s="4">
        <f t="shared" si="13"/>
        <v>3.5375382278828416E-2</v>
      </c>
      <c r="R118" s="34">
        <f t="shared" si="14"/>
        <v>35375.382278828416</v>
      </c>
      <c r="S118" s="34" t="b">
        <f t="shared" si="9"/>
        <v>0</v>
      </c>
      <c r="T118" s="34" t="b">
        <f t="shared" si="10"/>
        <v>0</v>
      </c>
      <c r="U118" s="34" t="b">
        <f t="shared" si="11"/>
        <v>0</v>
      </c>
    </row>
    <row r="119" spans="1:21" x14ac:dyDescent="0.3">
      <c r="A119" s="1">
        <v>45770</v>
      </c>
      <c r="B119" s="3">
        <f>Data!B119</f>
        <v>238.56524658203099</v>
      </c>
      <c r="C119" s="3">
        <f>Data!H119</f>
        <v>109.97779846191401</v>
      </c>
      <c r="D119" s="3">
        <f>Data!N119</f>
        <v>38.3098945617675</v>
      </c>
      <c r="F119" s="1">
        <v>45770</v>
      </c>
      <c r="G119" s="4">
        <f t="shared" si="12"/>
        <v>2.2454267660648064E-2</v>
      </c>
      <c r="H119" s="4">
        <f t="shared" si="15"/>
        <v>1.7484989195188927E-2</v>
      </c>
      <c r="I119" s="4">
        <f t="shared" si="16"/>
        <v>1.1221225728677897E-2</v>
      </c>
      <c r="P119" s="1">
        <v>45770</v>
      </c>
      <c r="Q119" s="4">
        <f t="shared" si="13"/>
        <v>1.7096643694873358E-2</v>
      </c>
      <c r="R119" s="34">
        <f t="shared" si="14"/>
        <v>17096.643694873357</v>
      </c>
      <c r="S119" s="34" t="b">
        <f t="shared" si="9"/>
        <v>0</v>
      </c>
      <c r="T119" s="34" t="b">
        <f t="shared" si="10"/>
        <v>0</v>
      </c>
      <c r="U119" s="34" t="b">
        <f t="shared" si="11"/>
        <v>0</v>
      </c>
    </row>
    <row r="120" spans="1:21" x14ac:dyDescent="0.3">
      <c r="A120" s="1">
        <v>45771</v>
      </c>
      <c r="B120" s="3">
        <f>Data!B120</f>
        <v>242.28910827636699</v>
      </c>
      <c r="C120" s="3">
        <f>Data!H120</f>
        <v>113.199485778808</v>
      </c>
      <c r="D120" s="3">
        <f>Data!N120</f>
        <v>39.130474090576101</v>
      </c>
      <c r="F120" s="1">
        <v>45771</v>
      </c>
      <c r="G120" s="4">
        <f t="shared" si="12"/>
        <v>1.5609405593180359E-2</v>
      </c>
      <c r="H120" s="4">
        <f t="shared" si="15"/>
        <v>2.9293978984400892E-2</v>
      </c>
      <c r="I120" s="4">
        <f t="shared" si="16"/>
        <v>2.1419519374702878E-2</v>
      </c>
      <c r="P120" s="1">
        <v>45771</v>
      </c>
      <c r="Q120" s="4">
        <f t="shared" si="13"/>
        <v>2.2826269084125328E-2</v>
      </c>
      <c r="R120" s="34">
        <f t="shared" si="14"/>
        <v>22826.269084125328</v>
      </c>
      <c r="S120" s="34" t="b">
        <f t="shared" si="9"/>
        <v>0</v>
      </c>
      <c r="T120" s="34" t="b">
        <f t="shared" si="10"/>
        <v>0</v>
      </c>
      <c r="U120" s="34" t="b">
        <f t="shared" si="11"/>
        <v>0</v>
      </c>
    </row>
    <row r="121" spans="1:21" x14ac:dyDescent="0.3">
      <c r="A121" s="1">
        <v>45772</v>
      </c>
      <c r="B121" s="3">
        <f>Data!B121</f>
        <v>241.20959472656199</v>
      </c>
      <c r="C121" s="3">
        <f>Data!H121</f>
        <v>113.600982666015</v>
      </c>
      <c r="D121" s="3">
        <f>Data!N121</f>
        <v>39.239219665527301</v>
      </c>
      <c r="F121" s="1">
        <v>45772</v>
      </c>
      <c r="G121" s="4">
        <f t="shared" si="12"/>
        <v>-4.4554770021839607E-3</v>
      </c>
      <c r="H121" s="4">
        <f t="shared" si="15"/>
        <v>3.5468084015111145E-3</v>
      </c>
      <c r="I121" s="4">
        <f t="shared" si="16"/>
        <v>2.7790507904270623E-3</v>
      </c>
      <c r="P121" s="1">
        <v>45772</v>
      </c>
      <c r="Q121" s="4">
        <f t="shared" si="13"/>
        <v>9.1579549707737629E-4</v>
      </c>
      <c r="R121" s="34">
        <f t="shared" si="14"/>
        <v>915.79549707737624</v>
      </c>
      <c r="S121" s="34" t="b">
        <f t="shared" si="9"/>
        <v>0</v>
      </c>
      <c r="T121" s="34" t="b">
        <f t="shared" si="10"/>
        <v>0</v>
      </c>
      <c r="U121" s="34" t="b">
        <f t="shared" si="11"/>
        <v>0</v>
      </c>
    </row>
    <row r="122" spans="1:21" x14ac:dyDescent="0.3">
      <c r="A122" s="1">
        <v>45775</v>
      </c>
      <c r="B122" s="3">
        <f>Data!B122</f>
        <v>240.88275146484301</v>
      </c>
      <c r="C122" s="3">
        <f>Data!H122</f>
        <v>113.42470550537099</v>
      </c>
      <c r="D122" s="3">
        <f>Data!N122</f>
        <v>39.328197479247997</v>
      </c>
      <c r="F122" s="1">
        <v>45775</v>
      </c>
      <c r="G122" s="4">
        <f t="shared" si="12"/>
        <v>-1.3550176645729106E-3</v>
      </c>
      <c r="H122" s="4">
        <f t="shared" si="15"/>
        <v>-1.5517221462973962E-3</v>
      </c>
      <c r="I122" s="4">
        <f t="shared" si="16"/>
        <v>2.2675734756996135E-3</v>
      </c>
      <c r="P122" s="1">
        <v>45775</v>
      </c>
      <c r="Q122" s="4">
        <f t="shared" si="13"/>
        <v>-3.4692211518094762E-4</v>
      </c>
      <c r="R122" s="34">
        <f t="shared" si="14"/>
        <v>-346.92211518094763</v>
      </c>
      <c r="S122" s="34" t="b">
        <f t="shared" si="9"/>
        <v>0</v>
      </c>
      <c r="T122" s="34" t="b">
        <f t="shared" si="10"/>
        <v>0</v>
      </c>
      <c r="U122" s="34" t="b">
        <f t="shared" si="11"/>
        <v>0</v>
      </c>
    </row>
    <row r="123" spans="1:21" x14ac:dyDescent="0.3">
      <c r="A123" s="1">
        <v>45776</v>
      </c>
      <c r="B123" s="3">
        <f>Data!B123</f>
        <v>242.26930236816401</v>
      </c>
      <c r="C123" s="3">
        <f>Data!H123</f>
        <v>113.796813964843</v>
      </c>
      <c r="D123" s="3">
        <f>Data!N123</f>
        <v>39.535812377929602</v>
      </c>
      <c r="F123" s="1">
        <v>45776</v>
      </c>
      <c r="G123" s="4">
        <f t="shared" si="12"/>
        <v>5.7561236530601079E-3</v>
      </c>
      <c r="H123" s="4">
        <f t="shared" si="15"/>
        <v>3.2806649822367806E-3</v>
      </c>
      <c r="I123" s="4">
        <f t="shared" si="16"/>
        <v>5.2790341787507522E-3</v>
      </c>
      <c r="P123" s="1">
        <v>45776</v>
      </c>
      <c r="Q123" s="4">
        <f t="shared" si="13"/>
        <v>4.6228133424379703E-3</v>
      </c>
      <c r="R123" s="34">
        <f t="shared" si="14"/>
        <v>4622.8133424379703</v>
      </c>
      <c r="S123" s="34" t="b">
        <f t="shared" si="9"/>
        <v>0</v>
      </c>
      <c r="T123" s="34" t="b">
        <f t="shared" si="10"/>
        <v>0</v>
      </c>
      <c r="U123" s="34" t="b">
        <f t="shared" si="11"/>
        <v>0</v>
      </c>
    </row>
    <row r="124" spans="1:21" x14ac:dyDescent="0.3">
      <c r="A124" s="1">
        <v>45777</v>
      </c>
      <c r="B124" s="3">
        <f>Data!B124</f>
        <v>242.26930236816401</v>
      </c>
      <c r="C124" s="3">
        <f>Data!H124</f>
        <v>113.93007659912099</v>
      </c>
      <c r="D124" s="3">
        <f>Data!N124</f>
        <v>39.4270629882812</v>
      </c>
      <c r="F124" s="1">
        <v>45777</v>
      </c>
      <c r="G124" s="4">
        <f t="shared" si="12"/>
        <v>0</v>
      </c>
      <c r="H124" s="4">
        <f t="shared" si="15"/>
        <v>1.1710576916430515E-3</v>
      </c>
      <c r="I124" s="4">
        <f t="shared" si="16"/>
        <v>-2.7506552441327603E-3</v>
      </c>
      <c r="P124" s="1">
        <v>45777</v>
      </c>
      <c r="Q124" s="4">
        <f t="shared" si="13"/>
        <v>-3.567734965826074E-4</v>
      </c>
      <c r="R124" s="34">
        <f t="shared" si="14"/>
        <v>-356.77349658260738</v>
      </c>
      <c r="S124" s="34" t="b">
        <f t="shared" si="9"/>
        <v>0</v>
      </c>
      <c r="T124" s="34" t="b">
        <f t="shared" si="10"/>
        <v>0</v>
      </c>
      <c r="U124" s="34" t="b">
        <f t="shared" si="11"/>
        <v>0</v>
      </c>
    </row>
    <row r="125" spans="1:21" x14ac:dyDescent="0.3">
      <c r="A125" s="1">
        <v>45778</v>
      </c>
      <c r="B125" s="3">
        <f>Data!B125</f>
        <v>244.51750183105401</v>
      </c>
      <c r="C125" s="3">
        <f>Data!H125</f>
        <v>115.25277709960901</v>
      </c>
      <c r="D125" s="3">
        <f>Data!N125</f>
        <v>39.713768005371001</v>
      </c>
      <c r="F125" s="1">
        <v>45778</v>
      </c>
      <c r="G125" s="4">
        <f t="shared" si="12"/>
        <v>9.279753732371443E-3</v>
      </c>
      <c r="H125" s="4">
        <f t="shared" si="15"/>
        <v>1.1609756966477924E-2</v>
      </c>
      <c r="I125" s="4">
        <f t="shared" si="16"/>
        <v>7.2717822571521928E-3</v>
      </c>
      <c r="P125" s="1">
        <v>45778</v>
      </c>
      <c r="Q125" s="4">
        <f t="shared" si="13"/>
        <v>9.6093635834482612E-3</v>
      </c>
      <c r="R125" s="34">
        <f t="shared" si="14"/>
        <v>9609.3635834482611</v>
      </c>
      <c r="S125" s="34" t="b">
        <f t="shared" si="9"/>
        <v>0</v>
      </c>
      <c r="T125" s="34" t="b">
        <f t="shared" si="10"/>
        <v>0</v>
      </c>
      <c r="U125" s="34" t="b">
        <f t="shared" si="11"/>
        <v>0</v>
      </c>
    </row>
    <row r="126" spans="1:21" x14ac:dyDescent="0.3">
      <c r="A126" s="1">
        <v>45779</v>
      </c>
      <c r="B126" s="3">
        <f>Data!B126</f>
        <v>250.08348083496</v>
      </c>
      <c r="C126" s="3">
        <f>Data!H126</f>
        <v>118.66811370849599</v>
      </c>
      <c r="D126" s="3">
        <f>Data!N126</f>
        <v>40.603546142578097</v>
      </c>
      <c r="F126" s="1">
        <v>45779</v>
      </c>
      <c r="G126" s="4">
        <f t="shared" si="12"/>
        <v>2.2763110870287484E-2</v>
      </c>
      <c r="H126" s="4">
        <f t="shared" si="15"/>
        <v>2.9633443070401944E-2</v>
      </c>
      <c r="I126" s="4">
        <f t="shared" si="16"/>
        <v>2.2404777534248632E-2</v>
      </c>
      <c r="P126" s="1">
        <v>45779</v>
      </c>
      <c r="Q126" s="4">
        <f t="shared" si="13"/>
        <v>2.5403743749521614E-2</v>
      </c>
      <c r="R126" s="34">
        <f t="shared" si="14"/>
        <v>25403.743749521615</v>
      </c>
      <c r="S126" s="34" t="b">
        <f t="shared" si="9"/>
        <v>0</v>
      </c>
      <c r="T126" s="34" t="b">
        <f t="shared" si="10"/>
        <v>0</v>
      </c>
      <c r="U126" s="34" t="b">
        <f t="shared" si="11"/>
        <v>0</v>
      </c>
    </row>
    <row r="127" spans="1:21" x14ac:dyDescent="0.3">
      <c r="A127" s="1">
        <v>45782</v>
      </c>
      <c r="B127" s="3">
        <f>Data!B127</f>
        <v>250.13301086425699</v>
      </c>
      <c r="C127" s="3">
        <f>Data!H127</f>
        <v>118.056114196777</v>
      </c>
      <c r="D127" s="3">
        <f>Data!N127</f>
        <v>40.652980804443303</v>
      </c>
      <c r="F127" s="1">
        <v>45782</v>
      </c>
      <c r="G127" s="4">
        <f t="shared" si="12"/>
        <v>1.9805398234074012E-4</v>
      </c>
      <c r="H127" s="4">
        <f t="shared" si="15"/>
        <v>-5.1572363678279443E-3</v>
      </c>
      <c r="I127" s="4">
        <f t="shared" si="16"/>
        <v>1.2174961687241304E-3</v>
      </c>
      <c r="P127" s="1">
        <v>45782</v>
      </c>
      <c r="Q127" s="4">
        <f t="shared" si="13"/>
        <v>-1.6382295018117167E-3</v>
      </c>
      <c r="R127" s="34">
        <f t="shared" si="14"/>
        <v>-1638.2295018117168</v>
      </c>
      <c r="S127" s="34" t="b">
        <f t="shared" si="9"/>
        <v>0</v>
      </c>
      <c r="T127" s="34" t="b">
        <f t="shared" si="10"/>
        <v>0</v>
      </c>
      <c r="U127" s="34" t="b">
        <f t="shared" si="11"/>
        <v>0</v>
      </c>
    </row>
    <row r="128" spans="1:21" x14ac:dyDescent="0.3">
      <c r="A128" s="1">
        <v>45783</v>
      </c>
      <c r="B128" s="3">
        <f>Data!B128</f>
        <v>246.85481262207</v>
      </c>
      <c r="C128" s="3">
        <f>Data!H128</f>
        <v>116.802513122558</v>
      </c>
      <c r="D128" s="3">
        <f>Data!N128</f>
        <v>40.3761596679687</v>
      </c>
      <c r="F128" s="1">
        <v>45783</v>
      </c>
      <c r="G128" s="4">
        <f t="shared" si="12"/>
        <v>-1.3105820102913168E-2</v>
      </c>
      <c r="H128" s="4">
        <f t="shared" si="15"/>
        <v>-1.0618688263188902E-2</v>
      </c>
      <c r="I128" s="4">
        <f t="shared" si="16"/>
        <v>-6.8093687350067045E-3</v>
      </c>
      <c r="P128" s="1">
        <v>45783</v>
      </c>
      <c r="Q128" s="4">
        <f t="shared" si="13"/>
        <v>-1.0222031956651523E-2</v>
      </c>
      <c r="R128" s="34">
        <f t="shared" si="14"/>
        <v>-10222.031956651523</v>
      </c>
      <c r="S128" s="34" t="b">
        <f t="shared" si="9"/>
        <v>0</v>
      </c>
      <c r="T128" s="34" t="b">
        <f t="shared" si="10"/>
        <v>0</v>
      </c>
      <c r="U128" s="34" t="b">
        <f t="shared" si="11"/>
        <v>0</v>
      </c>
    </row>
    <row r="129" spans="1:21" x14ac:dyDescent="0.3">
      <c r="A129" s="1">
        <v>45784</v>
      </c>
      <c r="B129" s="3">
        <f>Data!B129</f>
        <v>246.99346923828099</v>
      </c>
      <c r="C129" s="3">
        <f>Data!H129</f>
        <v>117.56256866455</v>
      </c>
      <c r="D129" s="3">
        <f>Data!N129</f>
        <v>40.465137481689403</v>
      </c>
      <c r="F129" s="1">
        <v>45784</v>
      </c>
      <c r="G129" s="4">
        <f t="shared" si="12"/>
        <v>5.616929835727813E-4</v>
      </c>
      <c r="H129" s="4">
        <f t="shared" si="15"/>
        <v>6.5071848342381777E-3</v>
      </c>
      <c r="I129" s="4">
        <f t="shared" si="16"/>
        <v>2.2037215637249474E-3</v>
      </c>
      <c r="P129" s="1">
        <v>45784</v>
      </c>
      <c r="Q129" s="4">
        <f t="shared" si="13"/>
        <v>3.4324982978845898E-3</v>
      </c>
      <c r="R129" s="34">
        <f t="shared" si="14"/>
        <v>3432.4982978845896</v>
      </c>
      <c r="S129" s="34" t="b">
        <f t="shared" si="9"/>
        <v>0</v>
      </c>
      <c r="T129" s="34" t="b">
        <f t="shared" si="10"/>
        <v>0</v>
      </c>
      <c r="U129" s="34" t="b">
        <f t="shared" si="11"/>
        <v>0</v>
      </c>
    </row>
    <row r="130" spans="1:21" x14ac:dyDescent="0.3">
      <c r="A130" s="1">
        <v>45785</v>
      </c>
      <c r="B130" s="3">
        <f>Data!B130</f>
        <v>251.034255981445</v>
      </c>
      <c r="C130" s="3">
        <f>Data!H130</f>
        <v>120.306678771972</v>
      </c>
      <c r="D130" s="3">
        <f>Data!N130</f>
        <v>41.127529144287102</v>
      </c>
      <c r="F130" s="1">
        <v>45785</v>
      </c>
      <c r="G130" s="4">
        <f t="shared" si="12"/>
        <v>1.6359893059624708E-2</v>
      </c>
      <c r="H130" s="4">
        <f t="shared" si="15"/>
        <v>2.3341699135989158E-2</v>
      </c>
      <c r="I130" s="4">
        <f t="shared" si="16"/>
        <v>1.6369440556020187E-2</v>
      </c>
      <c r="P130" s="1">
        <v>45785</v>
      </c>
      <c r="Q130" s="4">
        <f t="shared" si="13"/>
        <v>1.915547973908913E-2</v>
      </c>
      <c r="R130" s="34">
        <f t="shared" si="14"/>
        <v>19155.479739089129</v>
      </c>
      <c r="S130" s="34" t="b">
        <f t="shared" si="9"/>
        <v>0</v>
      </c>
      <c r="T130" s="34" t="b">
        <f t="shared" si="10"/>
        <v>0</v>
      </c>
      <c r="U130" s="34" t="b">
        <f t="shared" si="11"/>
        <v>0</v>
      </c>
    </row>
    <row r="131" spans="1:21" x14ac:dyDescent="0.3">
      <c r="A131" s="1">
        <v>45786</v>
      </c>
      <c r="B131" s="3">
        <f>Data!B131</f>
        <v>250.64801025390599</v>
      </c>
      <c r="C131" s="3">
        <f>Data!H131</f>
        <v>120.129005432128</v>
      </c>
      <c r="D131" s="3">
        <f>Data!N131</f>
        <v>41.3153686523437</v>
      </c>
      <c r="F131" s="1">
        <v>45786</v>
      </c>
      <c r="G131" s="4">
        <f t="shared" si="12"/>
        <v>-1.5386176122813566E-3</v>
      </c>
      <c r="H131" s="4">
        <f t="shared" si="15"/>
        <v>-1.4768368776996166E-3</v>
      </c>
      <c r="I131" s="4">
        <f t="shared" si="16"/>
        <v>4.5672451509937151E-3</v>
      </c>
      <c r="P131" s="1">
        <v>45786</v>
      </c>
      <c r="Q131" s="4">
        <f t="shared" si="13"/>
        <v>3.1785351053386095E-4</v>
      </c>
      <c r="R131" s="34">
        <f t="shared" si="14"/>
        <v>317.85351053386097</v>
      </c>
      <c r="S131" s="34" t="b">
        <f t="shared" si="9"/>
        <v>0</v>
      </c>
      <c r="T131" s="34" t="b">
        <f t="shared" si="10"/>
        <v>0</v>
      </c>
      <c r="U131" s="34" t="b">
        <f t="shared" si="11"/>
        <v>0</v>
      </c>
    </row>
    <row r="132" spans="1:21" x14ac:dyDescent="0.3">
      <c r="A132" s="1">
        <v>45789</v>
      </c>
      <c r="B132" s="3">
        <f>Data!B132</f>
        <v>257.551025390625</v>
      </c>
      <c r="C132" s="3">
        <f>Data!H132</f>
        <v>125.41981506347599</v>
      </c>
      <c r="D132" s="3">
        <f>Data!N132</f>
        <v>42.867542266845703</v>
      </c>
      <c r="F132" s="1">
        <v>45789</v>
      </c>
      <c r="G132" s="4">
        <f t="shared" si="12"/>
        <v>2.754067399029525E-2</v>
      </c>
      <c r="H132" s="4">
        <f t="shared" si="15"/>
        <v>4.4042732330263679E-2</v>
      </c>
      <c r="I132" s="4">
        <f t="shared" si="16"/>
        <v>3.7568916002252761E-2</v>
      </c>
      <c r="P132" s="1">
        <v>45789</v>
      </c>
      <c r="Q132" s="4">
        <f t="shared" si="13"/>
        <v>3.7149969929869874E-2</v>
      </c>
      <c r="R132" s="34">
        <f t="shared" si="14"/>
        <v>37149.969929869876</v>
      </c>
      <c r="S132" s="34" t="b">
        <f t="shared" ref="S132:S195" si="17">$L$9&gt;R132</f>
        <v>0</v>
      </c>
      <c r="T132" s="34" t="b">
        <f t="shared" ref="T132:T195" si="18">$L$10&gt;R132</f>
        <v>0</v>
      </c>
      <c r="U132" s="34" t="b">
        <f t="shared" ref="U132:U195" si="19">$L$11&gt;R132</f>
        <v>0</v>
      </c>
    </row>
    <row r="133" spans="1:21" x14ac:dyDescent="0.3">
      <c r="A133" s="1">
        <v>45790</v>
      </c>
      <c r="B133" s="3">
        <f>Data!B133</f>
        <v>260.48260498046801</v>
      </c>
      <c r="C133" s="3">
        <f>Data!H133</f>
        <v>127.68026733398401</v>
      </c>
      <c r="D133" s="3">
        <f>Data!N133</f>
        <v>43.777088165283203</v>
      </c>
      <c r="F133" s="1">
        <v>45790</v>
      </c>
      <c r="G133" s="4">
        <f t="shared" ref="G133:G196" si="20">B133/B132-1</f>
        <v>1.1382519581883743E-2</v>
      </c>
      <c r="H133" s="4">
        <f t="shared" si="15"/>
        <v>1.8023087255901071E-2</v>
      </c>
      <c r="I133" s="4">
        <f t="shared" si="16"/>
        <v>2.1217589120824165E-2</v>
      </c>
      <c r="P133" s="1">
        <v>45790</v>
      </c>
      <c r="Q133" s="4">
        <f t="shared" ref="Q133:Q196" si="21">SUMPRODUCT(G133:I133,$L$3:$N$3)</f>
        <v>1.6989267513172802E-2</v>
      </c>
      <c r="R133" s="34">
        <f t="shared" ref="R133:R196" si="22">Q133*1000000</f>
        <v>16989.267513172803</v>
      </c>
      <c r="S133" s="34" t="b">
        <f t="shared" si="17"/>
        <v>0</v>
      </c>
      <c r="T133" s="34" t="b">
        <f t="shared" si="18"/>
        <v>0</v>
      </c>
      <c r="U133" s="34" t="b">
        <f t="shared" si="19"/>
        <v>0</v>
      </c>
    </row>
    <row r="134" spans="1:21" x14ac:dyDescent="0.3">
      <c r="A134" s="1">
        <v>45791</v>
      </c>
      <c r="B134" s="3">
        <f>Data!B134</f>
        <v>263.08734130859301</v>
      </c>
      <c r="C134" s="3">
        <f>Data!H134</f>
        <v>129.34841918945301</v>
      </c>
      <c r="D134" s="3">
        <f>Data!N134</f>
        <v>44.231868743896399</v>
      </c>
      <c r="F134" s="1">
        <v>45791</v>
      </c>
      <c r="G134" s="4">
        <f t="shared" si="20"/>
        <v>9.9996555559642708E-3</v>
      </c>
      <c r="H134" s="4">
        <f t="shared" si="15"/>
        <v>1.3065071763246561E-2</v>
      </c>
      <c r="I134" s="4">
        <f t="shared" si="16"/>
        <v>1.038855249796744E-2</v>
      </c>
      <c r="P134" s="1">
        <v>45791</v>
      </c>
      <c r="Q134" s="4">
        <f t="shared" si="21"/>
        <v>1.1342491121478138E-2</v>
      </c>
      <c r="R134" s="34">
        <f t="shared" si="22"/>
        <v>11342.491121478139</v>
      </c>
      <c r="S134" s="34" t="b">
        <f t="shared" si="17"/>
        <v>0</v>
      </c>
      <c r="T134" s="34" t="b">
        <f t="shared" si="18"/>
        <v>0</v>
      </c>
      <c r="U134" s="34" t="b">
        <f t="shared" si="19"/>
        <v>0</v>
      </c>
    </row>
    <row r="135" spans="1:21" x14ac:dyDescent="0.3">
      <c r="A135" s="1">
        <v>45792</v>
      </c>
      <c r="B135" s="3">
        <f>Data!B135</f>
        <v>264.91952514648398</v>
      </c>
      <c r="C135" s="3">
        <f>Data!H135</f>
        <v>130.79946899414</v>
      </c>
      <c r="D135" s="3">
        <f>Data!N135</f>
        <v>43.875957489013601</v>
      </c>
      <c r="F135" s="1">
        <v>45792</v>
      </c>
      <c r="G135" s="4">
        <f t="shared" si="20"/>
        <v>6.9641656978922661E-3</v>
      </c>
      <c r="H135" s="4">
        <f t="shared" si="15"/>
        <v>1.1218148731772848E-2</v>
      </c>
      <c r="I135" s="4">
        <f t="shared" si="16"/>
        <v>-8.0464892167123603E-3</v>
      </c>
      <c r="P135" s="1">
        <v>45792</v>
      </c>
      <c r="Q135" s="4">
        <f t="shared" si="21"/>
        <v>4.1625624370631113E-3</v>
      </c>
      <c r="R135" s="34">
        <f t="shared" si="22"/>
        <v>4162.5624370631112</v>
      </c>
      <c r="S135" s="34" t="b">
        <f t="shared" si="17"/>
        <v>0</v>
      </c>
      <c r="T135" s="34" t="b">
        <f t="shared" si="18"/>
        <v>0</v>
      </c>
      <c r="U135" s="34" t="b">
        <f t="shared" si="19"/>
        <v>0</v>
      </c>
    </row>
    <row r="136" spans="1:21" x14ac:dyDescent="0.3">
      <c r="A136" s="1">
        <v>45793</v>
      </c>
      <c r="B136" s="3">
        <f>Data!B136</f>
        <v>264.98886108398398</v>
      </c>
      <c r="C136" s="3">
        <f>Data!H136</f>
        <v>130.473709106445</v>
      </c>
      <c r="D136" s="3">
        <f>Data!N136</f>
        <v>44.182430267333899</v>
      </c>
      <c r="F136" s="1">
        <v>45793</v>
      </c>
      <c r="G136" s="4">
        <f t="shared" si="20"/>
        <v>2.617245273319746E-4</v>
      </c>
      <c r="H136" s="4">
        <f t="shared" si="15"/>
        <v>-2.4905291298208398E-3</v>
      </c>
      <c r="I136" s="4">
        <f t="shared" si="16"/>
        <v>6.9849821145677726E-3</v>
      </c>
      <c r="P136" s="1">
        <v>45793</v>
      </c>
      <c r="Q136" s="4">
        <f t="shared" si="21"/>
        <v>1.177800340641588E-3</v>
      </c>
      <c r="R136" s="34">
        <f t="shared" si="22"/>
        <v>1177.800340641588</v>
      </c>
      <c r="S136" s="34" t="b">
        <f t="shared" si="17"/>
        <v>0</v>
      </c>
      <c r="T136" s="34" t="b">
        <f t="shared" si="18"/>
        <v>0</v>
      </c>
      <c r="U136" s="34" t="b">
        <f t="shared" si="19"/>
        <v>0</v>
      </c>
    </row>
    <row r="137" spans="1:21" x14ac:dyDescent="0.3">
      <c r="A137" s="1">
        <v>45796</v>
      </c>
      <c r="B137" s="3">
        <f>Data!B137</f>
        <v>262.33462524414</v>
      </c>
      <c r="C137" s="3">
        <f>Data!H137</f>
        <v>129.15101623535099</v>
      </c>
      <c r="D137" s="3">
        <f>Data!N137</f>
        <v>44.261524200439403</v>
      </c>
      <c r="F137" s="1">
        <v>45796</v>
      </c>
      <c r="G137" s="4">
        <f t="shared" si="20"/>
        <v>-1.0016405327327171E-2</v>
      </c>
      <c r="H137" s="4">
        <f t="shared" si="15"/>
        <v>-1.0137619909424855E-2</v>
      </c>
      <c r="I137" s="4">
        <f t="shared" si="16"/>
        <v>1.7901671009705744E-3</v>
      </c>
      <c r="P137" s="1">
        <v>45796</v>
      </c>
      <c r="Q137" s="4">
        <f t="shared" si="21"/>
        <v>-6.5229194316769211E-3</v>
      </c>
      <c r="R137" s="34">
        <f t="shared" si="22"/>
        <v>-6522.9194316769208</v>
      </c>
      <c r="S137" s="34" t="b">
        <f t="shared" si="17"/>
        <v>0</v>
      </c>
      <c r="T137" s="34" t="b">
        <f t="shared" si="18"/>
        <v>0</v>
      </c>
      <c r="U137" s="34" t="b">
        <f t="shared" si="19"/>
        <v>0</v>
      </c>
    </row>
    <row r="138" spans="1:21" x14ac:dyDescent="0.3">
      <c r="A138" s="1">
        <v>45797</v>
      </c>
      <c r="B138" s="3">
        <f>Data!B138</f>
        <v>263.12692260742102</v>
      </c>
      <c r="C138" s="3">
        <f>Data!H138</f>
        <v>127.46310424804599</v>
      </c>
      <c r="D138" s="3">
        <f>Data!N138</f>
        <v>44.182430267333899</v>
      </c>
      <c r="F138" s="1">
        <v>45797</v>
      </c>
      <c r="G138" s="4">
        <f t="shared" si="20"/>
        <v>3.0201783792118686E-3</v>
      </c>
      <c r="H138" s="4">
        <f t="shared" si="15"/>
        <v>-1.3069289243757276E-2</v>
      </c>
      <c r="I138" s="4">
        <f t="shared" si="16"/>
        <v>-1.7869681294147011E-3</v>
      </c>
      <c r="P138" s="1">
        <v>45797</v>
      </c>
      <c r="Q138" s="4">
        <f t="shared" si="21"/>
        <v>-4.85775262256376E-3</v>
      </c>
      <c r="R138" s="34">
        <f t="shared" si="22"/>
        <v>-4857.7526225637603</v>
      </c>
      <c r="S138" s="34" t="b">
        <f t="shared" si="17"/>
        <v>0</v>
      </c>
      <c r="T138" s="34" t="b">
        <f t="shared" si="18"/>
        <v>0</v>
      </c>
      <c r="U138" s="34" t="b">
        <f t="shared" si="19"/>
        <v>0</v>
      </c>
    </row>
    <row r="139" spans="1:21" x14ac:dyDescent="0.3">
      <c r="A139" s="1">
        <v>45798</v>
      </c>
      <c r="B139" s="3">
        <f>Data!B139</f>
        <v>258.53152465820301</v>
      </c>
      <c r="C139" s="3">
        <f>Data!H139</f>
        <v>123.68253326416</v>
      </c>
      <c r="D139" s="3">
        <f>Data!N139</f>
        <v>42.7587890625</v>
      </c>
      <c r="F139" s="1">
        <v>45798</v>
      </c>
      <c r="G139" s="4">
        <f t="shared" si="20"/>
        <v>-1.7464567683460608E-2</v>
      </c>
      <c r="H139" s="4">
        <f t="shared" si="15"/>
        <v>-2.9660120128009115E-2</v>
      </c>
      <c r="I139" s="4">
        <f t="shared" si="16"/>
        <v>-3.2221885401502282E-2</v>
      </c>
      <c r="P139" s="1">
        <v>45798</v>
      </c>
      <c r="Q139" s="4">
        <f t="shared" si="21"/>
        <v>-2.6769983976692516E-2</v>
      </c>
      <c r="R139" s="34">
        <f t="shared" si="22"/>
        <v>-26769.983976692514</v>
      </c>
      <c r="S139" s="34" t="b">
        <f t="shared" si="17"/>
        <v>0</v>
      </c>
      <c r="T139" s="34" t="b">
        <f t="shared" si="18"/>
        <v>0</v>
      </c>
      <c r="U139" s="34" t="b">
        <f t="shared" si="19"/>
        <v>0</v>
      </c>
    </row>
    <row r="140" spans="1:21" x14ac:dyDescent="0.3">
      <c r="A140" s="1">
        <v>45799</v>
      </c>
      <c r="B140" s="3">
        <f>Data!B140</f>
        <v>258.16510009765602</v>
      </c>
      <c r="C140" s="3">
        <f>Data!H140</f>
        <v>124.63014221191401</v>
      </c>
      <c r="D140" s="3">
        <f>Data!N140</f>
        <v>42.818107604980398</v>
      </c>
      <c r="F140" s="1">
        <v>45799</v>
      </c>
      <c r="G140" s="4">
        <f t="shared" si="20"/>
        <v>-1.4173302889518569E-3</v>
      </c>
      <c r="H140" s="4">
        <f t="shared" si="15"/>
        <v>7.6616230501207472E-3</v>
      </c>
      <c r="I140" s="4">
        <f t="shared" si="16"/>
        <v>1.3872830307166684E-3</v>
      </c>
      <c r="P140" s="1">
        <v>45799</v>
      </c>
      <c r="Q140" s="4">
        <f t="shared" si="21"/>
        <v>3.0556350425777427E-3</v>
      </c>
      <c r="R140" s="34">
        <f t="shared" si="22"/>
        <v>3055.6350425777428</v>
      </c>
      <c r="S140" s="34" t="b">
        <f t="shared" si="17"/>
        <v>0</v>
      </c>
      <c r="T140" s="34" t="b">
        <f t="shared" si="18"/>
        <v>0</v>
      </c>
      <c r="U140" s="34" t="b">
        <f t="shared" si="19"/>
        <v>0</v>
      </c>
    </row>
    <row r="141" spans="1:21" x14ac:dyDescent="0.3">
      <c r="A141" s="1">
        <v>45800</v>
      </c>
      <c r="B141" s="3">
        <f>Data!B141</f>
        <v>258.20468139648398</v>
      </c>
      <c r="C141" s="3">
        <f>Data!H141</f>
        <v>124.44259643554599</v>
      </c>
      <c r="D141" s="3">
        <f>Data!N141</f>
        <v>42.709358215332003</v>
      </c>
      <c r="F141" s="1">
        <v>45800</v>
      </c>
      <c r="G141" s="4">
        <f t="shared" si="20"/>
        <v>1.533177753809678E-4</v>
      </c>
      <c r="H141" s="4">
        <f t="shared" si="15"/>
        <v>-1.504818762455673E-3</v>
      </c>
      <c r="I141" s="4">
        <f t="shared" si="16"/>
        <v>-2.5397990647243462E-3</v>
      </c>
      <c r="P141" s="1">
        <v>45800</v>
      </c>
      <c r="Q141" s="4">
        <f t="shared" si="21"/>
        <v>-1.3178718917852827E-3</v>
      </c>
      <c r="R141" s="34">
        <f t="shared" si="22"/>
        <v>-1317.8718917852827</v>
      </c>
      <c r="S141" s="34" t="b">
        <f t="shared" si="17"/>
        <v>0</v>
      </c>
      <c r="T141" s="34" t="b">
        <f t="shared" si="18"/>
        <v>0</v>
      </c>
      <c r="U141" s="34" t="b">
        <f t="shared" si="19"/>
        <v>0</v>
      </c>
    </row>
    <row r="142" spans="1:21" x14ac:dyDescent="0.3">
      <c r="A142" s="1">
        <v>45804</v>
      </c>
      <c r="B142" s="3">
        <f>Data!B142</f>
        <v>262.74069213867102</v>
      </c>
      <c r="C142" s="3">
        <f>Data!H142</f>
        <v>127.542068481445</v>
      </c>
      <c r="D142" s="3">
        <f>Data!N142</f>
        <v>43.7177734375</v>
      </c>
      <c r="F142" s="1">
        <v>45804</v>
      </c>
      <c r="G142" s="4">
        <f t="shared" si="20"/>
        <v>1.7567500006794301E-2</v>
      </c>
      <c r="H142" s="4">
        <f t="shared" si="15"/>
        <v>2.4906841665782498E-2</v>
      </c>
      <c r="I142" s="4">
        <f t="shared" si="16"/>
        <v>2.3611106893336453E-2</v>
      </c>
      <c r="P142" s="1">
        <v>45804</v>
      </c>
      <c r="Q142" s="4">
        <f t="shared" si="21"/>
        <v>2.2316318736352224E-2</v>
      </c>
      <c r="R142" s="34">
        <f t="shared" si="22"/>
        <v>22316.318736352223</v>
      </c>
      <c r="S142" s="34" t="b">
        <f t="shared" si="17"/>
        <v>0</v>
      </c>
      <c r="T142" s="34" t="b">
        <f t="shared" si="18"/>
        <v>0</v>
      </c>
      <c r="U142" s="34" t="b">
        <f t="shared" si="19"/>
        <v>0</v>
      </c>
    </row>
    <row r="143" spans="1:21" x14ac:dyDescent="0.3">
      <c r="A143" s="1">
        <v>45805</v>
      </c>
      <c r="B143" s="3">
        <f>Data!B143</f>
        <v>260.95797729492102</v>
      </c>
      <c r="C143" s="3">
        <f>Data!H143</f>
        <v>125.864013671875</v>
      </c>
      <c r="D143" s="3">
        <f>Data!N143</f>
        <v>43.5595893859863</v>
      </c>
      <c r="F143" s="1">
        <v>45805</v>
      </c>
      <c r="G143" s="4">
        <f t="shared" si="20"/>
        <v>-6.7850732569780803E-3</v>
      </c>
      <c r="H143" s="4">
        <f t="shared" si="15"/>
        <v>-1.3156873097241006E-2</v>
      </c>
      <c r="I143" s="4">
        <f t="shared" si="16"/>
        <v>-3.6183007293325575E-3</v>
      </c>
      <c r="P143" s="1">
        <v>45805</v>
      </c>
      <c r="Q143" s="4">
        <f t="shared" si="21"/>
        <v>-8.3837614347895949E-3</v>
      </c>
      <c r="R143" s="34">
        <f t="shared" si="22"/>
        <v>-8383.7614347895942</v>
      </c>
      <c r="S143" s="34" t="b">
        <f t="shared" si="17"/>
        <v>0</v>
      </c>
      <c r="T143" s="34" t="b">
        <f t="shared" si="18"/>
        <v>0</v>
      </c>
      <c r="U143" s="34" t="b">
        <f t="shared" si="19"/>
        <v>0</v>
      </c>
    </row>
    <row r="144" spans="1:21" x14ac:dyDescent="0.3">
      <c r="A144" s="1">
        <v>45806</v>
      </c>
      <c r="B144" s="3">
        <f>Data!B144</f>
        <v>261.829498291015</v>
      </c>
      <c r="C144" s="3">
        <f>Data!H144</f>
        <v>126.50562286376901</v>
      </c>
      <c r="D144" s="3">
        <f>Data!N144</f>
        <v>43.737548828125</v>
      </c>
      <c r="F144" s="1">
        <v>45806</v>
      </c>
      <c r="G144" s="4">
        <f t="shared" si="20"/>
        <v>3.3396986178699795E-3</v>
      </c>
      <c r="H144" s="4">
        <f t="shared" si="15"/>
        <v>5.0976381030296558E-3</v>
      </c>
      <c r="I144" s="4">
        <f t="shared" si="16"/>
        <v>4.0854251531570185E-3</v>
      </c>
      <c r="P144" s="1">
        <v>45806</v>
      </c>
      <c r="Q144" s="4">
        <f t="shared" si="21"/>
        <v>4.2665923725199615E-3</v>
      </c>
      <c r="R144" s="34">
        <f t="shared" si="22"/>
        <v>4266.5923725199618</v>
      </c>
      <c r="S144" s="34" t="b">
        <f t="shared" si="17"/>
        <v>0</v>
      </c>
      <c r="T144" s="34" t="b">
        <f t="shared" si="18"/>
        <v>0</v>
      </c>
      <c r="U144" s="34" t="b">
        <f t="shared" si="19"/>
        <v>0</v>
      </c>
    </row>
    <row r="145" spans="1:21" x14ac:dyDescent="0.3">
      <c r="A145" s="1">
        <v>45807</v>
      </c>
      <c r="B145" s="3">
        <f>Data!B145</f>
        <v>261.46307373046801</v>
      </c>
      <c r="C145" s="3">
        <f>Data!H145</f>
        <v>126.37728881835901</v>
      </c>
      <c r="D145" s="3">
        <f>Data!N145</f>
        <v>43.628795623779297</v>
      </c>
      <c r="F145" s="1">
        <v>45807</v>
      </c>
      <c r="G145" s="4">
        <f t="shared" si="20"/>
        <v>-1.3994777629666721E-3</v>
      </c>
      <c r="H145" s="4">
        <f t="shared" si="15"/>
        <v>-1.0144532907300219E-3</v>
      </c>
      <c r="I145" s="4">
        <f t="shared" si="16"/>
        <v>-2.4864951799898893E-3</v>
      </c>
      <c r="P145" s="1">
        <v>45807</v>
      </c>
      <c r="Q145" s="4">
        <f t="shared" si="21"/>
        <v>-1.5715731991789773E-3</v>
      </c>
      <c r="R145" s="34">
        <f t="shared" si="22"/>
        <v>-1571.5731991789773</v>
      </c>
      <c r="S145" s="34" t="b">
        <f t="shared" si="17"/>
        <v>0</v>
      </c>
      <c r="T145" s="34" t="b">
        <f t="shared" si="18"/>
        <v>0</v>
      </c>
      <c r="U145" s="34" t="b">
        <f t="shared" si="19"/>
        <v>0</v>
      </c>
    </row>
    <row r="146" spans="1:21" x14ac:dyDescent="0.3">
      <c r="A146" s="1">
        <v>45810</v>
      </c>
      <c r="B146" s="3">
        <f>Data!B146</f>
        <v>262.11672973632801</v>
      </c>
      <c r="C146" s="3">
        <f>Data!H146</f>
        <v>126.74251556396401</v>
      </c>
      <c r="D146" s="3">
        <f>Data!N146</f>
        <v>43.5793647766113</v>
      </c>
      <c r="F146" s="1">
        <v>45810</v>
      </c>
      <c r="G146" s="4">
        <f t="shared" si="20"/>
        <v>2.499993580484805E-3</v>
      </c>
      <c r="H146" s="4">
        <f t="shared" si="15"/>
        <v>2.8899713628920409E-3</v>
      </c>
      <c r="I146" s="4">
        <f t="shared" si="16"/>
        <v>-1.1329867455945886E-3</v>
      </c>
      <c r="P146" s="1">
        <v>45810</v>
      </c>
      <c r="Q146" s="4">
        <f t="shared" si="21"/>
        <v>1.5660905956238814E-3</v>
      </c>
      <c r="R146" s="34">
        <f t="shared" si="22"/>
        <v>1566.0905956238814</v>
      </c>
      <c r="S146" s="34" t="b">
        <f t="shared" si="17"/>
        <v>0</v>
      </c>
      <c r="T146" s="34" t="b">
        <f t="shared" si="18"/>
        <v>0</v>
      </c>
      <c r="U146" s="34" t="b">
        <f t="shared" si="19"/>
        <v>0</v>
      </c>
    </row>
    <row r="147" spans="1:21" x14ac:dyDescent="0.3">
      <c r="A147" s="1">
        <v>45811</v>
      </c>
      <c r="B147" s="3">
        <f>Data!B147</f>
        <v>263.71124267578102</v>
      </c>
      <c r="C147" s="3">
        <f>Data!H147</f>
        <v>127.018898010253</v>
      </c>
      <c r="D147" s="3">
        <f>Data!N147</f>
        <v>44.142887115478501</v>
      </c>
      <c r="F147" s="1">
        <v>45811</v>
      </c>
      <c r="G147" s="4">
        <f t="shared" si="20"/>
        <v>6.0832169738154196E-3</v>
      </c>
      <c r="H147" s="4">
        <f t="shared" si="15"/>
        <v>2.1806608860426291E-3</v>
      </c>
      <c r="I147" s="4">
        <f t="shared" si="16"/>
        <v>1.293094430714703E-2</v>
      </c>
      <c r="P147" s="1">
        <v>45811</v>
      </c>
      <c r="Q147" s="4">
        <f t="shared" si="21"/>
        <v>6.5765127387057854E-3</v>
      </c>
      <c r="R147" s="34">
        <f t="shared" si="22"/>
        <v>6576.5127387057855</v>
      </c>
      <c r="S147" s="34" t="b">
        <f t="shared" si="17"/>
        <v>0</v>
      </c>
      <c r="T147" s="34" t="b">
        <f t="shared" si="18"/>
        <v>0</v>
      </c>
      <c r="U147" s="34" t="b">
        <f t="shared" si="19"/>
        <v>0</v>
      </c>
    </row>
    <row r="148" spans="1:21" x14ac:dyDescent="0.3">
      <c r="A148" s="1">
        <v>45812</v>
      </c>
      <c r="B148" s="3">
        <f>Data!B148</f>
        <v>261.68096923828102</v>
      </c>
      <c r="C148" s="3">
        <f>Data!H148</f>
        <v>126.50562286376901</v>
      </c>
      <c r="D148" s="3">
        <f>Data!N148</f>
        <v>43.856182098388601</v>
      </c>
      <c r="F148" s="1">
        <v>45812</v>
      </c>
      <c r="G148" s="4">
        <f t="shared" si="20"/>
        <v>-7.698850518846112E-3</v>
      </c>
      <c r="H148" s="4">
        <f t="shared" ref="H148:H211" si="23">C148/C147-1</f>
        <v>-4.0409352822645683E-3</v>
      </c>
      <c r="I148" s="4">
        <f t="shared" ref="I148:I211" si="24">D148/D147-1</f>
        <v>-6.4949312522281089E-3</v>
      </c>
      <c r="P148" s="1">
        <v>45812</v>
      </c>
      <c r="Q148" s="4">
        <f t="shared" si="21"/>
        <v>-5.8745086442280933E-3</v>
      </c>
      <c r="R148" s="34">
        <f t="shared" si="22"/>
        <v>-5874.5086442280935</v>
      </c>
      <c r="S148" s="34" t="b">
        <f t="shared" si="17"/>
        <v>0</v>
      </c>
      <c r="T148" s="34" t="b">
        <f t="shared" si="18"/>
        <v>0</v>
      </c>
      <c r="U148" s="34" t="b">
        <f t="shared" si="19"/>
        <v>0</v>
      </c>
    </row>
    <row r="149" spans="1:21" x14ac:dyDescent="0.3">
      <c r="A149" s="1">
        <v>45813</v>
      </c>
      <c r="B149" s="3">
        <f>Data!B149</f>
        <v>259.43280029296801</v>
      </c>
      <c r="C149" s="3">
        <f>Data!H149</f>
        <v>128.93385314941401</v>
      </c>
      <c r="D149" s="3">
        <f>Data!N149</f>
        <v>43.875957489013601</v>
      </c>
      <c r="F149" s="1">
        <v>45813</v>
      </c>
      <c r="G149" s="4">
        <f t="shared" si="20"/>
        <v>-8.591258859431572E-3</v>
      </c>
      <c r="H149" s="4">
        <f t="shared" si="23"/>
        <v>1.919464313661301E-2</v>
      </c>
      <c r="I149" s="4">
        <f t="shared" si="24"/>
        <v>4.5091455021406546E-4</v>
      </c>
      <c r="P149" s="1">
        <v>45813</v>
      </c>
      <c r="Q149" s="4">
        <f t="shared" si="21"/>
        <v>5.2357539618799517E-3</v>
      </c>
      <c r="R149" s="34">
        <f t="shared" si="22"/>
        <v>5235.7539618799519</v>
      </c>
      <c r="S149" s="34" t="b">
        <f t="shared" si="17"/>
        <v>0</v>
      </c>
      <c r="T149" s="34" t="b">
        <f t="shared" si="18"/>
        <v>0</v>
      </c>
      <c r="U149" s="34" t="b">
        <f t="shared" si="19"/>
        <v>0</v>
      </c>
    </row>
    <row r="150" spans="1:21" x14ac:dyDescent="0.3">
      <c r="A150" s="1">
        <v>45814</v>
      </c>
      <c r="B150" s="3">
        <f>Data!B150</f>
        <v>263.17645263671801</v>
      </c>
      <c r="C150" s="3">
        <f>Data!H150</f>
        <v>130.11837768554599</v>
      </c>
      <c r="D150" s="3">
        <f>Data!N150</f>
        <v>44.7212524414062</v>
      </c>
      <c r="F150" s="1">
        <v>45814</v>
      </c>
      <c r="G150" s="4">
        <f t="shared" si="20"/>
        <v>1.443014275574428E-2</v>
      </c>
      <c r="H150" s="4">
        <f t="shared" si="23"/>
        <v>9.1870715657531576E-3</v>
      </c>
      <c r="I150" s="4">
        <f t="shared" si="24"/>
        <v>1.9265561386421215E-2</v>
      </c>
      <c r="P150" s="1">
        <v>45814</v>
      </c>
      <c r="Q150" s="4">
        <f t="shared" si="21"/>
        <v>1.3783539868950912E-2</v>
      </c>
      <c r="R150" s="34">
        <f t="shared" si="22"/>
        <v>13783.539868950913</v>
      </c>
      <c r="S150" s="34" t="b">
        <f t="shared" si="17"/>
        <v>0</v>
      </c>
      <c r="T150" s="34" t="b">
        <f t="shared" si="18"/>
        <v>0</v>
      </c>
      <c r="U150" s="34" t="b">
        <f t="shared" si="19"/>
        <v>0</v>
      </c>
    </row>
    <row r="151" spans="1:21" x14ac:dyDescent="0.3">
      <c r="A151" s="1">
        <v>45817</v>
      </c>
      <c r="B151" s="3">
        <f>Data!B151</f>
        <v>264.17672729492102</v>
      </c>
      <c r="C151" s="3">
        <f>Data!H151</f>
        <v>130.24668884277301</v>
      </c>
      <c r="D151" s="3">
        <f>Data!N151</f>
        <v>44.621803283691399</v>
      </c>
      <c r="F151" s="1">
        <v>45817</v>
      </c>
      <c r="G151" s="4">
        <f t="shared" si="20"/>
        <v>3.8007756703970497E-3</v>
      </c>
      <c r="H151" s="4">
        <f t="shared" si="23"/>
        <v>9.8611095149903072E-4</v>
      </c>
      <c r="I151" s="4">
        <f t="shared" si="24"/>
        <v>-2.2237560954961877E-3</v>
      </c>
      <c r="P151" s="1">
        <v>45817</v>
      </c>
      <c r="Q151" s="4">
        <f t="shared" si="21"/>
        <v>8.6755025306987086E-4</v>
      </c>
      <c r="R151" s="34">
        <f t="shared" si="22"/>
        <v>867.55025306987091</v>
      </c>
      <c r="S151" s="34" t="b">
        <f t="shared" si="17"/>
        <v>0</v>
      </c>
      <c r="T151" s="34" t="b">
        <f t="shared" si="18"/>
        <v>0</v>
      </c>
      <c r="U151" s="34" t="b">
        <f t="shared" si="19"/>
        <v>0</v>
      </c>
    </row>
    <row r="152" spans="1:21" x14ac:dyDescent="0.3">
      <c r="A152" s="1">
        <v>45818</v>
      </c>
      <c r="B152" s="3">
        <f>Data!B152</f>
        <v>266.01885986328102</v>
      </c>
      <c r="C152" s="3">
        <f>Data!H152</f>
        <v>130.11837768554599</v>
      </c>
      <c r="D152" s="3">
        <f>Data!N152</f>
        <v>44.840587615966797</v>
      </c>
      <c r="F152" s="1">
        <v>45818</v>
      </c>
      <c r="G152" s="4">
        <f t="shared" si="20"/>
        <v>6.9731069319496353E-3</v>
      </c>
      <c r="H152" s="4">
        <f t="shared" si="23"/>
        <v>-9.8513949465472983E-4</v>
      </c>
      <c r="I152" s="4">
        <f t="shared" si="24"/>
        <v>4.9030813677437557E-3</v>
      </c>
      <c r="P152" s="1">
        <v>45818</v>
      </c>
      <c r="Q152" s="4">
        <f t="shared" si="21"/>
        <v>3.1688006920461255E-3</v>
      </c>
      <c r="R152" s="34">
        <f t="shared" si="22"/>
        <v>3168.8006920461257</v>
      </c>
      <c r="S152" s="34" t="b">
        <f t="shared" si="17"/>
        <v>0</v>
      </c>
      <c r="T152" s="34" t="b">
        <f t="shared" si="18"/>
        <v>0</v>
      </c>
      <c r="U152" s="34" t="b">
        <f t="shared" si="19"/>
        <v>0</v>
      </c>
    </row>
    <row r="153" spans="1:21" x14ac:dyDescent="0.3">
      <c r="A153" s="1">
        <v>45819</v>
      </c>
      <c r="B153" s="3">
        <f>Data!B153</f>
        <v>265.57318115234301</v>
      </c>
      <c r="C153" s="3">
        <f>Data!H153</f>
        <v>130.10848999023401</v>
      </c>
      <c r="D153" s="3">
        <f>Data!N153</f>
        <v>44.482578277587798</v>
      </c>
      <c r="F153" s="1">
        <v>45819</v>
      </c>
      <c r="G153" s="4">
        <f t="shared" si="20"/>
        <v>-1.675365089404024E-3</v>
      </c>
      <c r="H153" s="4">
        <f t="shared" si="23"/>
        <v>-7.5989998398862113E-5</v>
      </c>
      <c r="I153" s="4">
        <f t="shared" si="24"/>
        <v>-7.9840465393794524E-3</v>
      </c>
      <c r="P153" s="1">
        <v>45819</v>
      </c>
      <c r="Q153" s="4">
        <f t="shared" si="21"/>
        <v>-2.928219487994588E-3</v>
      </c>
      <c r="R153" s="34">
        <f t="shared" si="22"/>
        <v>-2928.2194879945882</v>
      </c>
      <c r="S153" s="34" t="b">
        <f t="shared" si="17"/>
        <v>0</v>
      </c>
      <c r="T153" s="34" t="b">
        <f t="shared" si="18"/>
        <v>0</v>
      </c>
      <c r="U153" s="34" t="b">
        <f t="shared" si="19"/>
        <v>0</v>
      </c>
    </row>
    <row r="154" spans="1:21" x14ac:dyDescent="0.3">
      <c r="A154" s="1">
        <v>45820</v>
      </c>
      <c r="B154" s="3">
        <f>Data!B154</f>
        <v>265.66229248046801</v>
      </c>
      <c r="C154" s="3">
        <f>Data!H154</f>
        <v>130.21707153320301</v>
      </c>
      <c r="D154" s="3">
        <f>Data!N154</f>
        <v>44.3731880187988</v>
      </c>
      <c r="F154" s="1">
        <v>45820</v>
      </c>
      <c r="G154" s="4">
        <f t="shared" si="20"/>
        <v>3.3554339989572135E-4</v>
      </c>
      <c r="H154" s="4">
        <f t="shared" si="23"/>
        <v>8.3454617740286174E-4</v>
      </c>
      <c r="I154" s="4">
        <f t="shared" si="24"/>
        <v>-2.4591708265281342E-3</v>
      </c>
      <c r="P154" s="1">
        <v>45820</v>
      </c>
      <c r="Q154" s="4">
        <f t="shared" si="21"/>
        <v>-3.0326975702857915E-4</v>
      </c>
      <c r="R154" s="34">
        <f t="shared" si="22"/>
        <v>-303.26975702857914</v>
      </c>
      <c r="S154" s="34" t="b">
        <f t="shared" si="17"/>
        <v>0</v>
      </c>
      <c r="T154" s="34" t="b">
        <f t="shared" si="18"/>
        <v>0</v>
      </c>
      <c r="U154" s="34" t="b">
        <f t="shared" si="19"/>
        <v>0</v>
      </c>
    </row>
    <row r="155" spans="1:21" x14ac:dyDescent="0.3">
      <c r="A155" s="1">
        <v>45821</v>
      </c>
      <c r="B155" s="3">
        <f>Data!B155</f>
        <v>262.40396118164</v>
      </c>
      <c r="C155" s="3">
        <f>Data!H155</f>
        <v>127.81845092773401</v>
      </c>
      <c r="D155" s="3">
        <f>Data!N155</f>
        <v>43.846118927001903</v>
      </c>
      <c r="F155" s="1">
        <v>45821</v>
      </c>
      <c r="G155" s="4">
        <f t="shared" si="20"/>
        <v>-1.2264937068807269E-2</v>
      </c>
      <c r="H155" s="4">
        <f t="shared" si="23"/>
        <v>-1.8420170083900289E-2</v>
      </c>
      <c r="I155" s="4">
        <f t="shared" si="24"/>
        <v>-1.1878098359162315E-2</v>
      </c>
      <c r="P155" s="1">
        <v>45821</v>
      </c>
      <c r="Q155" s="4">
        <f t="shared" si="21"/>
        <v>-1.4610978661950991E-2</v>
      </c>
      <c r="R155" s="34">
        <f t="shared" si="22"/>
        <v>-14610.97866195099</v>
      </c>
      <c r="S155" s="34" t="b">
        <f t="shared" si="17"/>
        <v>0</v>
      </c>
      <c r="T155" s="34" t="b">
        <f t="shared" si="18"/>
        <v>0</v>
      </c>
      <c r="U155" s="34" t="b">
        <f t="shared" si="19"/>
        <v>0</v>
      </c>
    </row>
    <row r="156" spans="1:21" x14ac:dyDescent="0.3">
      <c r="A156" s="1">
        <v>45824</v>
      </c>
      <c r="B156" s="3">
        <f>Data!B156</f>
        <v>267.76193237304602</v>
      </c>
      <c r="C156" s="3">
        <f>Data!H156</f>
        <v>129.21023559570301</v>
      </c>
      <c r="D156" s="3">
        <f>Data!N156</f>
        <v>44.164348602294901</v>
      </c>
      <c r="F156" s="1">
        <v>45824</v>
      </c>
      <c r="G156" s="4">
        <f t="shared" si="20"/>
        <v>2.0418789286862804E-2</v>
      </c>
      <c r="H156" s="4">
        <f t="shared" si="23"/>
        <v>1.0888761816992165E-2</v>
      </c>
      <c r="I156" s="4">
        <f t="shared" si="24"/>
        <v>7.257875567568739E-3</v>
      </c>
      <c r="P156" s="1">
        <v>45824</v>
      </c>
      <c r="Q156" s="4">
        <f t="shared" si="21"/>
        <v>1.2658504183126328E-2</v>
      </c>
      <c r="R156" s="34">
        <f t="shared" si="22"/>
        <v>12658.504183126328</v>
      </c>
      <c r="S156" s="34" t="b">
        <f t="shared" si="17"/>
        <v>0</v>
      </c>
      <c r="T156" s="34" t="b">
        <f t="shared" si="18"/>
        <v>0</v>
      </c>
      <c r="U156" s="34" t="b">
        <f t="shared" si="19"/>
        <v>0</v>
      </c>
    </row>
    <row r="157" spans="1:21" x14ac:dyDescent="0.3">
      <c r="A157" s="1">
        <v>45825</v>
      </c>
      <c r="B157" s="3">
        <f>Data!B157</f>
        <v>266.93002319335898</v>
      </c>
      <c r="C157" s="3">
        <f>Data!H157</f>
        <v>128.41069030761699</v>
      </c>
      <c r="D157" s="3">
        <f>Data!N157</f>
        <v>43.985343933105398</v>
      </c>
      <c r="F157" s="1">
        <v>45825</v>
      </c>
      <c r="G157" s="4">
        <f t="shared" si="20"/>
        <v>-3.1068986256345132E-3</v>
      </c>
      <c r="H157" s="4">
        <f t="shared" si="23"/>
        <v>-6.1879407958653765E-3</v>
      </c>
      <c r="I157" s="4">
        <f t="shared" si="24"/>
        <v>-4.0531486335609879E-3</v>
      </c>
      <c r="P157" s="1">
        <v>45825</v>
      </c>
      <c r="Q157" s="4">
        <f t="shared" si="21"/>
        <v>-4.6231904961048006E-3</v>
      </c>
      <c r="R157" s="34">
        <f t="shared" si="22"/>
        <v>-4623.1904961048003</v>
      </c>
      <c r="S157" s="34" t="b">
        <f t="shared" si="17"/>
        <v>0</v>
      </c>
      <c r="T157" s="34" t="b">
        <f t="shared" si="18"/>
        <v>0</v>
      </c>
      <c r="U157" s="34" t="b">
        <f t="shared" si="19"/>
        <v>0</v>
      </c>
    </row>
    <row r="158" spans="1:21" x14ac:dyDescent="0.3">
      <c r="A158" s="1">
        <v>45826</v>
      </c>
      <c r="B158" s="3">
        <f>Data!B158</f>
        <v>271.32736206054602</v>
      </c>
      <c r="C158" s="3">
        <f>Data!H158</f>
        <v>130.80934143066401</v>
      </c>
      <c r="D158" s="3">
        <f>Data!N158</f>
        <v>44.810756683349602</v>
      </c>
      <c r="F158" s="1">
        <v>45826</v>
      </c>
      <c r="G158" s="4">
        <f t="shared" si="20"/>
        <v>1.6473751489549437E-2</v>
      </c>
      <c r="H158" s="4">
        <f t="shared" si="23"/>
        <v>1.8679528295509229E-2</v>
      </c>
      <c r="I158" s="4">
        <f t="shared" si="24"/>
        <v>1.8765631377113401E-2</v>
      </c>
      <c r="P158" s="1">
        <v>45826</v>
      </c>
      <c r="Q158" s="4">
        <f t="shared" si="21"/>
        <v>1.8043626178202543E-2</v>
      </c>
      <c r="R158" s="34">
        <f t="shared" si="22"/>
        <v>18043.626178202543</v>
      </c>
      <c r="S158" s="34" t="b">
        <f t="shared" si="17"/>
        <v>0</v>
      </c>
      <c r="T158" s="34" t="b">
        <f t="shared" si="18"/>
        <v>0</v>
      </c>
      <c r="U158" s="34" t="b">
        <f t="shared" si="19"/>
        <v>0</v>
      </c>
    </row>
    <row r="159" spans="1:21" x14ac:dyDescent="0.3">
      <c r="A159" s="1">
        <v>45828</v>
      </c>
      <c r="B159" s="3">
        <f>Data!B159</f>
        <v>272.35736083984301</v>
      </c>
      <c r="C159" s="3">
        <f>Data!H159</f>
        <v>130.99688720703099</v>
      </c>
      <c r="D159" s="3">
        <f>Data!N159</f>
        <v>45.248321533203097</v>
      </c>
      <c r="F159" s="1">
        <v>45828</v>
      </c>
      <c r="G159" s="4">
        <f t="shared" si="20"/>
        <v>3.7961478395500681E-3</v>
      </c>
      <c r="H159" s="4">
        <f t="shared" si="23"/>
        <v>1.433733816834426E-3</v>
      </c>
      <c r="I159" s="4">
        <f t="shared" si="24"/>
        <v>9.7647279858605884E-3</v>
      </c>
      <c r="P159" s="1">
        <v>45828</v>
      </c>
      <c r="Q159" s="4">
        <f t="shared" si="21"/>
        <v>4.6417562743569672E-3</v>
      </c>
      <c r="R159" s="34">
        <f t="shared" si="22"/>
        <v>4641.756274356967</v>
      </c>
      <c r="S159" s="34" t="b">
        <f t="shared" si="17"/>
        <v>0</v>
      </c>
      <c r="T159" s="34" t="b">
        <f t="shared" si="18"/>
        <v>0</v>
      </c>
      <c r="U159" s="34" t="b">
        <f t="shared" si="19"/>
        <v>0</v>
      </c>
    </row>
    <row r="160" spans="1:21" x14ac:dyDescent="0.3">
      <c r="A160" s="1">
        <v>45831</v>
      </c>
      <c r="B160" s="3">
        <f>Data!B160</f>
        <v>275.59591674804602</v>
      </c>
      <c r="C160" s="3">
        <f>Data!H160</f>
        <v>132.27023315429599</v>
      </c>
      <c r="D160" s="3">
        <f>Data!N160</f>
        <v>46.043895721435497</v>
      </c>
      <c r="F160" s="1">
        <v>45831</v>
      </c>
      <c r="G160" s="4">
        <f t="shared" si="20"/>
        <v>1.1890833051901195E-2</v>
      </c>
      <c r="H160" s="4">
        <f t="shared" si="23"/>
        <v>9.7204290454060427E-3</v>
      </c>
      <c r="I160" s="4">
        <f t="shared" si="24"/>
        <v>1.7582402203551561E-2</v>
      </c>
      <c r="P160" s="1">
        <v>45831</v>
      </c>
      <c r="Q160" s="4">
        <f t="shared" si="21"/>
        <v>1.2730142194798243E-2</v>
      </c>
      <c r="R160" s="34">
        <f t="shared" si="22"/>
        <v>12730.142194798244</v>
      </c>
      <c r="S160" s="34" t="b">
        <f t="shared" si="17"/>
        <v>0</v>
      </c>
      <c r="T160" s="34" t="b">
        <f t="shared" si="18"/>
        <v>0</v>
      </c>
      <c r="U160" s="34" t="b">
        <f t="shared" si="19"/>
        <v>0</v>
      </c>
    </row>
    <row r="161" spans="1:21" x14ac:dyDescent="0.3">
      <c r="A161" s="1">
        <v>45832</v>
      </c>
      <c r="B161" s="3">
        <f>Data!B161</f>
        <v>278.55722045898398</v>
      </c>
      <c r="C161" s="3">
        <f>Data!H161</f>
        <v>134.14569091796801</v>
      </c>
      <c r="D161" s="3">
        <f>Data!N161</f>
        <v>46.401905059814403</v>
      </c>
      <c r="F161" s="1">
        <v>45832</v>
      </c>
      <c r="G161" s="4">
        <f t="shared" si="20"/>
        <v>1.0745092836935033E-2</v>
      </c>
      <c r="H161" s="4">
        <f t="shared" si="23"/>
        <v>1.4178985845471725E-2</v>
      </c>
      <c r="I161" s="4">
        <f t="shared" si="24"/>
        <v>7.7753919986451869E-3</v>
      </c>
      <c r="P161" s="1">
        <v>45832</v>
      </c>
      <c r="Q161" s="4">
        <f t="shared" si="21"/>
        <v>1.1227739788862757E-2</v>
      </c>
      <c r="R161" s="34">
        <f t="shared" si="22"/>
        <v>11227.739788862757</v>
      </c>
      <c r="S161" s="34" t="b">
        <f t="shared" si="17"/>
        <v>0</v>
      </c>
      <c r="T161" s="34" t="b">
        <f t="shared" si="18"/>
        <v>0</v>
      </c>
      <c r="U161" s="34" t="b">
        <f t="shared" si="19"/>
        <v>0</v>
      </c>
    </row>
    <row r="162" spans="1:21" x14ac:dyDescent="0.3">
      <c r="A162" s="1">
        <v>45833</v>
      </c>
      <c r="B162" s="3">
        <f>Data!B162</f>
        <v>281.33029174804602</v>
      </c>
      <c r="C162" s="3">
        <f>Data!H162</f>
        <v>135.94219970703099</v>
      </c>
      <c r="D162" s="3">
        <f>Data!N162</f>
        <v>46.590850830078097</v>
      </c>
      <c r="F162" s="1">
        <v>45833</v>
      </c>
      <c r="G162" s="4">
        <f t="shared" si="20"/>
        <v>9.9551226297160955E-3</v>
      </c>
      <c r="H162" s="4">
        <f t="shared" si="23"/>
        <v>1.3392221373413893E-2</v>
      </c>
      <c r="I162" s="4">
        <f t="shared" si="24"/>
        <v>4.0719399347963758E-3</v>
      </c>
      <c r="P162" s="1">
        <v>45833</v>
      </c>
      <c r="Q162" s="4">
        <f t="shared" si="21"/>
        <v>9.5650073187192996E-3</v>
      </c>
      <c r="R162" s="34">
        <f t="shared" si="22"/>
        <v>9565.0073187192993</v>
      </c>
      <c r="S162" s="34" t="b">
        <f t="shared" si="17"/>
        <v>0</v>
      </c>
      <c r="T162" s="34" t="b">
        <f t="shared" si="18"/>
        <v>0</v>
      </c>
      <c r="U162" s="34" t="b">
        <f t="shared" si="19"/>
        <v>0</v>
      </c>
    </row>
    <row r="163" spans="1:21" x14ac:dyDescent="0.3">
      <c r="A163" s="1">
        <v>45834</v>
      </c>
      <c r="B163" s="3">
        <f>Data!B163</f>
        <v>285.97525024414</v>
      </c>
      <c r="C163" s="3">
        <f>Data!H163</f>
        <v>137.94599914550699</v>
      </c>
      <c r="D163" s="3">
        <f>Data!N163</f>
        <v>47.197479248046797</v>
      </c>
      <c r="F163" s="1">
        <v>45834</v>
      </c>
      <c r="G163" s="4">
        <f t="shared" si="20"/>
        <v>1.6510694483813149E-2</v>
      </c>
      <c r="H163" s="4">
        <f t="shared" si="23"/>
        <v>1.4740083967998086E-2</v>
      </c>
      <c r="I163" s="4">
        <f t="shared" si="24"/>
        <v>1.3020333545337825E-2</v>
      </c>
      <c r="P163" s="1">
        <v>45834</v>
      </c>
      <c r="Q163" s="4">
        <f t="shared" si="21"/>
        <v>1.4755341995944526E-2</v>
      </c>
      <c r="R163" s="34">
        <f t="shared" si="22"/>
        <v>14755.341995944527</v>
      </c>
      <c r="S163" s="34" t="b">
        <f t="shared" si="17"/>
        <v>0</v>
      </c>
      <c r="T163" s="34" t="b">
        <f t="shared" si="18"/>
        <v>0</v>
      </c>
      <c r="U163" s="34" t="b">
        <f t="shared" si="19"/>
        <v>0</v>
      </c>
    </row>
    <row r="164" spans="1:21" x14ac:dyDescent="0.3">
      <c r="A164" s="1">
        <v>45835</v>
      </c>
      <c r="B164" s="3">
        <f>Data!B164</f>
        <v>284.350982666015</v>
      </c>
      <c r="C164" s="3">
        <f>Data!H164</f>
        <v>138.87388610839801</v>
      </c>
      <c r="D164" s="3">
        <f>Data!N164</f>
        <v>46.859359741210902</v>
      </c>
      <c r="F164" s="1">
        <v>45835</v>
      </c>
      <c r="G164" s="4">
        <f t="shared" si="20"/>
        <v>-5.6797487780441136E-3</v>
      </c>
      <c r="H164" s="4">
        <f t="shared" si="23"/>
        <v>6.7264507027295917E-3</v>
      </c>
      <c r="I164" s="4">
        <f t="shared" si="24"/>
        <v>-7.1639314688588529E-3</v>
      </c>
      <c r="P164" s="1">
        <v>45835</v>
      </c>
      <c r="Q164" s="4">
        <f t="shared" si="21"/>
        <v>-1.162523792979053E-3</v>
      </c>
      <c r="R164" s="34">
        <f t="shared" si="22"/>
        <v>-1162.523792979053</v>
      </c>
      <c r="S164" s="34" t="b">
        <f t="shared" si="17"/>
        <v>0</v>
      </c>
      <c r="T164" s="34" t="b">
        <f t="shared" si="18"/>
        <v>0</v>
      </c>
      <c r="U164" s="34" t="b">
        <f t="shared" si="19"/>
        <v>0</v>
      </c>
    </row>
    <row r="165" spans="1:21" x14ac:dyDescent="0.3">
      <c r="A165" s="1">
        <v>45838</v>
      </c>
      <c r="B165" s="3">
        <f>Data!B165</f>
        <v>287.12408447265602</v>
      </c>
      <c r="C165" s="3">
        <f>Data!H165</f>
        <v>139.04167175292901</v>
      </c>
      <c r="D165" s="3">
        <f>Data!N165</f>
        <v>47.058254241943303</v>
      </c>
      <c r="F165" s="1">
        <v>45838</v>
      </c>
      <c r="G165" s="4">
        <f t="shared" si="20"/>
        <v>9.7523904459235755E-3</v>
      </c>
      <c r="H165" s="4">
        <f t="shared" si="23"/>
        <v>1.2081871490225993E-3</v>
      </c>
      <c r="I165" s="4">
        <f t="shared" si="24"/>
        <v>4.2444988969296826E-3</v>
      </c>
      <c r="P165" s="1">
        <v>45838</v>
      </c>
      <c r="Q165" s="4">
        <f t="shared" si="21"/>
        <v>4.6823416624650173E-3</v>
      </c>
      <c r="R165" s="34">
        <f t="shared" si="22"/>
        <v>4682.3416624650172</v>
      </c>
      <c r="S165" s="34" t="b">
        <f t="shared" si="17"/>
        <v>0</v>
      </c>
      <c r="T165" s="34" t="b">
        <f t="shared" si="18"/>
        <v>0</v>
      </c>
      <c r="U165" s="34" t="b">
        <f t="shared" si="19"/>
        <v>0</v>
      </c>
    </row>
    <row r="166" spans="1:21" x14ac:dyDescent="0.3">
      <c r="A166" s="1">
        <v>45839</v>
      </c>
      <c r="B166" s="3">
        <f>Data!B166</f>
        <v>287.61929321289</v>
      </c>
      <c r="C166" s="3">
        <f>Data!H166</f>
        <v>139.24897766113199</v>
      </c>
      <c r="D166" s="3">
        <f>Data!N166</f>
        <v>47.883663177490199</v>
      </c>
      <c r="F166" s="1">
        <v>45839</v>
      </c>
      <c r="G166" s="4">
        <f t="shared" si="20"/>
        <v>1.7247203108841092E-3</v>
      </c>
      <c r="H166" s="4">
        <f t="shared" si="23"/>
        <v>1.4909624257923859E-3</v>
      </c>
      <c r="I166" s="4">
        <f t="shared" si="24"/>
        <v>1.7540152069882797E-2</v>
      </c>
      <c r="P166" s="1">
        <v>45839</v>
      </c>
      <c r="Q166" s="4">
        <f t="shared" si="21"/>
        <v>6.375846684547026E-3</v>
      </c>
      <c r="R166" s="34">
        <f t="shared" si="22"/>
        <v>6375.8466845470257</v>
      </c>
      <c r="S166" s="34" t="b">
        <f t="shared" si="17"/>
        <v>0</v>
      </c>
      <c r="T166" s="34" t="b">
        <f t="shared" si="18"/>
        <v>0</v>
      </c>
      <c r="U166" s="34" t="b">
        <f t="shared" si="19"/>
        <v>0</v>
      </c>
    </row>
    <row r="167" spans="1:21" x14ac:dyDescent="0.3">
      <c r="A167" s="1">
        <v>45840</v>
      </c>
      <c r="B167" s="3">
        <f>Data!B167</f>
        <v>289.19403076171801</v>
      </c>
      <c r="C167" s="3">
        <f>Data!H167</f>
        <v>141.015853881835</v>
      </c>
      <c r="D167" s="3">
        <f>Data!N167</f>
        <v>48.440563201904297</v>
      </c>
      <c r="F167" s="1">
        <v>45840</v>
      </c>
      <c r="G167" s="4">
        <f t="shared" si="20"/>
        <v>5.4750762065964853E-3</v>
      </c>
      <c r="H167" s="4">
        <f t="shared" si="23"/>
        <v>1.2688611797228244E-2</v>
      </c>
      <c r="I167" s="4">
        <f t="shared" si="24"/>
        <v>1.1630271943686488E-2</v>
      </c>
      <c r="P167" s="1">
        <v>45840</v>
      </c>
      <c r="Q167" s="4">
        <f t="shared" si="21"/>
        <v>1.020704916397619E-2</v>
      </c>
      <c r="R167" s="34">
        <f t="shared" si="22"/>
        <v>10207.049163976189</v>
      </c>
      <c r="S167" s="34" t="b">
        <f t="shared" si="17"/>
        <v>0</v>
      </c>
      <c r="T167" s="34" t="b">
        <f t="shared" si="18"/>
        <v>0</v>
      </c>
      <c r="U167" s="34" t="b">
        <f t="shared" si="19"/>
        <v>0</v>
      </c>
    </row>
    <row r="168" spans="1:21" x14ac:dyDescent="0.3">
      <c r="A168" s="1">
        <v>45841</v>
      </c>
      <c r="B168" s="3">
        <f>Data!B168</f>
        <v>294.56787109375</v>
      </c>
      <c r="C168" s="3">
        <f>Data!H168</f>
        <v>142.27932739257801</v>
      </c>
      <c r="D168" s="3">
        <f>Data!N168</f>
        <v>48.659347534179602</v>
      </c>
      <c r="F168" s="1">
        <v>45841</v>
      </c>
      <c r="G168" s="4">
        <f t="shared" si="20"/>
        <v>1.8582127431460593E-2</v>
      </c>
      <c r="H168" s="4">
        <f t="shared" si="23"/>
        <v>8.9597976111377431E-3</v>
      </c>
      <c r="I168" s="4">
        <f t="shared" si="24"/>
        <v>4.5165521995149671E-3</v>
      </c>
      <c r="P168" s="1">
        <v>45841</v>
      </c>
      <c r="Q168" s="4">
        <f t="shared" si="21"/>
        <v>1.0513522933747764E-2</v>
      </c>
      <c r="R168" s="34">
        <f t="shared" si="22"/>
        <v>10513.522933747763</v>
      </c>
      <c r="S168" s="34" t="b">
        <f t="shared" si="17"/>
        <v>0</v>
      </c>
      <c r="T168" s="34" t="b">
        <f t="shared" si="18"/>
        <v>0</v>
      </c>
      <c r="U168" s="34" t="b">
        <f t="shared" si="19"/>
        <v>0</v>
      </c>
    </row>
    <row r="169" spans="1:21" x14ac:dyDescent="0.3">
      <c r="A169" s="1">
        <v>45845</v>
      </c>
      <c r="B169" s="3">
        <f>Data!B169</f>
        <v>290.557373046875</v>
      </c>
      <c r="C169" s="3">
        <f>Data!H169</f>
        <v>141.884506225585</v>
      </c>
      <c r="D169" s="3">
        <f>Data!N169</f>
        <v>48.390838623046797</v>
      </c>
      <c r="F169" s="1">
        <v>45845</v>
      </c>
      <c r="G169" s="4">
        <f t="shared" si="20"/>
        <v>-1.36148522647217E-2</v>
      </c>
      <c r="H169" s="4">
        <f t="shared" si="23"/>
        <v>-2.774972121590169E-3</v>
      </c>
      <c r="I169" s="4">
        <f t="shared" si="24"/>
        <v>-5.5181362829453962E-3</v>
      </c>
      <c r="P169" s="1">
        <v>45845</v>
      </c>
      <c r="Q169" s="4">
        <f t="shared" si="21"/>
        <v>-6.8498854129361965E-3</v>
      </c>
      <c r="R169" s="34">
        <f t="shared" si="22"/>
        <v>-6849.8854129361962</v>
      </c>
      <c r="S169" s="34" t="b">
        <f t="shared" si="17"/>
        <v>0</v>
      </c>
      <c r="T169" s="34" t="b">
        <f t="shared" si="18"/>
        <v>0</v>
      </c>
      <c r="U169" s="34" t="b">
        <f t="shared" si="19"/>
        <v>0</v>
      </c>
    </row>
    <row r="170" spans="1:21" x14ac:dyDescent="0.3">
      <c r="A170" s="1">
        <v>45846</v>
      </c>
      <c r="B170" s="3">
        <f>Data!B170</f>
        <v>281.41183471679602</v>
      </c>
      <c r="C170" s="3">
        <f>Data!H170</f>
        <v>139.30819702148401</v>
      </c>
      <c r="D170" s="3">
        <f>Data!N170</f>
        <v>46.889194488525298</v>
      </c>
      <c r="F170" s="1">
        <v>45846</v>
      </c>
      <c r="G170" s="4">
        <f t="shared" si="20"/>
        <v>-3.1475843253179314E-2</v>
      </c>
      <c r="H170" s="4">
        <f t="shared" si="23"/>
        <v>-1.8157790957138542E-2</v>
      </c>
      <c r="I170" s="4">
        <f t="shared" si="24"/>
        <v>-3.1031579060221581E-2</v>
      </c>
      <c r="P170" s="1">
        <v>45846</v>
      </c>
      <c r="Q170" s="4">
        <f t="shared" si="21"/>
        <v>-2.6015343076875683E-2</v>
      </c>
      <c r="R170" s="34">
        <f t="shared" si="22"/>
        <v>-26015.343076875684</v>
      </c>
      <c r="S170" s="34" t="b">
        <f t="shared" si="17"/>
        <v>0</v>
      </c>
      <c r="T170" s="34" t="b">
        <f t="shared" si="18"/>
        <v>0</v>
      </c>
      <c r="U170" s="34" t="b">
        <f t="shared" si="19"/>
        <v>0</v>
      </c>
    </row>
    <row r="171" spans="1:21" x14ac:dyDescent="0.3">
      <c r="A171" s="1">
        <v>45847</v>
      </c>
      <c r="B171" s="3">
        <f>Data!B171</f>
        <v>281.79000854492102</v>
      </c>
      <c r="C171" s="3">
        <f>Data!H171</f>
        <v>139.72277832031199</v>
      </c>
      <c r="D171" s="3">
        <f>Data!N171</f>
        <v>46.580909729003899</v>
      </c>
      <c r="F171" s="1">
        <v>45847</v>
      </c>
      <c r="G171" s="4">
        <f t="shared" si="20"/>
        <v>1.3438447906981565E-3</v>
      </c>
      <c r="H171" s="4">
        <f t="shared" si="23"/>
        <v>2.9760007500783114E-3</v>
      </c>
      <c r="I171" s="4">
        <f t="shared" si="24"/>
        <v>-6.5747505983887455E-3</v>
      </c>
      <c r="P171" s="1">
        <v>45847</v>
      </c>
      <c r="Q171" s="4">
        <f t="shared" si="21"/>
        <v>-3.7887144227585203E-4</v>
      </c>
      <c r="R171" s="34">
        <f t="shared" si="22"/>
        <v>-378.87144227585202</v>
      </c>
      <c r="S171" s="34" t="b">
        <f t="shared" si="17"/>
        <v>0</v>
      </c>
      <c r="T171" s="34" t="b">
        <f t="shared" si="18"/>
        <v>0</v>
      </c>
      <c r="U171" s="34" t="b">
        <f t="shared" si="19"/>
        <v>0</v>
      </c>
    </row>
    <row r="172" spans="1:21" x14ac:dyDescent="0.3">
      <c r="A172" s="1">
        <v>45848</v>
      </c>
      <c r="B172" s="3">
        <f>Data!B172</f>
        <v>286.79568481445301</v>
      </c>
      <c r="C172" s="3">
        <f>Data!H172</f>
        <v>141.24288940429599</v>
      </c>
      <c r="D172" s="3">
        <f>Data!N172</f>
        <v>46.710189819335902</v>
      </c>
      <c r="F172" s="1">
        <v>45848</v>
      </c>
      <c r="G172" s="4">
        <f t="shared" si="20"/>
        <v>1.776385293211713E-2</v>
      </c>
      <c r="H172" s="4">
        <f t="shared" si="23"/>
        <v>1.0879479368061107E-2</v>
      </c>
      <c r="I172" s="4">
        <f t="shared" si="24"/>
        <v>2.7753878377241303E-3</v>
      </c>
      <c r="P172" s="1">
        <v>45848</v>
      </c>
      <c r="Q172" s="4">
        <f t="shared" si="21"/>
        <v>1.0513563978176819E-2</v>
      </c>
      <c r="R172" s="34">
        <f t="shared" si="22"/>
        <v>10513.563978176819</v>
      </c>
      <c r="S172" s="34" t="b">
        <f t="shared" si="17"/>
        <v>0</v>
      </c>
      <c r="T172" s="34" t="b">
        <f t="shared" si="18"/>
        <v>0</v>
      </c>
      <c r="U172" s="34" t="b">
        <f t="shared" si="19"/>
        <v>0</v>
      </c>
    </row>
    <row r="173" spans="1:21" x14ac:dyDescent="0.3">
      <c r="A173" s="1">
        <v>45849</v>
      </c>
      <c r="B173" s="3">
        <f>Data!B173</f>
        <v>285.472076416015</v>
      </c>
      <c r="C173" s="3">
        <f>Data!H173</f>
        <v>140.44334411621</v>
      </c>
      <c r="D173" s="3">
        <f>Data!N173</f>
        <v>46.4715156555175</v>
      </c>
      <c r="F173" s="1">
        <v>45849</v>
      </c>
      <c r="G173" s="4">
        <f t="shared" si="20"/>
        <v>-4.615161484365915E-3</v>
      </c>
      <c r="H173" s="4">
        <f t="shared" si="23"/>
        <v>-5.6607825813967949E-3</v>
      </c>
      <c r="I173" s="4">
        <f t="shared" si="24"/>
        <v>-5.1096808799436788E-3</v>
      </c>
      <c r="P173" s="1">
        <v>45849</v>
      </c>
      <c r="Q173" s="4">
        <f t="shared" si="21"/>
        <v>-5.1817657418515963E-3</v>
      </c>
      <c r="R173" s="34">
        <f t="shared" si="22"/>
        <v>-5181.7657418515964</v>
      </c>
      <c r="S173" s="34" t="b">
        <f t="shared" si="17"/>
        <v>0</v>
      </c>
      <c r="T173" s="34" t="b">
        <f t="shared" si="18"/>
        <v>0</v>
      </c>
      <c r="U173" s="34" t="b">
        <f t="shared" si="19"/>
        <v>0</v>
      </c>
    </row>
    <row r="174" spans="1:21" x14ac:dyDescent="0.3">
      <c r="A174" s="1">
        <v>45852</v>
      </c>
      <c r="B174" s="3">
        <f>Data!B174</f>
        <v>287.30322265625</v>
      </c>
      <c r="C174" s="3">
        <f>Data!H174</f>
        <v>142.11152648925699</v>
      </c>
      <c r="D174" s="3">
        <f>Data!N174</f>
        <v>46.809635162353501</v>
      </c>
      <c r="F174" s="1">
        <v>45852</v>
      </c>
      <c r="G174" s="4">
        <f t="shared" si="20"/>
        <v>6.4144495784816957E-3</v>
      </c>
      <c r="H174" s="4">
        <f t="shared" si="23"/>
        <v>1.1877973880105364E-2</v>
      </c>
      <c r="I174" s="4">
        <f t="shared" si="24"/>
        <v>7.2758441825397924E-3</v>
      </c>
      <c r="P174" s="1">
        <v>45852</v>
      </c>
      <c r="Q174" s="4">
        <f t="shared" si="21"/>
        <v>8.8582776803485929E-3</v>
      </c>
      <c r="R174" s="34">
        <f t="shared" si="22"/>
        <v>8858.2776803485922</v>
      </c>
      <c r="S174" s="34" t="b">
        <f t="shared" si="17"/>
        <v>0</v>
      </c>
      <c r="T174" s="34" t="b">
        <f t="shared" si="18"/>
        <v>0</v>
      </c>
      <c r="U174" s="34" t="b">
        <f t="shared" si="19"/>
        <v>0</v>
      </c>
    </row>
    <row r="175" spans="1:21" x14ac:dyDescent="0.3">
      <c r="A175" s="1">
        <v>45853</v>
      </c>
      <c r="B175" s="3">
        <f>Data!B175</f>
        <v>285.16360473632801</v>
      </c>
      <c r="C175" s="3">
        <f>Data!H175</f>
        <v>139.76225280761699</v>
      </c>
      <c r="D175" s="3">
        <f>Data!N175</f>
        <v>45.894725799560497</v>
      </c>
      <c r="F175" s="1">
        <v>45853</v>
      </c>
      <c r="G175" s="4">
        <f t="shared" si="20"/>
        <v>-7.4472465019370659E-3</v>
      </c>
      <c r="H175" s="4">
        <f t="shared" si="23"/>
        <v>-1.65311972904435E-2</v>
      </c>
      <c r="I175" s="4">
        <f t="shared" si="24"/>
        <v>-1.9545321377100078E-2</v>
      </c>
      <c r="P175" s="1">
        <v>45853</v>
      </c>
      <c r="Q175" s="4">
        <f t="shared" si="21"/>
        <v>-1.4710249279888541E-2</v>
      </c>
      <c r="R175" s="34">
        <f t="shared" si="22"/>
        <v>-14710.249279888541</v>
      </c>
      <c r="S175" s="34" t="b">
        <f t="shared" si="17"/>
        <v>0</v>
      </c>
      <c r="T175" s="34" t="b">
        <f t="shared" si="18"/>
        <v>0</v>
      </c>
      <c r="U175" s="34" t="b">
        <f t="shared" si="19"/>
        <v>0</v>
      </c>
    </row>
    <row r="176" spans="1:21" x14ac:dyDescent="0.3">
      <c r="A176" s="1">
        <v>45854</v>
      </c>
      <c r="B176" s="3">
        <f>Data!B176</f>
        <v>284.43713378906199</v>
      </c>
      <c r="C176" s="3">
        <f>Data!H176</f>
        <v>137.98548889160099</v>
      </c>
      <c r="D176" s="3">
        <f>Data!N176</f>
        <v>45.775386810302699</v>
      </c>
      <c r="F176" s="1">
        <v>45854</v>
      </c>
      <c r="G176" s="4">
        <f t="shared" si="20"/>
        <v>-2.5475584373318982E-3</v>
      </c>
      <c r="H176" s="4">
        <f t="shared" si="23"/>
        <v>-1.2712759563640597E-2</v>
      </c>
      <c r="I176" s="4">
        <f t="shared" si="24"/>
        <v>-2.6002767677270056E-3</v>
      </c>
      <c r="P176" s="1">
        <v>45854</v>
      </c>
      <c r="Q176" s="4">
        <f t="shared" si="21"/>
        <v>-6.6294543869739094E-3</v>
      </c>
      <c r="R176" s="34">
        <f t="shared" si="22"/>
        <v>-6629.4543869739091</v>
      </c>
      <c r="S176" s="34" t="b">
        <f t="shared" si="17"/>
        <v>0</v>
      </c>
      <c r="T176" s="34" t="b">
        <f t="shared" si="18"/>
        <v>0</v>
      </c>
      <c r="U176" s="34" t="b">
        <f t="shared" si="19"/>
        <v>0</v>
      </c>
    </row>
    <row r="177" spans="1:21" x14ac:dyDescent="0.3">
      <c r="A177" s="1">
        <v>45855</v>
      </c>
      <c r="B177" s="3">
        <f>Data!B177</f>
        <v>288.49740600585898</v>
      </c>
      <c r="C177" s="3">
        <f>Data!H177</f>
        <v>139.08114624023401</v>
      </c>
      <c r="D177" s="3">
        <f>Data!N177</f>
        <v>46.759914398193303</v>
      </c>
      <c r="F177" s="1">
        <v>45855</v>
      </c>
      <c r="G177" s="4">
        <f t="shared" si="20"/>
        <v>1.427476139528272E-2</v>
      </c>
      <c r="H177" s="4">
        <f t="shared" si="23"/>
        <v>7.9403809591438446E-3</v>
      </c>
      <c r="I177" s="4">
        <f t="shared" si="24"/>
        <v>2.1507793958586818E-2</v>
      </c>
      <c r="P177" s="1">
        <v>45855</v>
      </c>
      <c r="Q177" s="4">
        <f t="shared" si="21"/>
        <v>1.3910918989818399E-2</v>
      </c>
      <c r="R177" s="34">
        <f t="shared" si="22"/>
        <v>13910.918989818399</v>
      </c>
      <c r="S177" s="34" t="b">
        <f t="shared" si="17"/>
        <v>0</v>
      </c>
      <c r="T177" s="34" t="b">
        <f t="shared" si="18"/>
        <v>0</v>
      </c>
      <c r="U177" s="34" t="b">
        <f t="shared" si="19"/>
        <v>0</v>
      </c>
    </row>
    <row r="178" spans="1:21" x14ac:dyDescent="0.3">
      <c r="A178" s="1">
        <v>45856</v>
      </c>
      <c r="B178" s="3">
        <f>Data!B178</f>
        <v>289.860748291015</v>
      </c>
      <c r="C178" s="3">
        <f>Data!H178</f>
        <v>139.01206970214801</v>
      </c>
      <c r="D178" s="3">
        <f>Data!N178</f>
        <v>47.058254241943303</v>
      </c>
      <c r="F178" s="1">
        <v>45856</v>
      </c>
      <c r="G178" s="4">
        <f t="shared" si="20"/>
        <v>4.7256656620626725E-3</v>
      </c>
      <c r="H178" s="4">
        <f t="shared" si="23"/>
        <v>-4.9666356622257712E-4</v>
      </c>
      <c r="I178" s="4">
        <f t="shared" si="24"/>
        <v>6.38024785951119E-3</v>
      </c>
      <c r="P178" s="1">
        <v>45856</v>
      </c>
      <c r="Q178" s="4">
        <f t="shared" si="21"/>
        <v>3.1331086299831276E-3</v>
      </c>
      <c r="R178" s="34">
        <f t="shared" si="22"/>
        <v>3133.1086299831277</v>
      </c>
      <c r="S178" s="34" t="b">
        <f t="shared" si="17"/>
        <v>0</v>
      </c>
      <c r="T178" s="34" t="b">
        <f t="shared" si="18"/>
        <v>0</v>
      </c>
      <c r="U178" s="34" t="b">
        <f t="shared" si="19"/>
        <v>0</v>
      </c>
    </row>
    <row r="179" spans="1:21" x14ac:dyDescent="0.3">
      <c r="A179" s="1">
        <v>45859</v>
      </c>
      <c r="B179" s="3">
        <f>Data!B179</f>
        <v>289.56222534179602</v>
      </c>
      <c r="C179" s="3">
        <f>Data!H179</f>
        <v>138.65670776367099</v>
      </c>
      <c r="D179" s="3">
        <f>Data!N179</f>
        <v>47.217369079589801</v>
      </c>
      <c r="F179" s="1">
        <v>45859</v>
      </c>
      <c r="G179" s="4">
        <f t="shared" si="20"/>
        <v>-1.0298840080246174E-3</v>
      </c>
      <c r="H179" s="4">
        <f t="shared" si="23"/>
        <v>-2.5563387354667899E-3</v>
      </c>
      <c r="I179" s="4">
        <f t="shared" si="24"/>
        <v>3.3812312039547265E-3</v>
      </c>
      <c r="P179" s="1">
        <v>45859</v>
      </c>
      <c r="Q179" s="4">
        <f t="shared" si="21"/>
        <v>-3.1713133540768319E-4</v>
      </c>
      <c r="R179" s="34">
        <f t="shared" si="22"/>
        <v>-317.1313354076832</v>
      </c>
      <c r="S179" s="34" t="b">
        <f t="shared" si="17"/>
        <v>0</v>
      </c>
      <c r="T179" s="34" t="b">
        <f t="shared" si="18"/>
        <v>0</v>
      </c>
      <c r="U179" s="34" t="b">
        <f t="shared" si="19"/>
        <v>0</v>
      </c>
    </row>
    <row r="180" spans="1:21" x14ac:dyDescent="0.3">
      <c r="A180" s="1">
        <v>45860</v>
      </c>
      <c r="B180" s="3">
        <f>Data!B180</f>
        <v>290.01998901367102</v>
      </c>
      <c r="C180" s="3">
        <f>Data!H180</f>
        <v>138.23225402832</v>
      </c>
      <c r="D180" s="3">
        <f>Data!N180</f>
        <v>47.505764007568303</v>
      </c>
      <c r="F180" s="1">
        <v>45860</v>
      </c>
      <c r="G180" s="4">
        <f t="shared" si="20"/>
        <v>1.5808818686022796E-3</v>
      </c>
      <c r="H180" s="4">
        <f t="shared" si="23"/>
        <v>-3.0611842888584873E-3</v>
      </c>
      <c r="I180" s="4">
        <f t="shared" si="24"/>
        <v>6.1078144250770183E-3</v>
      </c>
      <c r="P180" s="1">
        <v>45860</v>
      </c>
      <c r="Q180" s="4">
        <f t="shared" si="21"/>
        <v>1.0821351725603945E-3</v>
      </c>
      <c r="R180" s="34">
        <f t="shared" si="22"/>
        <v>1082.1351725603945</v>
      </c>
      <c r="S180" s="34" t="b">
        <f t="shared" si="17"/>
        <v>0</v>
      </c>
      <c r="T180" s="34" t="b">
        <f t="shared" si="18"/>
        <v>0</v>
      </c>
      <c r="U180" s="34" t="b">
        <f t="shared" si="19"/>
        <v>0</v>
      </c>
    </row>
    <row r="181" spans="1:21" x14ac:dyDescent="0.3">
      <c r="A181" s="1">
        <v>45861</v>
      </c>
      <c r="B181" s="3">
        <f>Data!B181</f>
        <v>295.32421875</v>
      </c>
      <c r="C181" s="3">
        <f>Data!H181</f>
        <v>140.374252319335</v>
      </c>
      <c r="D181" s="3">
        <f>Data!N181</f>
        <v>47.873714447021399</v>
      </c>
      <c r="F181" s="1">
        <v>45861</v>
      </c>
      <c r="G181" s="4">
        <f t="shared" si="20"/>
        <v>1.8289186736293983E-2</v>
      </c>
      <c r="H181" s="4">
        <f t="shared" si="23"/>
        <v>1.549564756844779E-2</v>
      </c>
      <c r="I181" s="4">
        <f t="shared" si="24"/>
        <v>7.7453851577773403E-3</v>
      </c>
      <c r="P181" s="1">
        <v>45861</v>
      </c>
      <c r="Q181" s="4">
        <f t="shared" si="21"/>
        <v>1.4008630595600513E-2</v>
      </c>
      <c r="R181" s="34">
        <f t="shared" si="22"/>
        <v>14008.630595600513</v>
      </c>
      <c r="S181" s="34" t="b">
        <f t="shared" si="17"/>
        <v>0</v>
      </c>
      <c r="T181" s="34" t="b">
        <f t="shared" si="18"/>
        <v>0</v>
      </c>
      <c r="U181" s="34" t="b">
        <f t="shared" si="19"/>
        <v>0</v>
      </c>
    </row>
    <row r="182" spans="1:21" x14ac:dyDescent="0.3">
      <c r="A182" s="1">
        <v>45862</v>
      </c>
      <c r="B182" s="3">
        <f>Data!B182</f>
        <v>295.11520385742102</v>
      </c>
      <c r="C182" s="3">
        <f>Data!H182</f>
        <v>140.66050720214801</v>
      </c>
      <c r="D182" s="3">
        <f>Data!N182</f>
        <v>48.1223335266113</v>
      </c>
      <c r="F182" s="1">
        <v>45862</v>
      </c>
      <c r="G182" s="4">
        <f t="shared" si="20"/>
        <v>-7.0774721241506633E-4</v>
      </c>
      <c r="H182" s="4">
        <f t="shared" si="23"/>
        <v>2.0392264114206249E-3</v>
      </c>
      <c r="I182" s="4">
        <f t="shared" si="24"/>
        <v>5.1932272743329122E-3</v>
      </c>
      <c r="P182" s="1">
        <v>45862</v>
      </c>
      <c r="Q182" s="4">
        <f t="shared" si="21"/>
        <v>2.1613345831436037E-3</v>
      </c>
      <c r="R182" s="34">
        <f t="shared" si="22"/>
        <v>2161.3345831436036</v>
      </c>
      <c r="S182" s="34" t="b">
        <f t="shared" si="17"/>
        <v>0</v>
      </c>
      <c r="T182" s="34" t="b">
        <f t="shared" si="18"/>
        <v>0</v>
      </c>
      <c r="U182" s="34" t="b">
        <f t="shared" si="19"/>
        <v>0</v>
      </c>
    </row>
    <row r="183" spans="1:21" x14ac:dyDescent="0.3">
      <c r="A183" s="1">
        <v>45863</v>
      </c>
      <c r="B183" s="3">
        <f>Data!B183</f>
        <v>297.175201416015</v>
      </c>
      <c r="C183" s="3">
        <f>Data!H183</f>
        <v>141.16392517089801</v>
      </c>
      <c r="D183" s="3">
        <f>Data!N183</f>
        <v>48.182003021240199</v>
      </c>
      <c r="F183" s="1">
        <v>45863</v>
      </c>
      <c r="G183" s="4">
        <f t="shared" si="20"/>
        <v>6.9803166074400291E-3</v>
      </c>
      <c r="H183" s="4">
        <f t="shared" si="23"/>
        <v>3.5789574398912283E-3</v>
      </c>
      <c r="I183" s="4">
        <f t="shared" si="24"/>
        <v>1.2399543051233586E-3</v>
      </c>
      <c r="P183" s="1">
        <v>45863</v>
      </c>
      <c r="Q183" s="4">
        <f t="shared" si="21"/>
        <v>3.897664249725508E-3</v>
      </c>
      <c r="R183" s="34">
        <f t="shared" si="22"/>
        <v>3897.6642497255079</v>
      </c>
      <c r="S183" s="34" t="b">
        <f t="shared" si="17"/>
        <v>0</v>
      </c>
      <c r="T183" s="34" t="b">
        <f t="shared" si="18"/>
        <v>0</v>
      </c>
      <c r="U183" s="34" t="b">
        <f t="shared" si="19"/>
        <v>0</v>
      </c>
    </row>
    <row r="184" spans="1:21" x14ac:dyDescent="0.3">
      <c r="A184" s="1">
        <v>45866</v>
      </c>
      <c r="B184" s="3">
        <f>Data!B184</f>
        <v>296.83685302734301</v>
      </c>
      <c r="C184" s="3">
        <f>Data!H184</f>
        <v>140.7197265625</v>
      </c>
      <c r="D184" s="3">
        <f>Data!N184</f>
        <v>47.963218688964801</v>
      </c>
      <c r="F184" s="1">
        <v>45866</v>
      </c>
      <c r="G184" s="4">
        <f t="shared" si="20"/>
        <v>-1.1385485298227582E-3</v>
      </c>
      <c r="H184" s="4">
        <f t="shared" si="23"/>
        <v>-3.1466864346556545E-3</v>
      </c>
      <c r="I184" s="4">
        <f t="shared" si="24"/>
        <v>-4.5407894764970536E-3</v>
      </c>
      <c r="P184" s="1">
        <v>45866</v>
      </c>
      <c r="Q184" s="4">
        <f t="shared" si="21"/>
        <v>-2.9624759757582056E-3</v>
      </c>
      <c r="R184" s="34">
        <f t="shared" si="22"/>
        <v>-2962.4759757582055</v>
      </c>
      <c r="S184" s="34" t="b">
        <f t="shared" si="17"/>
        <v>0</v>
      </c>
      <c r="T184" s="34" t="b">
        <f t="shared" si="18"/>
        <v>0</v>
      </c>
      <c r="U184" s="34" t="b">
        <f t="shared" si="19"/>
        <v>0</v>
      </c>
    </row>
    <row r="185" spans="1:21" x14ac:dyDescent="0.3">
      <c r="A185" s="1">
        <v>45867</v>
      </c>
      <c r="B185" s="3">
        <f>Data!B185</f>
        <v>295.60287475585898</v>
      </c>
      <c r="C185" s="3">
        <f>Data!H185</f>
        <v>141.70681762695301</v>
      </c>
      <c r="D185" s="3">
        <f>Data!N185</f>
        <v>47.684768676757798</v>
      </c>
      <c r="F185" s="1">
        <v>45867</v>
      </c>
      <c r="G185" s="4">
        <f t="shared" si="20"/>
        <v>-4.1570925540379555E-3</v>
      </c>
      <c r="H185" s="4">
        <f t="shared" si="23"/>
        <v>7.014589130931892E-3</v>
      </c>
      <c r="I185" s="4">
        <f t="shared" si="24"/>
        <v>-5.8054905366696774E-3</v>
      </c>
      <c r="P185" s="1">
        <v>45867</v>
      </c>
      <c r="Q185" s="4">
        <f t="shared" si="21"/>
        <v>-1.8293927483953288E-4</v>
      </c>
      <c r="R185" s="34">
        <f t="shared" si="22"/>
        <v>-182.93927483953289</v>
      </c>
      <c r="S185" s="34" t="b">
        <f t="shared" si="17"/>
        <v>0</v>
      </c>
      <c r="T185" s="34" t="b">
        <f t="shared" si="18"/>
        <v>0</v>
      </c>
      <c r="U185" s="34" t="b">
        <f t="shared" si="19"/>
        <v>0</v>
      </c>
    </row>
    <row r="186" spans="1:21" x14ac:dyDescent="0.3">
      <c r="A186" s="1">
        <v>45868</v>
      </c>
      <c r="B186" s="3">
        <f>Data!B186</f>
        <v>298.18032836914</v>
      </c>
      <c r="C186" s="3">
        <f>Data!H186</f>
        <v>143.06900024414</v>
      </c>
      <c r="D186" s="3">
        <f>Data!N186</f>
        <v>47.694713592529297</v>
      </c>
      <c r="F186" s="1">
        <v>45868</v>
      </c>
      <c r="G186" s="4">
        <f t="shared" si="20"/>
        <v>8.7193117300017331E-3</v>
      </c>
      <c r="H186" s="4">
        <f t="shared" si="23"/>
        <v>9.6126822971422943E-3</v>
      </c>
      <c r="I186" s="4">
        <f t="shared" si="24"/>
        <v>2.0855539509723187E-4</v>
      </c>
      <c r="P186" s="1">
        <v>45868</v>
      </c>
      <c r="Q186" s="4">
        <f t="shared" si="21"/>
        <v>6.5234330563866075E-3</v>
      </c>
      <c r="R186" s="34">
        <f t="shared" si="22"/>
        <v>6523.4330563866079</v>
      </c>
      <c r="S186" s="34" t="b">
        <f t="shared" si="17"/>
        <v>0</v>
      </c>
      <c r="T186" s="34" t="b">
        <f t="shared" si="18"/>
        <v>0</v>
      </c>
      <c r="U186" s="34" t="b">
        <f t="shared" si="19"/>
        <v>0</v>
      </c>
    </row>
    <row r="187" spans="1:21" x14ac:dyDescent="0.3">
      <c r="A187" s="1">
        <v>45869</v>
      </c>
      <c r="B187" s="3">
        <f>Data!B187</f>
        <v>294.80670166015602</v>
      </c>
      <c r="C187" s="3">
        <f>Data!H187</f>
        <v>141.59797668457</v>
      </c>
      <c r="D187" s="3">
        <f>Data!N187</f>
        <v>47.008529663085902</v>
      </c>
      <c r="F187" s="1">
        <v>45869</v>
      </c>
      <c r="G187" s="4">
        <f t="shared" si="20"/>
        <v>-1.1314048540477573E-2</v>
      </c>
      <c r="H187" s="4">
        <f t="shared" si="23"/>
        <v>-1.0281916816779146E-2</v>
      </c>
      <c r="I187" s="4">
        <f t="shared" si="24"/>
        <v>-1.438700178190977E-2</v>
      </c>
      <c r="P187" s="1">
        <v>45869</v>
      </c>
      <c r="Q187" s="4">
        <f t="shared" si="21"/>
        <v>-1.1823081823427862E-2</v>
      </c>
      <c r="R187" s="34">
        <f t="shared" si="22"/>
        <v>-11823.081823427861</v>
      </c>
      <c r="S187" s="34" t="b">
        <f t="shared" si="17"/>
        <v>0</v>
      </c>
      <c r="T187" s="34" t="b">
        <f t="shared" si="18"/>
        <v>0</v>
      </c>
      <c r="U187" s="34" t="b">
        <f t="shared" si="19"/>
        <v>0</v>
      </c>
    </row>
    <row r="188" spans="1:21" x14ac:dyDescent="0.3">
      <c r="A188" s="1">
        <v>45870</v>
      </c>
      <c r="B188" s="3">
        <f>Data!B188</f>
        <v>287.969970703125</v>
      </c>
      <c r="C188" s="3">
        <f>Data!H188</f>
        <v>138.24835205078099</v>
      </c>
      <c r="D188" s="3">
        <f>Data!N188</f>
        <v>45.407436370849602</v>
      </c>
      <c r="F188" s="1">
        <v>45870</v>
      </c>
      <c r="G188" s="4">
        <f t="shared" si="20"/>
        <v>-2.3190554755136428E-2</v>
      </c>
      <c r="H188" s="4">
        <f t="shared" si="23"/>
        <v>-2.3655879216768594E-2</v>
      </c>
      <c r="I188" s="4">
        <f t="shared" si="24"/>
        <v>-3.4059633511438703E-2</v>
      </c>
      <c r="P188" s="1">
        <v>45870</v>
      </c>
      <c r="Q188" s="4">
        <f t="shared" si="21"/>
        <v>-2.6637408166679977E-2</v>
      </c>
      <c r="R188" s="34">
        <f t="shared" si="22"/>
        <v>-26637.408166679976</v>
      </c>
      <c r="S188" s="34" t="b">
        <f t="shared" si="17"/>
        <v>0</v>
      </c>
      <c r="T188" s="34" t="b">
        <f t="shared" si="18"/>
        <v>0</v>
      </c>
      <c r="U188" s="34" t="b">
        <f t="shared" si="19"/>
        <v>0</v>
      </c>
    </row>
    <row r="189" spans="1:21" x14ac:dyDescent="0.3">
      <c r="A189" s="1">
        <v>45873</v>
      </c>
      <c r="B189" s="3">
        <f>Data!B189</f>
        <v>292.83630371093699</v>
      </c>
      <c r="C189" s="3">
        <f>Data!H189</f>
        <v>140.504623413085</v>
      </c>
      <c r="D189" s="3">
        <f>Data!N189</f>
        <v>45.596382141113203</v>
      </c>
      <c r="F189" s="1">
        <v>45873</v>
      </c>
      <c r="G189" s="4">
        <f t="shared" si="20"/>
        <v>1.6898751616114982E-2</v>
      </c>
      <c r="H189" s="4">
        <f t="shared" si="23"/>
        <v>1.6320421392619799E-2</v>
      </c>
      <c r="I189" s="4">
        <f t="shared" si="24"/>
        <v>4.1611195294191106E-3</v>
      </c>
      <c r="P189" s="1">
        <v>45873</v>
      </c>
      <c r="Q189" s="4">
        <f t="shared" si="21"/>
        <v>1.2846129900708146E-2</v>
      </c>
      <c r="R189" s="34">
        <f t="shared" si="22"/>
        <v>12846.129900708147</v>
      </c>
      <c r="S189" s="34" t="b">
        <f t="shared" si="17"/>
        <v>0</v>
      </c>
      <c r="T189" s="34" t="b">
        <f t="shared" si="18"/>
        <v>0</v>
      </c>
      <c r="U189" s="34" t="b">
        <f t="shared" si="19"/>
        <v>0</v>
      </c>
    </row>
    <row r="190" spans="1:21" x14ac:dyDescent="0.3">
      <c r="A190" s="1">
        <v>45874</v>
      </c>
      <c r="B190" s="3">
        <f>Data!B190</f>
        <v>289.96026611328102</v>
      </c>
      <c r="C190" s="3">
        <f>Data!H190</f>
        <v>139.61007690429599</v>
      </c>
      <c r="D190" s="3">
        <f>Data!N190</f>
        <v>45.307991027832003</v>
      </c>
      <c r="F190" s="1">
        <v>45874</v>
      </c>
      <c r="G190" s="4">
        <f t="shared" si="20"/>
        <v>-9.8213150528458915E-3</v>
      </c>
      <c r="H190" s="4">
        <f t="shared" si="23"/>
        <v>-6.3666695590438582E-3</v>
      </c>
      <c r="I190" s="4">
        <f t="shared" si="24"/>
        <v>-6.3248683281204032E-3</v>
      </c>
      <c r="P190" s="1">
        <v>45874</v>
      </c>
      <c r="Q190" s="4">
        <f t="shared" si="21"/>
        <v>-7.390522837907431E-3</v>
      </c>
      <c r="R190" s="34">
        <f t="shared" si="22"/>
        <v>-7390.5228379074306</v>
      </c>
      <c r="S190" s="34" t="b">
        <f t="shared" si="17"/>
        <v>0</v>
      </c>
      <c r="T190" s="34" t="b">
        <f t="shared" si="18"/>
        <v>0</v>
      </c>
      <c r="U190" s="34" t="b">
        <f t="shared" si="19"/>
        <v>0</v>
      </c>
    </row>
    <row r="191" spans="1:21" x14ac:dyDescent="0.3">
      <c r="A191" s="1">
        <v>45875</v>
      </c>
      <c r="B191" s="3">
        <f>Data!B191</f>
        <v>289.94039916992102</v>
      </c>
      <c r="C191" s="3">
        <f>Data!H191</f>
        <v>140.44499206542901</v>
      </c>
      <c r="D191" s="3">
        <f>Data!N191</f>
        <v>45.1687622070312</v>
      </c>
      <c r="F191" s="1">
        <v>45875</v>
      </c>
      <c r="G191" s="4">
        <f t="shared" si="20"/>
        <v>-6.8516088863823654E-5</v>
      </c>
      <c r="H191" s="4">
        <f t="shared" si="23"/>
        <v>5.9803359445562698E-3</v>
      </c>
      <c r="I191" s="4">
        <f t="shared" si="24"/>
        <v>-3.072941828634046E-3</v>
      </c>
      <c r="P191" s="1">
        <v>45875</v>
      </c>
      <c r="Q191" s="4">
        <f t="shared" si="21"/>
        <v>1.4496970025731472E-3</v>
      </c>
      <c r="R191" s="34">
        <f t="shared" si="22"/>
        <v>1449.6970025731473</v>
      </c>
      <c r="S191" s="34" t="b">
        <f t="shared" si="17"/>
        <v>0</v>
      </c>
      <c r="T191" s="34" t="b">
        <f t="shared" si="18"/>
        <v>0</v>
      </c>
      <c r="U191" s="34" t="b">
        <f t="shared" si="19"/>
        <v>0</v>
      </c>
    </row>
    <row r="192" spans="1:21" x14ac:dyDescent="0.3">
      <c r="A192" s="1">
        <v>45876</v>
      </c>
      <c r="B192" s="3">
        <f>Data!B192</f>
        <v>285.55172729492102</v>
      </c>
      <c r="C192" s="3">
        <f>Data!H192</f>
        <v>140.06727600097599</v>
      </c>
      <c r="D192" s="3">
        <f>Data!N192</f>
        <v>44.6715278625488</v>
      </c>
      <c r="F192" s="1">
        <v>45876</v>
      </c>
      <c r="G192" s="4">
        <f t="shared" si="20"/>
        <v>-1.5136462140372453E-2</v>
      </c>
      <c r="H192" s="4">
        <f t="shared" si="23"/>
        <v>-2.6894235166252667E-3</v>
      </c>
      <c r="I192" s="4">
        <f t="shared" si="24"/>
        <v>-1.1008367734394064E-2</v>
      </c>
      <c r="P192" s="1">
        <v>45876</v>
      </c>
      <c r="Q192" s="4">
        <f t="shared" si="21"/>
        <v>-8.9192183690800612E-3</v>
      </c>
      <c r="R192" s="34">
        <f t="shared" si="22"/>
        <v>-8919.2183690800612</v>
      </c>
      <c r="S192" s="34" t="b">
        <f t="shared" si="17"/>
        <v>0</v>
      </c>
      <c r="T192" s="34" t="b">
        <f t="shared" si="18"/>
        <v>0</v>
      </c>
      <c r="U192" s="34" t="b">
        <f t="shared" si="19"/>
        <v>0</v>
      </c>
    </row>
    <row r="193" spans="1:21" x14ac:dyDescent="0.3">
      <c r="A193" s="1">
        <v>45877</v>
      </c>
      <c r="B193" s="3">
        <f>Data!B193</f>
        <v>287.36291503906199</v>
      </c>
      <c r="C193" s="3">
        <f>Data!H193</f>
        <v>142.31359863281199</v>
      </c>
      <c r="D193" s="3">
        <f>Data!N193</f>
        <v>45.755496978759702</v>
      </c>
      <c r="F193" s="1">
        <v>45877</v>
      </c>
      <c r="G193" s="4">
        <f t="shared" si="20"/>
        <v>6.3427658494614736E-3</v>
      </c>
      <c r="H193" s="4">
        <f t="shared" si="23"/>
        <v>1.603745497142639E-2</v>
      </c>
      <c r="I193" s="4">
        <f t="shared" si="24"/>
        <v>2.4265324426471446E-2</v>
      </c>
      <c r="P193" s="1">
        <v>45877</v>
      </c>
      <c r="Q193" s="4">
        <f t="shared" si="21"/>
        <v>1.5597409071350432E-2</v>
      </c>
      <c r="R193" s="34">
        <f t="shared" si="22"/>
        <v>15597.409071350432</v>
      </c>
      <c r="S193" s="34" t="b">
        <f t="shared" si="17"/>
        <v>0</v>
      </c>
      <c r="T193" s="34" t="b">
        <f t="shared" si="18"/>
        <v>0</v>
      </c>
      <c r="U193" s="34" t="b">
        <f t="shared" si="19"/>
        <v>0</v>
      </c>
    </row>
    <row r="194" spans="1:21" x14ac:dyDescent="0.3">
      <c r="A194" s="1">
        <v>45880</v>
      </c>
      <c r="B194" s="3">
        <f>Data!B194</f>
        <v>288.15902709960898</v>
      </c>
      <c r="C194" s="3">
        <f>Data!H194</f>
        <v>143.00938415527301</v>
      </c>
      <c r="D194" s="3">
        <f>Data!N194</f>
        <v>45.904670715332003</v>
      </c>
      <c r="F194" s="1">
        <v>45880</v>
      </c>
      <c r="G194" s="4">
        <f t="shared" si="20"/>
        <v>2.7704064055682487E-3</v>
      </c>
      <c r="H194" s="4">
        <f t="shared" si="23"/>
        <v>4.8891007545683873E-3</v>
      </c>
      <c r="I194" s="4">
        <f t="shared" si="24"/>
        <v>3.2602363961109493E-3</v>
      </c>
      <c r="P194" s="1">
        <v>45880</v>
      </c>
      <c r="Q194" s="4">
        <f t="shared" si="21"/>
        <v>3.7648331423311143E-3</v>
      </c>
      <c r="R194" s="34">
        <f t="shared" si="22"/>
        <v>3764.8331423311142</v>
      </c>
      <c r="S194" s="34" t="b">
        <f t="shared" si="17"/>
        <v>0</v>
      </c>
      <c r="T194" s="34" t="b">
        <f t="shared" si="18"/>
        <v>0</v>
      </c>
      <c r="U194" s="34" t="b">
        <f t="shared" si="19"/>
        <v>0</v>
      </c>
    </row>
    <row r="195" spans="1:21" x14ac:dyDescent="0.3">
      <c r="A195" s="1">
        <v>45881</v>
      </c>
      <c r="B195" s="3">
        <f>Data!B195</f>
        <v>291.43313598632801</v>
      </c>
      <c r="C195" s="3">
        <f>Data!H195</f>
        <v>146.39872741699199</v>
      </c>
      <c r="D195" s="3">
        <f>Data!N195</f>
        <v>47.237258911132798</v>
      </c>
      <c r="F195" s="1">
        <v>45881</v>
      </c>
      <c r="G195" s="4">
        <f t="shared" si="20"/>
        <v>1.1362159706304276E-2</v>
      </c>
      <c r="H195" s="4">
        <f t="shared" si="23"/>
        <v>2.3700145845247267E-2</v>
      </c>
      <c r="I195" s="4">
        <f t="shared" si="24"/>
        <v>2.9029468571173389E-2</v>
      </c>
      <c r="P195" s="1">
        <v>45881</v>
      </c>
      <c r="Q195" s="4">
        <f t="shared" si="21"/>
        <v>2.1597546821342205E-2</v>
      </c>
      <c r="R195" s="34">
        <f t="shared" si="22"/>
        <v>21597.546821342206</v>
      </c>
      <c r="S195" s="34" t="b">
        <f t="shared" si="17"/>
        <v>0</v>
      </c>
      <c r="T195" s="34" t="b">
        <f t="shared" si="18"/>
        <v>0</v>
      </c>
      <c r="U195" s="34" t="b">
        <f t="shared" si="19"/>
        <v>0</v>
      </c>
    </row>
    <row r="196" spans="1:21" x14ac:dyDescent="0.3">
      <c r="A196" s="1">
        <v>45882</v>
      </c>
      <c r="B196" s="3">
        <f>Data!B196</f>
        <v>289.12435913085898</v>
      </c>
      <c r="C196" s="3">
        <f>Data!H196</f>
        <v>146.86589050292901</v>
      </c>
      <c r="D196" s="3">
        <f>Data!N196</f>
        <v>46.9786987304687</v>
      </c>
      <c r="F196" s="1">
        <v>45882</v>
      </c>
      <c r="G196" s="4">
        <f t="shared" si="20"/>
        <v>-7.9221494414325466E-3</v>
      </c>
      <c r="H196" s="4">
        <f t="shared" si="23"/>
        <v>3.1910324234334375E-3</v>
      </c>
      <c r="I196" s="4">
        <f t="shared" si="24"/>
        <v>-5.4736491198722481E-3</v>
      </c>
      <c r="P196" s="1">
        <v>45882</v>
      </c>
      <c r="Q196" s="4">
        <f t="shared" si="21"/>
        <v>-2.7423265990180632E-3</v>
      </c>
      <c r="R196" s="34">
        <f t="shared" si="22"/>
        <v>-2742.3265990180635</v>
      </c>
      <c r="S196" s="34" t="b">
        <f t="shared" ref="S196:S251" si="25">$L$9&gt;R196</f>
        <v>0</v>
      </c>
      <c r="T196" s="34" t="b">
        <f t="shared" ref="T196:T251" si="26">$L$10&gt;R196</f>
        <v>0</v>
      </c>
      <c r="U196" s="34" t="b">
        <f t="shared" ref="U196:U251" si="27">$L$11&gt;R196</f>
        <v>0</v>
      </c>
    </row>
    <row r="197" spans="1:21" x14ac:dyDescent="0.3">
      <c r="A197" s="1">
        <v>45883</v>
      </c>
      <c r="B197" s="3">
        <f>Data!B197</f>
        <v>292.73678588867102</v>
      </c>
      <c r="C197" s="3">
        <f>Data!H197</f>
        <v>147.61135864257801</v>
      </c>
      <c r="D197" s="3">
        <f>Data!N197</f>
        <v>47.446094512939403</v>
      </c>
      <c r="F197" s="1">
        <v>45883</v>
      </c>
      <c r="G197" s="4">
        <f t="shared" ref="G197:G251" si="28">B197/B196-1</f>
        <v>1.2494370134261246E-2</v>
      </c>
      <c r="H197" s="4">
        <f t="shared" si="23"/>
        <v>5.075842573767142E-3</v>
      </c>
      <c r="I197" s="4">
        <f t="shared" si="24"/>
        <v>9.9491002326883571E-3</v>
      </c>
      <c r="P197" s="1">
        <v>45883</v>
      </c>
      <c r="Q197" s="4">
        <f t="shared" ref="Q197:Q251" si="29">SUMPRODUCT(G197:I197,$L$3:$N$3)</f>
        <v>8.763378139591738E-3</v>
      </c>
      <c r="R197" s="34">
        <f t="shared" ref="R197:R251" si="30">Q197*1000000</f>
        <v>8763.3781395917376</v>
      </c>
      <c r="S197" s="34" t="b">
        <f t="shared" si="25"/>
        <v>0</v>
      </c>
      <c r="T197" s="34" t="b">
        <f t="shared" si="26"/>
        <v>0</v>
      </c>
      <c r="U197" s="34" t="b">
        <f t="shared" si="27"/>
        <v>0</v>
      </c>
    </row>
    <row r="198" spans="1:21" x14ac:dyDescent="0.3">
      <c r="A198" s="1">
        <v>45884</v>
      </c>
      <c r="B198" s="3">
        <f>Data!B198</f>
        <v>289.08453369140602</v>
      </c>
      <c r="C198" s="3">
        <f>Data!H198</f>
        <v>143.75483703613199</v>
      </c>
      <c r="D198" s="3">
        <f>Data!N198</f>
        <v>46.680355072021399</v>
      </c>
      <c r="F198" s="1">
        <v>45884</v>
      </c>
      <c r="G198" s="4">
        <f t="shared" si="28"/>
        <v>-1.2476232483655036E-2</v>
      </c>
      <c r="H198" s="4">
        <f t="shared" si="23"/>
        <v>-2.6126184610115954E-2</v>
      </c>
      <c r="I198" s="4">
        <f t="shared" si="24"/>
        <v>-1.6139145882896111E-2</v>
      </c>
      <c r="P198" s="1">
        <v>45884</v>
      </c>
      <c r="Q198" s="4">
        <f t="shared" si="29"/>
        <v>-1.9035087354011729E-2</v>
      </c>
      <c r="R198" s="34">
        <f t="shared" si="30"/>
        <v>-19035.087354011728</v>
      </c>
      <c r="S198" s="34" t="b">
        <f t="shared" si="25"/>
        <v>0</v>
      </c>
      <c r="T198" s="34" t="b">
        <f t="shared" si="26"/>
        <v>0</v>
      </c>
      <c r="U198" s="34" t="b">
        <f t="shared" si="27"/>
        <v>0</v>
      </c>
    </row>
    <row r="199" spans="1:21" x14ac:dyDescent="0.3">
      <c r="A199" s="1">
        <v>45887</v>
      </c>
      <c r="B199" s="3">
        <f>Data!B199</f>
        <v>290.11950683593699</v>
      </c>
      <c r="C199" s="3">
        <f>Data!H199</f>
        <v>143.90393066406199</v>
      </c>
      <c r="D199" s="3">
        <f>Data!N199</f>
        <v>47.654933929443303</v>
      </c>
      <c r="F199" s="1">
        <v>45887</v>
      </c>
      <c r="G199" s="4">
        <f t="shared" si="28"/>
        <v>3.5801747375243664E-3</v>
      </c>
      <c r="H199" s="4">
        <f t="shared" si="23"/>
        <v>1.0371381652536371E-3</v>
      </c>
      <c r="I199" s="4">
        <f t="shared" si="24"/>
        <v>2.0877708747464752E-2</v>
      </c>
      <c r="P199" s="1">
        <v>45887</v>
      </c>
      <c r="Q199" s="4">
        <f t="shared" si="29"/>
        <v>7.7522203115981897E-3</v>
      </c>
      <c r="R199" s="34">
        <f t="shared" si="30"/>
        <v>7752.2203115981902</v>
      </c>
      <c r="S199" s="34" t="b">
        <f t="shared" si="25"/>
        <v>0</v>
      </c>
      <c r="T199" s="34" t="b">
        <f t="shared" si="26"/>
        <v>0</v>
      </c>
      <c r="U199" s="34" t="b">
        <f t="shared" si="27"/>
        <v>0</v>
      </c>
    </row>
    <row r="200" spans="1:21" x14ac:dyDescent="0.3">
      <c r="A200" s="1">
        <v>45888</v>
      </c>
      <c r="B200" s="3">
        <f>Data!B200</f>
        <v>289.25372314453102</v>
      </c>
      <c r="C200" s="3">
        <f>Data!H200</f>
        <v>143.19822692871</v>
      </c>
      <c r="D200" s="3">
        <f>Data!N200</f>
        <v>47.814048767089801</v>
      </c>
      <c r="F200" s="1">
        <v>45888</v>
      </c>
      <c r="G200" s="4">
        <f t="shared" si="28"/>
        <v>-2.9842312254293457E-3</v>
      </c>
      <c r="H200" s="4">
        <f t="shared" si="23"/>
        <v>-4.9039920737080633E-3</v>
      </c>
      <c r="I200" s="4">
        <f t="shared" si="24"/>
        <v>3.3388953572379698E-3</v>
      </c>
      <c r="P200" s="1">
        <v>45888</v>
      </c>
      <c r="Q200" s="4">
        <f t="shared" si="29"/>
        <v>-1.8551975899406385E-3</v>
      </c>
      <c r="R200" s="34">
        <f t="shared" si="30"/>
        <v>-1855.1975899406384</v>
      </c>
      <c r="S200" s="34" t="b">
        <f t="shared" si="25"/>
        <v>0</v>
      </c>
      <c r="T200" s="34" t="b">
        <f t="shared" si="26"/>
        <v>0</v>
      </c>
      <c r="U200" s="34" t="b">
        <f t="shared" si="27"/>
        <v>0</v>
      </c>
    </row>
    <row r="201" spans="1:21" x14ac:dyDescent="0.3">
      <c r="A201" s="1">
        <v>45889</v>
      </c>
      <c r="B201" s="3">
        <f>Data!B201</f>
        <v>290.826080322265</v>
      </c>
      <c r="C201" s="3">
        <f>Data!H201</f>
        <v>143.24790954589801</v>
      </c>
      <c r="D201" s="3">
        <f>Data!N201</f>
        <v>48.082553863525298</v>
      </c>
      <c r="F201" s="1">
        <v>45889</v>
      </c>
      <c r="G201" s="4">
        <f t="shared" si="28"/>
        <v>5.4359099016620949E-3</v>
      </c>
      <c r="H201" s="4">
        <f t="shared" si="23"/>
        <v>3.4694994661310652E-4</v>
      </c>
      <c r="I201" s="4">
        <f t="shared" si="24"/>
        <v>5.6156109628664463E-3</v>
      </c>
      <c r="P201" s="1">
        <v>45889</v>
      </c>
      <c r="Q201" s="4">
        <f t="shared" si="29"/>
        <v>3.4542362380038049E-3</v>
      </c>
      <c r="R201" s="34">
        <f t="shared" si="30"/>
        <v>3454.2362380038048</v>
      </c>
      <c r="S201" s="34" t="b">
        <f t="shared" si="25"/>
        <v>0</v>
      </c>
      <c r="T201" s="34" t="b">
        <f t="shared" si="26"/>
        <v>0</v>
      </c>
      <c r="U201" s="34" t="b">
        <f t="shared" si="27"/>
        <v>0</v>
      </c>
    </row>
    <row r="202" spans="1:21" x14ac:dyDescent="0.3">
      <c r="A202" s="1">
        <v>45890</v>
      </c>
      <c r="B202" s="3">
        <f>Data!B202</f>
        <v>290.059814453125</v>
      </c>
      <c r="C202" s="3">
        <f>Data!H202</f>
        <v>143.16839599609301</v>
      </c>
      <c r="D202" s="3">
        <f>Data!N202</f>
        <v>47.993049621582003</v>
      </c>
      <c r="F202" s="1">
        <v>45890</v>
      </c>
      <c r="G202" s="4">
        <f t="shared" si="28"/>
        <v>-2.6347907597932263E-3</v>
      </c>
      <c r="H202" s="4">
        <f t="shared" si="23"/>
        <v>-5.5507651076414088E-4</v>
      </c>
      <c r="I202" s="4">
        <f t="shared" si="24"/>
        <v>-1.8614702163561869E-3</v>
      </c>
      <c r="P202" s="1">
        <v>45890</v>
      </c>
      <c r="Q202" s="4">
        <f t="shared" si="29"/>
        <v>-1.5709088971504804E-3</v>
      </c>
      <c r="R202" s="34">
        <f t="shared" si="30"/>
        <v>-1570.9088971504805</v>
      </c>
      <c r="S202" s="34" t="b">
        <f t="shared" si="25"/>
        <v>0</v>
      </c>
      <c r="T202" s="34" t="b">
        <f t="shared" si="26"/>
        <v>0</v>
      </c>
      <c r="U202" s="34" t="b">
        <f t="shared" si="27"/>
        <v>0</v>
      </c>
    </row>
    <row r="203" spans="1:21" x14ac:dyDescent="0.3">
      <c r="A203" s="1">
        <v>45891</v>
      </c>
      <c r="B203" s="3">
        <f>Data!B203</f>
        <v>294.80670166015602</v>
      </c>
      <c r="C203" s="3">
        <f>Data!H203</f>
        <v>147.12432861328099</v>
      </c>
      <c r="D203" s="3">
        <f>Data!N203</f>
        <v>49.206302642822202</v>
      </c>
      <c r="F203" s="1">
        <v>45891</v>
      </c>
      <c r="G203" s="4">
        <f t="shared" si="28"/>
        <v>1.6365201143015096E-2</v>
      </c>
      <c r="H203" s="4">
        <f t="shared" si="23"/>
        <v>2.7631325961743336E-2</v>
      </c>
      <c r="I203" s="4">
        <f t="shared" si="24"/>
        <v>2.5279765107792063E-2</v>
      </c>
      <c r="P203" s="1">
        <v>45891</v>
      </c>
      <c r="Q203" s="4">
        <f t="shared" si="29"/>
        <v>2.3546020259939481E-2</v>
      </c>
      <c r="R203" s="34">
        <f t="shared" si="30"/>
        <v>23546.02025993948</v>
      </c>
      <c r="S203" s="34" t="b">
        <f t="shared" si="25"/>
        <v>0</v>
      </c>
      <c r="T203" s="34" t="b">
        <f t="shared" si="26"/>
        <v>0</v>
      </c>
      <c r="U203" s="34" t="b">
        <f t="shared" si="27"/>
        <v>0</v>
      </c>
    </row>
    <row r="204" spans="1:21" x14ac:dyDescent="0.3">
      <c r="A204" s="1">
        <v>45894</v>
      </c>
      <c r="B204" s="3">
        <f>Data!B204</f>
        <v>293.47320556640602</v>
      </c>
      <c r="C204" s="3">
        <f>Data!H204</f>
        <v>146.75656127929599</v>
      </c>
      <c r="D204" s="3">
        <f>Data!N204</f>
        <v>49.206302642822202</v>
      </c>
      <c r="F204" s="1">
        <v>45894</v>
      </c>
      <c r="G204" s="4">
        <f t="shared" si="28"/>
        <v>-4.523289620760429E-3</v>
      </c>
      <c r="H204" s="4">
        <f t="shared" si="23"/>
        <v>-2.4997044163354021E-3</v>
      </c>
      <c r="I204" s="4">
        <f t="shared" si="24"/>
        <v>0</v>
      </c>
      <c r="P204" s="1">
        <v>45894</v>
      </c>
      <c r="Q204" s="4">
        <f t="shared" si="29"/>
        <v>-2.3568686527622893E-3</v>
      </c>
      <c r="R204" s="34">
        <f t="shared" si="30"/>
        <v>-2356.8686527622895</v>
      </c>
      <c r="S204" s="34" t="b">
        <f t="shared" si="25"/>
        <v>0</v>
      </c>
      <c r="T204" s="34" t="b">
        <f t="shared" si="26"/>
        <v>0</v>
      </c>
      <c r="U204" s="34" t="b">
        <f t="shared" si="27"/>
        <v>0</v>
      </c>
    </row>
    <row r="205" spans="1:21" x14ac:dyDescent="0.3">
      <c r="A205" s="1">
        <v>45895</v>
      </c>
      <c r="B205" s="3">
        <f>Data!B205</f>
        <v>297.12545776367102</v>
      </c>
      <c r="C205" s="3">
        <f>Data!H205</f>
        <v>148.06857299804599</v>
      </c>
      <c r="D205" s="3">
        <f>Data!N205</f>
        <v>49.9720458984375</v>
      </c>
      <c r="F205" s="1">
        <v>45895</v>
      </c>
      <c r="G205" s="4">
        <f t="shared" si="28"/>
        <v>1.2444925560465059E-2</v>
      </c>
      <c r="H205" s="4">
        <f t="shared" si="23"/>
        <v>8.9400549271052565E-3</v>
      </c>
      <c r="I205" s="4">
        <f t="shared" si="24"/>
        <v>1.5561893791810721E-2</v>
      </c>
      <c r="P205" s="1">
        <v>45895</v>
      </c>
      <c r="Q205" s="4">
        <f t="shared" si="29"/>
        <v>1.1978067776524836E-2</v>
      </c>
      <c r="R205" s="34">
        <f t="shared" si="30"/>
        <v>11978.067776524837</v>
      </c>
      <c r="S205" s="34" t="b">
        <f t="shared" si="25"/>
        <v>0</v>
      </c>
      <c r="T205" s="34" t="b">
        <f t="shared" si="26"/>
        <v>0</v>
      </c>
      <c r="U205" s="34" t="b">
        <f t="shared" si="27"/>
        <v>0</v>
      </c>
    </row>
    <row r="206" spans="1:21" x14ac:dyDescent="0.3">
      <c r="A206" s="1">
        <v>45896</v>
      </c>
      <c r="B206" s="3">
        <f>Data!B206</f>
        <v>297.83200073242102</v>
      </c>
      <c r="C206" s="3">
        <f>Data!H206</f>
        <v>148.47608947753901</v>
      </c>
      <c r="D206" s="3">
        <f>Data!N206</f>
        <v>50.101325988769503</v>
      </c>
      <c r="F206" s="1">
        <v>45896</v>
      </c>
      <c r="G206" s="4">
        <f t="shared" si="28"/>
        <v>2.3779280781519585E-3</v>
      </c>
      <c r="H206" s="4">
        <f t="shared" si="23"/>
        <v>2.7522145398024556E-3</v>
      </c>
      <c r="I206" s="4">
        <f t="shared" si="24"/>
        <v>2.5870481787908517E-3</v>
      </c>
      <c r="P206" s="1">
        <v>45896</v>
      </c>
      <c r="Q206" s="4">
        <f t="shared" si="29"/>
        <v>2.5903786930038253E-3</v>
      </c>
      <c r="R206" s="34">
        <f t="shared" si="30"/>
        <v>2590.3786930038254</v>
      </c>
      <c r="S206" s="34" t="b">
        <f t="shared" si="25"/>
        <v>0</v>
      </c>
      <c r="T206" s="34" t="b">
        <f t="shared" si="26"/>
        <v>0</v>
      </c>
      <c r="U206" s="34" t="b">
        <f t="shared" si="27"/>
        <v>0</v>
      </c>
    </row>
    <row r="207" spans="1:21" x14ac:dyDescent="0.3">
      <c r="A207" s="1">
        <v>45897</v>
      </c>
      <c r="B207" s="3">
        <f>Data!B207</f>
        <v>299.61337280273398</v>
      </c>
      <c r="C207" s="3">
        <f>Data!H207</f>
        <v>149.271240234375</v>
      </c>
      <c r="D207" s="3">
        <f>Data!N207</f>
        <v>50.210720062255803</v>
      </c>
      <c r="F207" s="1">
        <v>45897</v>
      </c>
      <c r="G207" s="4">
        <f t="shared" si="28"/>
        <v>5.981130523020628E-3</v>
      </c>
      <c r="H207" s="4">
        <f t="shared" si="23"/>
        <v>5.355412845489127E-3</v>
      </c>
      <c r="I207" s="4">
        <f t="shared" si="24"/>
        <v>2.1834566516427678E-3</v>
      </c>
      <c r="P207" s="1">
        <v>45897</v>
      </c>
      <c r="Q207" s="4">
        <f t="shared" si="29"/>
        <v>4.5915412905946692E-3</v>
      </c>
      <c r="R207" s="34">
        <f t="shared" si="30"/>
        <v>4591.5412905946696</v>
      </c>
      <c r="S207" s="34" t="b">
        <f t="shared" si="25"/>
        <v>0</v>
      </c>
      <c r="T207" s="34" t="b">
        <f t="shared" si="26"/>
        <v>0</v>
      </c>
      <c r="U207" s="34" t="b">
        <f t="shared" si="27"/>
        <v>0</v>
      </c>
    </row>
    <row r="208" spans="1:21" x14ac:dyDescent="0.3">
      <c r="A208" s="1">
        <v>45898</v>
      </c>
      <c r="B208" s="3">
        <f>Data!B208</f>
        <v>299.961669921875</v>
      </c>
      <c r="C208" s="3">
        <f>Data!H208</f>
        <v>149.56942749023401</v>
      </c>
      <c r="D208" s="3">
        <f>Data!N208</f>
        <v>50.459335327148402</v>
      </c>
      <c r="F208" s="1">
        <v>45898</v>
      </c>
      <c r="G208" s="4">
        <f t="shared" si="28"/>
        <v>1.1624885627863346E-3</v>
      </c>
      <c r="H208" s="4">
        <f t="shared" si="23"/>
        <v>1.9976202742792992E-3</v>
      </c>
      <c r="I208" s="4">
        <f t="shared" si="24"/>
        <v>4.9514379515838147E-3</v>
      </c>
      <c r="P208" s="1">
        <v>45898</v>
      </c>
      <c r="Q208" s="4">
        <f t="shared" si="29"/>
        <v>2.6332260640227643E-3</v>
      </c>
      <c r="R208" s="34">
        <f t="shared" si="30"/>
        <v>2633.2260640227641</v>
      </c>
      <c r="S208" s="34" t="b">
        <f t="shared" si="25"/>
        <v>0</v>
      </c>
      <c r="T208" s="34" t="b">
        <f t="shared" si="26"/>
        <v>0</v>
      </c>
      <c r="U208" s="34" t="b">
        <f t="shared" si="27"/>
        <v>0</v>
      </c>
    </row>
    <row r="209" spans="1:21" x14ac:dyDescent="0.3">
      <c r="A209" s="1">
        <v>45902</v>
      </c>
      <c r="B209" s="3">
        <f>Data!B209</f>
        <v>298.25</v>
      </c>
      <c r="C209" s="3">
        <f>Data!H209</f>
        <v>147.94931030273401</v>
      </c>
      <c r="D209" s="3">
        <f>Data!N209</f>
        <v>50.141101837158203</v>
      </c>
      <c r="F209" s="1">
        <v>45902</v>
      </c>
      <c r="G209" s="4">
        <f t="shared" si="28"/>
        <v>-5.7062954820887857E-3</v>
      </c>
      <c r="H209" s="4">
        <f t="shared" si="23"/>
        <v>-1.0831873964388783E-2</v>
      </c>
      <c r="I209" s="4">
        <f t="shared" si="24"/>
        <v>-6.3067317063723038E-3</v>
      </c>
      <c r="P209" s="1">
        <v>45902</v>
      </c>
      <c r="Q209" s="4">
        <f t="shared" si="29"/>
        <v>-7.9366577422938407E-3</v>
      </c>
      <c r="R209" s="34">
        <f t="shared" si="30"/>
        <v>-7936.6577422938408</v>
      </c>
      <c r="S209" s="34" t="b">
        <f t="shared" si="25"/>
        <v>0</v>
      </c>
      <c r="T209" s="34" t="b">
        <f t="shared" si="26"/>
        <v>0</v>
      </c>
      <c r="U209" s="34" t="b">
        <f t="shared" si="27"/>
        <v>0</v>
      </c>
    </row>
    <row r="210" spans="1:21" x14ac:dyDescent="0.3">
      <c r="A210" s="1">
        <v>45903</v>
      </c>
      <c r="B210" s="3">
        <f>Data!B210</f>
        <v>298.06091308593699</v>
      </c>
      <c r="C210" s="3">
        <f>Data!H210</f>
        <v>147.63124084472599</v>
      </c>
      <c r="D210" s="3">
        <f>Data!N210</f>
        <v>49.783096313476499</v>
      </c>
      <c r="F210" s="1">
        <v>45903</v>
      </c>
      <c r="G210" s="4">
        <f t="shared" si="28"/>
        <v>-6.3398797674107943E-4</v>
      </c>
      <c r="H210" s="4">
        <f t="shared" si="23"/>
        <v>-2.1498542802070864E-3</v>
      </c>
      <c r="I210" s="4">
        <f t="shared" si="24"/>
        <v>-7.1399612406681801E-3</v>
      </c>
      <c r="P210" s="1">
        <v>45903</v>
      </c>
      <c r="Q210" s="4">
        <f t="shared" si="29"/>
        <v>-3.1921264773056126E-3</v>
      </c>
      <c r="R210" s="34">
        <f t="shared" si="30"/>
        <v>-3192.1264773056128</v>
      </c>
      <c r="S210" s="34" t="b">
        <f t="shared" si="25"/>
        <v>0</v>
      </c>
      <c r="T210" s="34" t="b">
        <f t="shared" si="26"/>
        <v>0</v>
      </c>
      <c r="U210" s="34" t="b">
        <f t="shared" si="27"/>
        <v>0</v>
      </c>
    </row>
    <row r="211" spans="1:21" x14ac:dyDescent="0.3">
      <c r="A211" s="1">
        <v>45904</v>
      </c>
      <c r="B211" s="3">
        <f>Data!B211</f>
        <v>302.35006713867102</v>
      </c>
      <c r="C211" s="3">
        <f>Data!H211</f>
        <v>149.61912536621</v>
      </c>
      <c r="D211" s="3">
        <f>Data!N211</f>
        <v>50.339996337890597</v>
      </c>
      <c r="F211" s="1">
        <v>45904</v>
      </c>
      <c r="G211" s="4">
        <f t="shared" si="28"/>
        <v>1.4390192958636527E-2</v>
      </c>
      <c r="H211" s="4">
        <f t="shared" si="23"/>
        <v>1.3465202284486555E-2</v>
      </c>
      <c r="I211" s="4">
        <f t="shared" si="24"/>
        <v>1.1186528473588364E-2</v>
      </c>
      <c r="P211" s="1">
        <v>45904</v>
      </c>
      <c r="Q211" s="4">
        <f t="shared" si="29"/>
        <v>1.3059097343462089E-2</v>
      </c>
      <c r="R211" s="34">
        <f t="shared" si="30"/>
        <v>13059.097343462088</v>
      </c>
      <c r="S211" s="34" t="b">
        <f t="shared" si="25"/>
        <v>0</v>
      </c>
      <c r="T211" s="34" t="b">
        <f t="shared" si="26"/>
        <v>0</v>
      </c>
      <c r="U211" s="34" t="b">
        <f t="shared" si="27"/>
        <v>0</v>
      </c>
    </row>
    <row r="212" spans="1:21" x14ac:dyDescent="0.3">
      <c r="A212" s="1">
        <v>45905</v>
      </c>
      <c r="B212" s="3">
        <f>Data!B212</f>
        <v>292.95571899414</v>
      </c>
      <c r="C212" s="3">
        <f>Data!H212</f>
        <v>147.19389343261699</v>
      </c>
      <c r="D212" s="3">
        <f>Data!N212</f>
        <v>49.770000457763601</v>
      </c>
      <c r="F212" s="1">
        <v>45905</v>
      </c>
      <c r="G212" s="4">
        <f t="shared" si="28"/>
        <v>-3.1071096604792126E-2</v>
      </c>
      <c r="H212" s="4">
        <f t="shared" ref="H212:H251" si="31">C212/C211-1</f>
        <v>-1.6209371145947893E-2</v>
      </c>
      <c r="I212" s="4">
        <f t="shared" ref="I212:I251" si="32">D212/D211-1</f>
        <v>-1.1322922558458015E-2</v>
      </c>
      <c r="P212" s="1">
        <v>45905</v>
      </c>
      <c r="Q212" s="4">
        <f t="shared" si="29"/>
        <v>-1.92019542073542E-2</v>
      </c>
      <c r="R212" s="34">
        <f t="shared" si="30"/>
        <v>-19201.9542073542</v>
      </c>
      <c r="S212" s="34" t="b">
        <f t="shared" si="25"/>
        <v>0</v>
      </c>
      <c r="T212" s="34" t="b">
        <f t="shared" si="26"/>
        <v>0</v>
      </c>
      <c r="U212" s="34" t="b">
        <f t="shared" si="27"/>
        <v>0</v>
      </c>
    </row>
    <row r="213" spans="1:21" x14ac:dyDescent="0.3">
      <c r="A213" s="1">
        <v>45908</v>
      </c>
      <c r="B213" s="3">
        <f>Data!B213</f>
        <v>291.49282836914</v>
      </c>
      <c r="C213" s="3">
        <f>Data!H213</f>
        <v>147.8896484375</v>
      </c>
      <c r="D213" s="3">
        <f>Data!N213</f>
        <v>49.459999084472599</v>
      </c>
      <c r="F213" s="1">
        <v>45908</v>
      </c>
      <c r="G213" s="4">
        <f t="shared" si="28"/>
        <v>-4.9935554425181161E-3</v>
      </c>
      <c r="H213" s="4">
        <f t="shared" si="31"/>
        <v>4.7267925907641395E-3</v>
      </c>
      <c r="I213" s="4">
        <f t="shared" si="32"/>
        <v>-6.2286793337299473E-3</v>
      </c>
      <c r="P213" s="1">
        <v>45908</v>
      </c>
      <c r="Q213" s="4">
        <f t="shared" si="29"/>
        <v>-1.475953396568763E-3</v>
      </c>
      <c r="R213" s="34">
        <f t="shared" si="30"/>
        <v>-1475.9533965687631</v>
      </c>
      <c r="S213" s="34" t="b">
        <f t="shared" si="25"/>
        <v>0</v>
      </c>
      <c r="T213" s="34" t="b">
        <f t="shared" si="26"/>
        <v>0</v>
      </c>
      <c r="U213" s="34" t="b">
        <f t="shared" si="27"/>
        <v>0</v>
      </c>
    </row>
    <row r="214" spans="1:21" x14ac:dyDescent="0.3">
      <c r="A214" s="1">
        <v>45909</v>
      </c>
      <c r="B214" s="3">
        <f>Data!B214</f>
        <v>296.408935546875</v>
      </c>
      <c r="C214" s="3">
        <f>Data!H214</f>
        <v>151.298904418945</v>
      </c>
      <c r="D214" s="3">
        <f>Data!N214</f>
        <v>50.290000915527301</v>
      </c>
      <c r="F214" s="1">
        <v>45909</v>
      </c>
      <c r="G214" s="4">
        <f t="shared" si="28"/>
        <v>1.686527660128001E-2</v>
      </c>
      <c r="H214" s="4">
        <f t="shared" si="31"/>
        <v>2.3052701912979368E-2</v>
      </c>
      <c r="I214" s="4">
        <f t="shared" si="32"/>
        <v>1.6781274695075288E-2</v>
      </c>
      <c r="P214" s="1">
        <v>45909</v>
      </c>
      <c r="Q214" s="4">
        <f t="shared" si="29"/>
        <v>1.9315046154098337E-2</v>
      </c>
      <c r="R214" s="34">
        <f t="shared" si="30"/>
        <v>19315.046154098338</v>
      </c>
      <c r="S214" s="34" t="b">
        <f t="shared" si="25"/>
        <v>0</v>
      </c>
      <c r="T214" s="34" t="b">
        <f t="shared" si="26"/>
        <v>0</v>
      </c>
      <c r="U214" s="34" t="b">
        <f t="shared" si="27"/>
        <v>0</v>
      </c>
    </row>
    <row r="215" spans="1:21" x14ac:dyDescent="0.3">
      <c r="A215" s="1">
        <v>45910</v>
      </c>
      <c r="B215" s="3">
        <f>Data!B215</f>
        <v>299.0859375</v>
      </c>
      <c r="C215" s="3">
        <f>Data!H215</f>
        <v>153.187408447265</v>
      </c>
      <c r="D215" s="3">
        <f>Data!N215</f>
        <v>50.130001068115199</v>
      </c>
      <c r="F215" s="1">
        <v>45910</v>
      </c>
      <c r="G215" s="4">
        <f t="shared" si="28"/>
        <v>9.0314482192850321E-3</v>
      </c>
      <c r="H215" s="4">
        <f t="shared" si="31"/>
        <v>1.2481941198270396E-2</v>
      </c>
      <c r="I215" s="4">
        <f t="shared" si="32"/>
        <v>-3.1815439351623453E-3</v>
      </c>
      <c r="P215" s="1">
        <v>45910</v>
      </c>
      <c r="Q215" s="4">
        <f t="shared" si="29"/>
        <v>6.7477477645449657E-3</v>
      </c>
      <c r="R215" s="34">
        <f t="shared" si="30"/>
        <v>6747.7477645449653</v>
      </c>
      <c r="S215" s="34" t="b">
        <f t="shared" si="25"/>
        <v>0</v>
      </c>
      <c r="T215" s="34" t="b">
        <f t="shared" si="26"/>
        <v>0</v>
      </c>
      <c r="U215" s="34" t="b">
        <f t="shared" si="27"/>
        <v>0</v>
      </c>
    </row>
    <row r="216" spans="1:21" x14ac:dyDescent="0.3">
      <c r="A216" s="1">
        <v>45911</v>
      </c>
      <c r="B216" s="3">
        <f>Data!B216</f>
        <v>304.08163452148398</v>
      </c>
      <c r="C216" s="3">
        <f>Data!H216</f>
        <v>155.53312683105401</v>
      </c>
      <c r="D216" s="3">
        <f>Data!N216</f>
        <v>50.75</v>
      </c>
      <c r="F216" s="1">
        <v>45911</v>
      </c>
      <c r="G216" s="4">
        <f t="shared" si="28"/>
        <v>1.6703216016246136E-2</v>
      </c>
      <c r="H216" s="4">
        <f t="shared" si="31"/>
        <v>1.5312736259237125E-2</v>
      </c>
      <c r="I216" s="4">
        <f t="shared" si="32"/>
        <v>1.2367822036196685E-2</v>
      </c>
      <c r="P216" s="1">
        <v>45911</v>
      </c>
      <c r="Q216" s="4">
        <f t="shared" si="29"/>
        <v>1.4846405919427697E-2</v>
      </c>
      <c r="R216" s="34">
        <f t="shared" si="30"/>
        <v>14846.405919427698</v>
      </c>
      <c r="S216" s="34" t="b">
        <f t="shared" si="25"/>
        <v>0</v>
      </c>
      <c r="T216" s="34" t="b">
        <f t="shared" si="26"/>
        <v>0</v>
      </c>
      <c r="U216" s="34" t="b">
        <f t="shared" si="27"/>
        <v>0</v>
      </c>
    </row>
    <row r="217" spans="1:21" x14ac:dyDescent="0.3">
      <c r="A217" s="1">
        <v>45912</v>
      </c>
      <c r="B217" s="3">
        <f>Data!B217</f>
        <v>305.42510986328102</v>
      </c>
      <c r="C217" s="3">
        <f>Data!H217</f>
        <v>155.44367980957</v>
      </c>
      <c r="D217" s="3">
        <f>Data!N217</f>
        <v>50.580001831054602</v>
      </c>
      <c r="F217" s="1">
        <v>45912</v>
      </c>
      <c r="G217" s="4">
        <f t="shared" si="28"/>
        <v>4.4181403586283086E-3</v>
      </c>
      <c r="H217" s="4">
        <f t="shared" si="31"/>
        <v>-5.75099487205466E-4</v>
      </c>
      <c r="I217" s="4">
        <f t="shared" si="32"/>
        <v>-3.3497176146876084E-3</v>
      </c>
      <c r="P217" s="1">
        <v>45912</v>
      </c>
      <c r="Q217" s="4">
        <f t="shared" si="29"/>
        <v>9.0487028300023772E-5</v>
      </c>
      <c r="R217" s="34">
        <f t="shared" si="30"/>
        <v>90.487028300023766</v>
      </c>
      <c r="S217" s="34" t="b">
        <f t="shared" si="25"/>
        <v>0</v>
      </c>
      <c r="T217" s="34" t="b">
        <f t="shared" si="26"/>
        <v>0</v>
      </c>
      <c r="U217" s="34" t="b">
        <f t="shared" si="27"/>
        <v>0</v>
      </c>
    </row>
    <row r="218" spans="1:21" x14ac:dyDescent="0.3">
      <c r="A218" s="1">
        <v>45915</v>
      </c>
      <c r="B218" s="3">
        <f>Data!B218</f>
        <v>307.40545654296801</v>
      </c>
      <c r="C218" s="3">
        <f>Data!H218</f>
        <v>155.69215393066401</v>
      </c>
      <c r="D218" s="3">
        <f>Data!N218</f>
        <v>50.590000152587798</v>
      </c>
      <c r="F218" s="1">
        <v>45915</v>
      </c>
      <c r="G218" s="4">
        <f t="shared" si="28"/>
        <v>6.4839026515319809E-3</v>
      </c>
      <c r="H218" s="4">
        <f t="shared" si="31"/>
        <v>1.5984832667266247E-3</v>
      </c>
      <c r="I218" s="4">
        <f t="shared" si="32"/>
        <v>1.9767341184739884E-4</v>
      </c>
      <c r="P218" s="1">
        <v>45915</v>
      </c>
      <c r="Q218" s="4">
        <f t="shared" si="29"/>
        <v>2.6438661257044637E-3</v>
      </c>
      <c r="R218" s="34">
        <f t="shared" si="30"/>
        <v>2643.8661257044637</v>
      </c>
      <c r="S218" s="34" t="b">
        <f t="shared" si="25"/>
        <v>0</v>
      </c>
      <c r="T218" s="34" t="b">
        <f t="shared" si="26"/>
        <v>0</v>
      </c>
      <c r="U218" s="34" t="b">
        <f t="shared" si="27"/>
        <v>0</v>
      </c>
    </row>
    <row r="219" spans="1:21" x14ac:dyDescent="0.3">
      <c r="A219" s="1">
        <v>45916</v>
      </c>
      <c r="B219" s="3">
        <f>Data!B219</f>
        <v>307.69406127929602</v>
      </c>
      <c r="C219" s="3">
        <f>Data!H219</f>
        <v>154.8671875</v>
      </c>
      <c r="D219" s="3">
        <f>Data!N219</f>
        <v>50.659999847412102</v>
      </c>
      <c r="F219" s="1">
        <v>45916</v>
      </c>
      <c r="G219" s="4">
        <f t="shared" si="28"/>
        <v>9.3884064249749599E-4</v>
      </c>
      <c r="H219" s="4">
        <f t="shared" si="31"/>
        <v>-5.2987026631502454E-3</v>
      </c>
      <c r="I219" s="4">
        <f t="shared" si="32"/>
        <v>1.3836666260758079E-3</v>
      </c>
      <c r="P219" s="1">
        <v>45916</v>
      </c>
      <c r="Q219" s="4">
        <f t="shared" si="29"/>
        <v>-1.4227288846881073E-3</v>
      </c>
      <c r="R219" s="34">
        <f t="shared" si="30"/>
        <v>-1422.7288846881074</v>
      </c>
      <c r="S219" s="34" t="b">
        <f t="shared" si="25"/>
        <v>0</v>
      </c>
      <c r="T219" s="34" t="b">
        <f t="shared" si="26"/>
        <v>0</v>
      </c>
      <c r="U219" s="34" t="b">
        <f t="shared" si="27"/>
        <v>0</v>
      </c>
    </row>
    <row r="220" spans="1:21" x14ac:dyDescent="0.3">
      <c r="A220" s="1">
        <v>45917</v>
      </c>
      <c r="B220" s="3">
        <f>Data!B220</f>
        <v>310.24166870117102</v>
      </c>
      <c r="C220" s="3">
        <f>Data!H220</f>
        <v>156.45750427246</v>
      </c>
      <c r="D220" s="3">
        <f>Data!N220</f>
        <v>51.400001525878899</v>
      </c>
      <c r="F220" s="1">
        <v>45917</v>
      </c>
      <c r="G220" s="4">
        <f t="shared" si="28"/>
        <v>8.2796769339090748E-3</v>
      </c>
      <c r="H220" s="4">
        <f t="shared" si="31"/>
        <v>1.0268907172218178E-2</v>
      </c>
      <c r="I220" s="4">
        <f t="shared" si="32"/>
        <v>1.4607218331932126E-2</v>
      </c>
      <c r="P220" s="1">
        <v>45917</v>
      </c>
      <c r="Q220" s="4">
        <f t="shared" si="29"/>
        <v>1.097363144863963E-2</v>
      </c>
      <c r="R220" s="34">
        <f t="shared" si="30"/>
        <v>10973.63144863963</v>
      </c>
      <c r="S220" s="34" t="b">
        <f t="shared" si="25"/>
        <v>0</v>
      </c>
      <c r="T220" s="34" t="b">
        <f t="shared" si="26"/>
        <v>0</v>
      </c>
      <c r="U220" s="34" t="b">
        <f t="shared" si="27"/>
        <v>0</v>
      </c>
    </row>
    <row r="221" spans="1:21" x14ac:dyDescent="0.3">
      <c r="A221" s="1">
        <v>45918</v>
      </c>
      <c r="B221" s="3">
        <f>Data!B221</f>
        <v>311.71453857421801</v>
      </c>
      <c r="C221" s="3">
        <f>Data!H221</f>
        <v>158.27642822265599</v>
      </c>
      <c r="D221" s="3">
        <f>Data!N221</f>
        <v>52.130001068115199</v>
      </c>
      <c r="F221" s="1">
        <v>45918</v>
      </c>
      <c r="G221" s="4">
        <f t="shared" si="28"/>
        <v>4.7474921057935049E-3</v>
      </c>
      <c r="H221" s="4">
        <f t="shared" si="31"/>
        <v>1.1625674068202363E-2</v>
      </c>
      <c r="I221" s="4">
        <f t="shared" si="32"/>
        <v>1.420232530282628E-2</v>
      </c>
      <c r="P221" s="1">
        <v>45918</v>
      </c>
      <c r="Q221" s="4">
        <f t="shared" si="29"/>
        <v>1.0335214849866881E-2</v>
      </c>
      <c r="R221" s="34">
        <f t="shared" si="30"/>
        <v>10335.214849866881</v>
      </c>
      <c r="S221" s="34" t="b">
        <f t="shared" si="25"/>
        <v>0</v>
      </c>
      <c r="T221" s="34" t="b">
        <f t="shared" si="26"/>
        <v>0</v>
      </c>
      <c r="U221" s="34" t="b">
        <f t="shared" si="27"/>
        <v>0</v>
      </c>
    </row>
    <row r="222" spans="1:21" x14ac:dyDescent="0.3">
      <c r="A222" s="1">
        <v>45919</v>
      </c>
      <c r="B222" s="3">
        <f>Data!B222</f>
        <v>313.25701904296801</v>
      </c>
      <c r="C222" s="3">
        <f>Data!H222</f>
        <v>158.9423828125</v>
      </c>
      <c r="D222" s="3">
        <f>Data!N222</f>
        <v>52.25</v>
      </c>
      <c r="F222" s="1">
        <v>45919</v>
      </c>
      <c r="G222" s="4">
        <f t="shared" si="28"/>
        <v>4.9483751248988739E-3</v>
      </c>
      <c r="H222" s="4">
        <f t="shared" si="31"/>
        <v>4.2075411817303898E-3</v>
      </c>
      <c r="I222" s="4">
        <f t="shared" si="32"/>
        <v>2.3019169274138829E-3</v>
      </c>
      <c r="P222" s="1">
        <v>45919</v>
      </c>
      <c r="Q222" s="4">
        <f t="shared" si="29"/>
        <v>3.8581040883859828E-3</v>
      </c>
      <c r="R222" s="34">
        <f t="shared" si="30"/>
        <v>3858.1040883859828</v>
      </c>
      <c r="S222" s="34" t="b">
        <f t="shared" si="25"/>
        <v>0</v>
      </c>
      <c r="T222" s="34" t="b">
        <f t="shared" si="26"/>
        <v>0</v>
      </c>
      <c r="U222" s="34" t="b">
        <f t="shared" si="27"/>
        <v>0</v>
      </c>
    </row>
    <row r="223" spans="1:21" x14ac:dyDescent="0.3">
      <c r="A223" s="1">
        <v>45922</v>
      </c>
      <c r="B223" s="3">
        <f>Data!B223</f>
        <v>310.92834472656199</v>
      </c>
      <c r="C223" s="3">
        <f>Data!H223</f>
        <v>159.737533569335</v>
      </c>
      <c r="D223" s="3">
        <f>Data!N223</f>
        <v>51.919998168945298</v>
      </c>
      <c r="F223" s="1">
        <v>45922</v>
      </c>
      <c r="G223" s="4">
        <f t="shared" si="28"/>
        <v>-7.4337498438833416E-3</v>
      </c>
      <c r="H223" s="4">
        <f t="shared" si="31"/>
        <v>5.0027610179534943E-3</v>
      </c>
      <c r="I223" s="4">
        <f t="shared" si="32"/>
        <v>-6.3158245177933336E-3</v>
      </c>
      <c r="P223" s="1">
        <v>45922</v>
      </c>
      <c r="Q223" s="4">
        <f t="shared" si="29"/>
        <v>-2.1237679013216045E-3</v>
      </c>
      <c r="R223" s="34">
        <f t="shared" si="30"/>
        <v>-2123.7679013216043</v>
      </c>
      <c r="S223" s="34" t="b">
        <f t="shared" si="25"/>
        <v>0</v>
      </c>
      <c r="T223" s="34" t="b">
        <f t="shared" si="26"/>
        <v>0</v>
      </c>
      <c r="U223" s="34" t="b">
        <f t="shared" si="27"/>
        <v>0</v>
      </c>
    </row>
    <row r="224" spans="1:21" x14ac:dyDescent="0.3">
      <c r="A224" s="1">
        <v>45923</v>
      </c>
      <c r="B224" s="3">
        <f>Data!B224</f>
        <v>311.22686767578102</v>
      </c>
      <c r="C224" s="3">
        <f>Data!H224</f>
        <v>159.78723144531199</v>
      </c>
      <c r="D224" s="3">
        <f>Data!N224</f>
        <v>51.700000762939403</v>
      </c>
      <c r="F224" s="1">
        <v>45923</v>
      </c>
      <c r="G224" s="4">
        <f t="shared" si="28"/>
        <v>9.6010207587071683E-4</v>
      </c>
      <c r="H224" s="4">
        <f t="shared" si="31"/>
        <v>3.1112209426598092E-4</v>
      </c>
      <c r="I224" s="4">
        <f t="shared" si="32"/>
        <v>-4.2372383236616296E-3</v>
      </c>
      <c r="P224" s="1">
        <v>45923</v>
      </c>
      <c r="Q224" s="4">
        <f t="shared" si="29"/>
        <v>-8.5869203663088147E-4</v>
      </c>
      <c r="R224" s="34">
        <f t="shared" si="30"/>
        <v>-858.69203663088149</v>
      </c>
      <c r="S224" s="34" t="b">
        <f t="shared" si="25"/>
        <v>0</v>
      </c>
      <c r="T224" s="34" t="b">
        <f t="shared" si="26"/>
        <v>0</v>
      </c>
      <c r="U224" s="34" t="b">
        <f t="shared" si="27"/>
        <v>0</v>
      </c>
    </row>
    <row r="225" spans="1:21" x14ac:dyDescent="0.3">
      <c r="A225" s="1">
        <v>45924</v>
      </c>
      <c r="B225" s="3">
        <f>Data!B225</f>
        <v>311.90362548828102</v>
      </c>
      <c r="C225" s="3">
        <f>Data!H225</f>
        <v>156.92466735839801</v>
      </c>
      <c r="D225" s="3">
        <f>Data!N225</f>
        <v>51.700000762939403</v>
      </c>
      <c r="F225" s="1">
        <v>45924</v>
      </c>
      <c r="G225" s="4">
        <f t="shared" si="28"/>
        <v>2.1744838983663861E-3</v>
      </c>
      <c r="H225" s="4">
        <f t="shared" si="31"/>
        <v>-1.7914848771215519E-2</v>
      </c>
      <c r="I225" s="4">
        <f t="shared" si="32"/>
        <v>0</v>
      </c>
      <c r="P225" s="1">
        <v>45924</v>
      </c>
      <c r="Q225" s="4">
        <f t="shared" si="29"/>
        <v>-6.5135943389762916E-3</v>
      </c>
      <c r="R225" s="34">
        <f t="shared" si="30"/>
        <v>-6513.5943389762915</v>
      </c>
      <c r="S225" s="34" t="b">
        <f t="shared" si="25"/>
        <v>0</v>
      </c>
      <c r="T225" s="34" t="b">
        <f t="shared" si="26"/>
        <v>0</v>
      </c>
      <c r="U225" s="34" t="b">
        <f t="shared" si="27"/>
        <v>0</v>
      </c>
    </row>
    <row r="226" spans="1:21" x14ac:dyDescent="0.3">
      <c r="A226" s="1">
        <v>45925</v>
      </c>
      <c r="B226" s="3">
        <f>Data!B226</f>
        <v>311.93347167968699</v>
      </c>
      <c r="C226" s="3">
        <f>Data!H226</f>
        <v>157.98817443847599</v>
      </c>
      <c r="D226" s="3">
        <f>Data!N226</f>
        <v>51.849998474121001</v>
      </c>
      <c r="F226" s="1">
        <v>45925</v>
      </c>
      <c r="G226" s="4">
        <f t="shared" si="28"/>
        <v>9.5690427962313862E-5</v>
      </c>
      <c r="H226" s="4">
        <f t="shared" si="31"/>
        <v>6.7771823128932596E-3</v>
      </c>
      <c r="I226" s="4">
        <f t="shared" si="32"/>
        <v>2.9013096512200409E-3</v>
      </c>
      <c r="P226" s="1">
        <v>45925</v>
      </c>
      <c r="Q226" s="4">
        <f t="shared" si="29"/>
        <v>3.6099729489120101E-3</v>
      </c>
      <c r="R226" s="34">
        <f t="shared" si="30"/>
        <v>3609.97294891201</v>
      </c>
      <c r="S226" s="34" t="b">
        <f t="shared" si="25"/>
        <v>0</v>
      </c>
      <c r="T226" s="34" t="b">
        <f t="shared" si="26"/>
        <v>0</v>
      </c>
      <c r="U226" s="34" t="b">
        <f t="shared" si="27"/>
        <v>0</v>
      </c>
    </row>
    <row r="227" spans="1:21" x14ac:dyDescent="0.3">
      <c r="A227" s="1">
        <v>45926</v>
      </c>
      <c r="B227" s="3">
        <f>Data!B227</f>
        <v>314.53082275390602</v>
      </c>
      <c r="C227" s="3">
        <f>Data!H227</f>
        <v>159.14115905761699</v>
      </c>
      <c r="D227" s="3">
        <f>Data!N227</f>
        <v>52.209999084472599</v>
      </c>
      <c r="F227" s="1">
        <v>45926</v>
      </c>
      <c r="G227" s="4">
        <f t="shared" si="28"/>
        <v>8.3266186864554559E-3</v>
      </c>
      <c r="H227" s="4">
        <f t="shared" si="31"/>
        <v>7.2979172222158439E-3</v>
      </c>
      <c r="I227" s="4">
        <f t="shared" si="32"/>
        <v>6.9431170867106928E-3</v>
      </c>
      <c r="P227" s="1">
        <v>45926</v>
      </c>
      <c r="Q227" s="4">
        <f t="shared" si="29"/>
        <v>7.5000876208361818E-3</v>
      </c>
      <c r="R227" s="34">
        <f t="shared" si="30"/>
        <v>7500.0876208361815</v>
      </c>
      <c r="S227" s="34" t="b">
        <f t="shared" si="25"/>
        <v>0</v>
      </c>
      <c r="T227" s="34" t="b">
        <f t="shared" si="26"/>
        <v>0</v>
      </c>
      <c r="U227" s="34" t="b">
        <f t="shared" si="27"/>
        <v>0</v>
      </c>
    </row>
    <row r="228" spans="1:21" x14ac:dyDescent="0.3">
      <c r="A228" s="1">
        <v>45929</v>
      </c>
      <c r="B228" s="3">
        <f>Data!B228</f>
        <v>314.16262817382801</v>
      </c>
      <c r="C228" s="3">
        <f>Data!H228</f>
        <v>160.184814453125</v>
      </c>
      <c r="D228" s="3">
        <f>Data!N228</f>
        <v>52.419998168945298</v>
      </c>
      <c r="F228" s="1">
        <v>45929</v>
      </c>
      <c r="G228" s="4">
        <f t="shared" si="28"/>
        <v>-1.1706152575262641E-3</v>
      </c>
      <c r="H228" s="4">
        <f t="shared" si="31"/>
        <v>6.5580482239051552E-3</v>
      </c>
      <c r="I228" s="4">
        <f t="shared" si="32"/>
        <v>4.0222005009602491E-3</v>
      </c>
      <c r="P228" s="1">
        <v>45929</v>
      </c>
      <c r="Q228" s="4">
        <f t="shared" si="29"/>
        <v>3.4786948625922581E-3</v>
      </c>
      <c r="R228" s="34">
        <f t="shared" si="30"/>
        <v>3478.6948625922582</v>
      </c>
      <c r="S228" s="34" t="b">
        <f t="shared" si="25"/>
        <v>0</v>
      </c>
      <c r="T228" s="34" t="b">
        <f t="shared" si="26"/>
        <v>0</v>
      </c>
      <c r="U228" s="34" t="b">
        <f t="shared" si="27"/>
        <v>0</v>
      </c>
    </row>
    <row r="229" spans="1:21" x14ac:dyDescent="0.3">
      <c r="A229" s="1">
        <v>45930</v>
      </c>
      <c r="B229" s="3">
        <f>Data!B229</f>
        <v>313.90386962890602</v>
      </c>
      <c r="C229" s="3">
        <f>Data!H229</f>
        <v>157.998123168945</v>
      </c>
      <c r="D229" s="3">
        <f>Data!N229</f>
        <v>51.590000152587798</v>
      </c>
      <c r="F229" s="1">
        <v>45930</v>
      </c>
      <c r="G229" s="4">
        <f t="shared" si="28"/>
        <v>-8.2364521339184371E-4</v>
      </c>
      <c r="H229" s="4">
        <f t="shared" si="31"/>
        <v>-1.3651052327559365E-2</v>
      </c>
      <c r="I229" s="4">
        <f t="shared" si="32"/>
        <v>-1.5833613989883921E-2</v>
      </c>
      <c r="P229" s="1">
        <v>45930</v>
      </c>
      <c r="Q229" s="4">
        <f t="shared" si="29"/>
        <v>-1.0457598692006475E-2</v>
      </c>
      <c r="R229" s="34">
        <f t="shared" si="30"/>
        <v>-10457.598692006475</v>
      </c>
      <c r="S229" s="34" t="b">
        <f t="shared" si="25"/>
        <v>0</v>
      </c>
      <c r="T229" s="34" t="b">
        <f t="shared" si="26"/>
        <v>0</v>
      </c>
      <c r="U229" s="34" t="b">
        <f t="shared" si="27"/>
        <v>0</v>
      </c>
    </row>
    <row r="230" spans="1:21" x14ac:dyDescent="0.3">
      <c r="A230" s="1">
        <v>45931</v>
      </c>
      <c r="B230" s="3">
        <f>Data!B230</f>
        <v>309.20669555664</v>
      </c>
      <c r="C230" s="3">
        <f>Data!H230</f>
        <v>155.94064331054599</v>
      </c>
      <c r="D230" s="3">
        <f>Data!N230</f>
        <v>50.680000305175703</v>
      </c>
      <c r="F230" s="1">
        <v>45931</v>
      </c>
      <c r="G230" s="4">
        <f t="shared" si="28"/>
        <v>-1.496373420888053E-2</v>
      </c>
      <c r="H230" s="4">
        <f t="shared" si="31"/>
        <v>-1.3022179106513598E-2</v>
      </c>
      <c r="I230" s="4">
        <f t="shared" si="32"/>
        <v>-1.763907433069567E-2</v>
      </c>
      <c r="P230" s="1">
        <v>45931</v>
      </c>
      <c r="Q230" s="4">
        <f t="shared" si="29"/>
        <v>-1.49897142044783E-2</v>
      </c>
      <c r="R230" s="34">
        <f t="shared" si="30"/>
        <v>-14989.7142044783</v>
      </c>
      <c r="S230" s="34" t="b">
        <f t="shared" si="25"/>
        <v>0</v>
      </c>
      <c r="T230" s="34" t="b">
        <f t="shared" si="26"/>
        <v>0</v>
      </c>
      <c r="U230" s="34" t="b">
        <f t="shared" si="27"/>
        <v>0</v>
      </c>
    </row>
    <row r="231" spans="1:21" x14ac:dyDescent="0.3">
      <c r="A231" s="1">
        <v>45932</v>
      </c>
      <c r="B231" s="3">
        <f>Data!B231</f>
        <v>306.06198120117102</v>
      </c>
      <c r="C231" s="3">
        <f>Data!H231</f>
        <v>154.36027526855401</v>
      </c>
      <c r="D231" s="3">
        <f>Data!N231</f>
        <v>50.4799995422363</v>
      </c>
      <c r="F231" s="1">
        <v>45932</v>
      </c>
      <c r="G231" s="4">
        <f t="shared" si="28"/>
        <v>-1.0170266040998244E-2</v>
      </c>
      <c r="H231" s="4">
        <f t="shared" si="31"/>
        <v>-1.0134420433579927E-2</v>
      </c>
      <c r="I231" s="4">
        <f t="shared" si="32"/>
        <v>-3.9463449434703479E-3</v>
      </c>
      <c r="P231" s="1">
        <v>45932</v>
      </c>
      <c r="Q231" s="4">
        <f t="shared" si="29"/>
        <v>-8.2887514687725473E-3</v>
      </c>
      <c r="R231" s="34">
        <f t="shared" si="30"/>
        <v>-8288.751468772547</v>
      </c>
      <c r="S231" s="34" t="b">
        <f t="shared" si="25"/>
        <v>0</v>
      </c>
      <c r="T231" s="34" t="b">
        <f t="shared" si="26"/>
        <v>0</v>
      </c>
      <c r="U231" s="34" t="b">
        <f t="shared" si="27"/>
        <v>0</v>
      </c>
    </row>
    <row r="232" spans="1:21" x14ac:dyDescent="0.3">
      <c r="A232" s="1">
        <v>45933</v>
      </c>
      <c r="B232" s="3">
        <f>Data!B232</f>
        <v>308.52999877929602</v>
      </c>
      <c r="C232" s="3">
        <f>Data!H232</f>
        <v>156.63641357421801</v>
      </c>
      <c r="D232" s="3">
        <f>Data!N232</f>
        <v>50.639999389648402</v>
      </c>
      <c r="F232" s="1">
        <v>45933</v>
      </c>
      <c r="G232" s="4">
        <f t="shared" si="28"/>
        <v>8.0637835788652801E-3</v>
      </c>
      <c r="H232" s="4">
        <f t="shared" si="31"/>
        <v>1.4745622225044608E-2</v>
      </c>
      <c r="I232" s="4">
        <f t="shared" si="32"/>
        <v>3.1695691137680893E-3</v>
      </c>
      <c r="P232" s="1">
        <v>45933</v>
      </c>
      <c r="Q232" s="4">
        <f t="shared" si="29"/>
        <v>9.2682546978078532E-3</v>
      </c>
      <c r="R232" s="34">
        <f t="shared" si="30"/>
        <v>9268.2546978078535</v>
      </c>
      <c r="S232" s="34" t="b">
        <f t="shared" si="25"/>
        <v>0</v>
      </c>
      <c r="T232" s="34" t="b">
        <f t="shared" si="26"/>
        <v>0</v>
      </c>
      <c r="U232" s="34" t="b">
        <f t="shared" si="27"/>
        <v>0</v>
      </c>
    </row>
    <row r="233" spans="1:21" x14ac:dyDescent="0.3">
      <c r="A233" s="1">
        <v>45936</v>
      </c>
      <c r="B233" s="3">
        <f>Data!B233</f>
        <v>309.17999267578102</v>
      </c>
      <c r="C233" s="3">
        <f>Data!H233</f>
        <v>157.133377075195</v>
      </c>
      <c r="D233" s="3">
        <f>Data!N233</f>
        <v>50.389999389648402</v>
      </c>
      <c r="F233" s="1">
        <v>45936</v>
      </c>
      <c r="G233" s="4">
        <f t="shared" si="28"/>
        <v>2.106744559870144E-3</v>
      </c>
      <c r="H233" s="4">
        <f t="shared" si="31"/>
        <v>3.1727201206730449E-3</v>
      </c>
      <c r="I233" s="4">
        <f t="shared" si="32"/>
        <v>-4.9368089062635789E-3</v>
      </c>
      <c r="P233" s="1">
        <v>45936</v>
      </c>
      <c r="Q233" s="4">
        <f t="shared" si="29"/>
        <v>4.2006874435118768E-4</v>
      </c>
      <c r="R233" s="34">
        <f t="shared" si="30"/>
        <v>420.06874435118766</v>
      </c>
      <c r="S233" s="34" t="b">
        <f t="shared" si="25"/>
        <v>0</v>
      </c>
      <c r="T233" s="34" t="b">
        <f t="shared" si="26"/>
        <v>0</v>
      </c>
      <c r="U233" s="34" t="b">
        <f t="shared" si="27"/>
        <v>0</v>
      </c>
    </row>
    <row r="234" spans="1:21" x14ac:dyDescent="0.3">
      <c r="A234" s="1">
        <v>45937</v>
      </c>
      <c r="B234" s="3">
        <f>Data!B234</f>
        <v>307.69000244140602</v>
      </c>
      <c r="C234" s="3">
        <f>Data!H234</f>
        <v>155.02621459960901</v>
      </c>
      <c r="D234" s="3">
        <f>Data!N234</f>
        <v>50.290000915527301</v>
      </c>
      <c r="F234" s="1">
        <v>45937</v>
      </c>
      <c r="G234" s="4">
        <f t="shared" si="28"/>
        <v>-4.8191677006004241E-3</v>
      </c>
      <c r="H234" s="4">
        <f t="shared" si="31"/>
        <v>-1.3410024749723415E-2</v>
      </c>
      <c r="I234" s="4">
        <f t="shared" si="32"/>
        <v>-1.9844904808957731E-3</v>
      </c>
      <c r="P234" s="1">
        <v>45937</v>
      </c>
      <c r="Q234" s="4">
        <f t="shared" si="29"/>
        <v>-7.4051073543382256E-3</v>
      </c>
      <c r="R234" s="34">
        <f t="shared" si="30"/>
        <v>-7405.1073543382254</v>
      </c>
      <c r="S234" s="34" t="b">
        <f t="shared" si="25"/>
        <v>0</v>
      </c>
      <c r="T234" s="34" t="b">
        <f t="shared" si="26"/>
        <v>0</v>
      </c>
      <c r="U234" s="34" t="b">
        <f t="shared" si="27"/>
        <v>0</v>
      </c>
    </row>
    <row r="235" spans="1:21" x14ac:dyDescent="0.3">
      <c r="A235" s="1">
        <v>45938</v>
      </c>
      <c r="B235" s="3">
        <f>Data!B235</f>
        <v>304.02999877929602</v>
      </c>
      <c r="C235" s="3">
        <f>Data!H235</f>
        <v>154.70814514160099</v>
      </c>
      <c r="D235" s="3">
        <f>Data!N235</f>
        <v>49.840000152587798</v>
      </c>
      <c r="F235" s="1">
        <v>45938</v>
      </c>
      <c r="G235" s="4">
        <f t="shared" si="28"/>
        <v>-1.1895101020732657E-2</v>
      </c>
      <c r="H235" s="4">
        <f t="shared" si="31"/>
        <v>-2.0517140202996886E-3</v>
      </c>
      <c r="I235" s="4">
        <f t="shared" si="32"/>
        <v>-8.9481160220175049E-3</v>
      </c>
      <c r="P235" s="1">
        <v>45938</v>
      </c>
      <c r="Q235" s="4">
        <f t="shared" si="29"/>
        <v>-7.0736507209449226E-3</v>
      </c>
      <c r="R235" s="34">
        <f t="shared" si="30"/>
        <v>-7073.6507209449228</v>
      </c>
      <c r="S235" s="34" t="b">
        <f t="shared" si="25"/>
        <v>0</v>
      </c>
      <c r="T235" s="34" t="b">
        <f t="shared" si="26"/>
        <v>0</v>
      </c>
      <c r="U235" s="34" t="b">
        <f t="shared" si="27"/>
        <v>0</v>
      </c>
    </row>
    <row r="236" spans="1:21" x14ac:dyDescent="0.3">
      <c r="A236" s="1">
        <v>45939</v>
      </c>
      <c r="B236" s="3">
        <f>Data!B236</f>
        <v>305.52999877929602</v>
      </c>
      <c r="C236" s="3">
        <f>Data!H236</f>
        <v>155.32440185546801</v>
      </c>
      <c r="D236" s="3">
        <f>Data!N236</f>
        <v>49.790000915527301</v>
      </c>
      <c r="F236" s="1">
        <v>45939</v>
      </c>
      <c r="G236" s="4">
        <f t="shared" si="28"/>
        <v>4.9337236655020433E-3</v>
      </c>
      <c r="H236" s="4">
        <f t="shared" si="31"/>
        <v>3.9833501545958327E-3</v>
      </c>
      <c r="I236" s="4">
        <f t="shared" si="32"/>
        <v>-1.0031949620269431E-3</v>
      </c>
      <c r="P236" s="1">
        <v>45939</v>
      </c>
      <c r="Q236" s="4">
        <f t="shared" si="29"/>
        <v>2.7724986728808634E-3</v>
      </c>
      <c r="R236" s="34">
        <f t="shared" si="30"/>
        <v>2772.4986728808635</v>
      </c>
      <c r="S236" s="34" t="b">
        <f t="shared" si="25"/>
        <v>0</v>
      </c>
      <c r="T236" s="34" t="b">
        <f t="shared" si="26"/>
        <v>0</v>
      </c>
      <c r="U236" s="34" t="b">
        <f t="shared" si="27"/>
        <v>0</v>
      </c>
    </row>
    <row r="237" spans="1:21" x14ac:dyDescent="0.3">
      <c r="A237" s="1">
        <v>45940</v>
      </c>
      <c r="B237" s="3">
        <f>Data!B237</f>
        <v>300.89001464843699</v>
      </c>
      <c r="C237" s="3">
        <f>Data!H237</f>
        <v>150.94108581542901</v>
      </c>
      <c r="D237" s="3">
        <f>Data!N237</f>
        <v>48.650001525878899</v>
      </c>
      <c r="F237" s="1">
        <v>45940</v>
      </c>
      <c r="G237" s="4">
        <f t="shared" si="28"/>
        <v>-1.5186672828846448E-2</v>
      </c>
      <c r="H237" s="4">
        <f t="shared" si="31"/>
        <v>-2.8220395428387057E-2</v>
      </c>
      <c r="I237" s="4">
        <f t="shared" si="32"/>
        <v>-2.289615120880395E-2</v>
      </c>
      <c r="P237" s="1">
        <v>45940</v>
      </c>
      <c r="Q237" s="4">
        <f t="shared" si="29"/>
        <v>-2.2713005382649941E-2</v>
      </c>
      <c r="R237" s="34">
        <f t="shared" si="30"/>
        <v>-22713.005382649942</v>
      </c>
      <c r="S237" s="34" t="b">
        <f t="shared" si="25"/>
        <v>0</v>
      </c>
      <c r="T237" s="34" t="b">
        <f t="shared" si="26"/>
        <v>0</v>
      </c>
      <c r="U237" s="34" t="b">
        <f t="shared" si="27"/>
        <v>0</v>
      </c>
    </row>
    <row r="238" spans="1:21" x14ac:dyDescent="0.3">
      <c r="A238" s="1">
        <v>45943</v>
      </c>
      <c r="B238" s="3">
        <f>Data!B238</f>
        <v>307.97000122070301</v>
      </c>
      <c r="C238" s="3">
        <f>Data!H238</f>
        <v>154.19129943847599</v>
      </c>
      <c r="D238" s="3">
        <f>Data!N238</f>
        <v>48.860000610351499</v>
      </c>
      <c r="F238" s="1">
        <v>45943</v>
      </c>
      <c r="G238" s="4">
        <f t="shared" si="28"/>
        <v>2.3530147986261296E-2</v>
      </c>
      <c r="H238" s="4">
        <f t="shared" si="31"/>
        <v>2.1532994846885867E-2</v>
      </c>
      <c r="I238" s="4">
        <f t="shared" si="32"/>
        <v>4.3165278085528502E-3</v>
      </c>
      <c r="P238" s="1">
        <v>45943</v>
      </c>
      <c r="Q238" s="4">
        <f t="shared" si="29"/>
        <v>1.6967200677198591E-2</v>
      </c>
      <c r="R238" s="34">
        <f t="shared" si="30"/>
        <v>16967.200677198591</v>
      </c>
      <c r="S238" s="34" t="b">
        <f t="shared" si="25"/>
        <v>0</v>
      </c>
      <c r="T238" s="34" t="b">
        <f t="shared" si="26"/>
        <v>0</v>
      </c>
      <c r="U238" s="34" t="b">
        <f t="shared" si="27"/>
        <v>0</v>
      </c>
    </row>
    <row r="239" spans="1:21" x14ac:dyDescent="0.3">
      <c r="A239" s="1">
        <v>45944</v>
      </c>
      <c r="B239" s="3">
        <f>Data!B239</f>
        <v>302.079986572265</v>
      </c>
      <c r="C239" s="3">
        <f>Data!H239</f>
        <v>154.40002441406199</v>
      </c>
      <c r="D239" s="3">
        <f>Data!N239</f>
        <v>50.090000152587798</v>
      </c>
      <c r="F239" s="1">
        <v>45944</v>
      </c>
      <c r="G239" s="4">
        <f t="shared" si="28"/>
        <v>-1.9125286960066656E-2</v>
      </c>
      <c r="H239" s="4">
        <f t="shared" si="31"/>
        <v>1.3536754430769626E-3</v>
      </c>
      <c r="I239" s="4">
        <f t="shared" si="32"/>
        <v>2.5173956751357807E-2</v>
      </c>
      <c r="P239" s="1">
        <v>45944</v>
      </c>
      <c r="Q239" s="4">
        <f t="shared" si="29"/>
        <v>2.3560711146181296E-3</v>
      </c>
      <c r="R239" s="34">
        <f t="shared" si="30"/>
        <v>2356.0711146181297</v>
      </c>
      <c r="S239" s="34" t="b">
        <f t="shared" si="25"/>
        <v>0</v>
      </c>
      <c r="T239" s="34" t="b">
        <f t="shared" si="26"/>
        <v>0</v>
      </c>
      <c r="U239" s="34" t="b">
        <f t="shared" si="27"/>
        <v>0</v>
      </c>
    </row>
    <row r="240" spans="1:21" x14ac:dyDescent="0.3">
      <c r="A240" s="1">
        <v>45945</v>
      </c>
      <c r="B240" s="3">
        <f>Data!B240</f>
        <v>305.69000244140602</v>
      </c>
      <c r="C240" s="3">
        <f>Data!H240</f>
        <v>161.66578674316401</v>
      </c>
      <c r="D240" s="3">
        <f>Data!N240</f>
        <v>52.279998779296797</v>
      </c>
      <c r="F240" s="1">
        <v>45945</v>
      </c>
      <c r="G240" s="4">
        <f t="shared" si="28"/>
        <v>1.1950529759035877E-2</v>
      </c>
      <c r="H240" s="4">
        <f t="shared" si="31"/>
        <v>4.7058038732021634E-2</v>
      </c>
      <c r="I240" s="4">
        <f t="shared" si="32"/>
        <v>4.3721274107360042E-2</v>
      </c>
      <c r="P240" s="1">
        <v>45945</v>
      </c>
      <c r="Q240" s="4">
        <f t="shared" si="29"/>
        <v>3.5524756652727432E-2</v>
      </c>
      <c r="R240" s="34">
        <f t="shared" si="30"/>
        <v>35524.756652727432</v>
      </c>
      <c r="S240" s="34" t="b">
        <f t="shared" si="25"/>
        <v>0</v>
      </c>
      <c r="T240" s="34" t="b">
        <f t="shared" si="26"/>
        <v>0</v>
      </c>
      <c r="U240" s="34" t="b">
        <f t="shared" si="27"/>
        <v>0</v>
      </c>
    </row>
    <row r="241" spans="1:21" x14ac:dyDescent="0.3">
      <c r="A241" s="1">
        <v>45946</v>
      </c>
      <c r="B241" s="3">
        <f>Data!B241</f>
        <v>298.54000854492102</v>
      </c>
      <c r="C241" s="3">
        <f>Data!H241</f>
        <v>159.05171203613199</v>
      </c>
      <c r="D241" s="3">
        <f>Data!N241</f>
        <v>50.439998626708899</v>
      </c>
      <c r="F241" s="1">
        <v>45946</v>
      </c>
      <c r="G241" s="4">
        <f t="shared" si="28"/>
        <v>-2.3389688375090034E-2</v>
      </c>
      <c r="H241" s="4">
        <f t="shared" si="31"/>
        <v>-1.6169622278738305E-2</v>
      </c>
      <c r="I241" s="4">
        <f t="shared" si="32"/>
        <v>-3.5195107030426165E-2</v>
      </c>
      <c r="P241" s="1">
        <v>45946</v>
      </c>
      <c r="Q241" s="4">
        <f t="shared" si="29"/>
        <v>-2.404328753315018E-2</v>
      </c>
      <c r="R241" s="34">
        <f t="shared" si="30"/>
        <v>-24043.287533150182</v>
      </c>
      <c r="S241" s="34" t="b">
        <f t="shared" si="25"/>
        <v>0</v>
      </c>
      <c r="T241" s="34" t="b">
        <f t="shared" si="26"/>
        <v>0</v>
      </c>
      <c r="U241" s="34" t="b">
        <f t="shared" si="27"/>
        <v>0</v>
      </c>
    </row>
    <row r="242" spans="1:21" x14ac:dyDescent="0.3">
      <c r="A242" s="1">
        <v>45947</v>
      </c>
      <c r="B242" s="3">
        <f>Data!B242</f>
        <v>297.55999755859301</v>
      </c>
      <c r="C242" s="3">
        <f>Data!H242</f>
        <v>157.709869384765</v>
      </c>
      <c r="D242" s="3">
        <f>Data!N242</f>
        <v>51.279998779296797</v>
      </c>
      <c r="F242" s="1">
        <v>45947</v>
      </c>
      <c r="G242" s="4">
        <f t="shared" si="28"/>
        <v>-3.2826788982306399E-3</v>
      </c>
      <c r="H242" s="4">
        <f t="shared" si="31"/>
        <v>-8.4365181247603171E-3</v>
      </c>
      <c r="I242" s="4">
        <f t="shared" si="32"/>
        <v>1.6653453121687978E-2</v>
      </c>
      <c r="P242" s="1">
        <v>45947</v>
      </c>
      <c r="Q242" s="4">
        <f t="shared" si="29"/>
        <v>6.3662501713307451E-4</v>
      </c>
      <c r="R242" s="34">
        <f t="shared" si="30"/>
        <v>636.62501713307449</v>
      </c>
      <c r="S242" s="34" t="b">
        <f t="shared" si="25"/>
        <v>0</v>
      </c>
      <c r="T242" s="34" t="b">
        <f t="shared" si="26"/>
        <v>0</v>
      </c>
      <c r="U242" s="34" t="b">
        <f t="shared" si="27"/>
        <v>0</v>
      </c>
    </row>
    <row r="243" spans="1:21" x14ac:dyDescent="0.3">
      <c r="A243" s="1">
        <v>45950</v>
      </c>
      <c r="B243" s="3">
        <f>Data!B243</f>
        <v>302.35998535156199</v>
      </c>
      <c r="C243" s="3">
        <f>Data!H243</f>
        <v>160.98991394042901</v>
      </c>
      <c r="D243" s="3">
        <f>Data!N243</f>
        <v>52.040000915527301</v>
      </c>
      <c r="F243" s="1">
        <v>45950</v>
      </c>
      <c r="G243" s="4">
        <f t="shared" si="28"/>
        <v>1.6131159538754103E-2</v>
      </c>
      <c r="H243" s="4">
        <f t="shared" si="31"/>
        <v>2.0797966344526353E-2</v>
      </c>
      <c r="I243" s="4">
        <f t="shared" si="32"/>
        <v>1.482063483467444E-2</v>
      </c>
      <c r="P243" s="1">
        <v>45950</v>
      </c>
      <c r="Q243" s="4">
        <f t="shared" si="29"/>
        <v>1.7604724849839104E-2</v>
      </c>
      <c r="R243" s="34">
        <f t="shared" si="30"/>
        <v>17604.724849839105</v>
      </c>
      <c r="S243" s="34" t="b">
        <f t="shared" si="25"/>
        <v>0</v>
      </c>
      <c r="T243" s="34" t="b">
        <f t="shared" si="26"/>
        <v>0</v>
      </c>
      <c r="U243" s="34" t="b">
        <f t="shared" si="27"/>
        <v>0</v>
      </c>
    </row>
    <row r="244" spans="1:21" x14ac:dyDescent="0.3">
      <c r="A244" s="1">
        <v>45951</v>
      </c>
      <c r="B244" s="3">
        <f>Data!B244</f>
        <v>297.08999633789</v>
      </c>
      <c r="C244" s="3">
        <f>Data!H244</f>
        <v>158.26647949218699</v>
      </c>
      <c r="D244" s="3">
        <f>Data!N244</f>
        <v>51.520000457763601</v>
      </c>
      <c r="F244" s="1">
        <v>45951</v>
      </c>
      <c r="G244" s="4">
        <f t="shared" si="28"/>
        <v>-1.7429518682984591E-2</v>
      </c>
      <c r="H244" s="4">
        <f t="shared" si="31"/>
        <v>-1.6916801690134209E-2</v>
      </c>
      <c r="I244" s="4">
        <f t="shared" si="32"/>
        <v>-9.9923222255083877E-3</v>
      </c>
      <c r="P244" s="1">
        <v>45951</v>
      </c>
      <c r="Q244" s="4">
        <f t="shared" si="29"/>
        <v>-1.4993272948601576E-2</v>
      </c>
      <c r="R244" s="34">
        <f t="shared" si="30"/>
        <v>-14993.272948601576</v>
      </c>
      <c r="S244" s="34" t="b">
        <f t="shared" si="25"/>
        <v>0</v>
      </c>
      <c r="T244" s="34" t="b">
        <f t="shared" si="26"/>
        <v>0</v>
      </c>
      <c r="U244" s="34" t="b">
        <f t="shared" si="27"/>
        <v>0</v>
      </c>
    </row>
    <row r="245" spans="1:21" x14ac:dyDescent="0.3">
      <c r="A245" s="1">
        <v>45952</v>
      </c>
      <c r="B245" s="3">
        <f>Data!B245</f>
        <v>294.10998535156199</v>
      </c>
      <c r="C245" s="3">
        <f>Data!H245</f>
        <v>157.16320800781199</v>
      </c>
      <c r="D245" s="3">
        <f>Data!N245</f>
        <v>51.099998474121001</v>
      </c>
      <c r="F245" s="1">
        <v>45952</v>
      </c>
      <c r="G245" s="4">
        <f t="shared" si="28"/>
        <v>-1.0030667552127004E-2</v>
      </c>
      <c r="H245" s="4">
        <f t="shared" si="31"/>
        <v>-6.9709738152700096E-3</v>
      </c>
      <c r="I245" s="4">
        <f t="shared" si="32"/>
        <v>-8.1522123429893512E-3</v>
      </c>
      <c r="P245" s="1">
        <v>45952</v>
      </c>
      <c r="Q245" s="4">
        <f t="shared" si="29"/>
        <v>-8.2432534946429107E-3</v>
      </c>
      <c r="R245" s="34">
        <f t="shared" si="30"/>
        <v>-8243.2534946429114</v>
      </c>
      <c r="S245" s="34" t="b">
        <f t="shared" si="25"/>
        <v>0</v>
      </c>
      <c r="T245" s="34" t="b">
        <f t="shared" si="26"/>
        <v>0</v>
      </c>
      <c r="U245" s="34" t="b">
        <f t="shared" si="27"/>
        <v>0</v>
      </c>
    </row>
    <row r="246" spans="1:21" x14ac:dyDescent="0.3">
      <c r="A246" s="1">
        <v>45953</v>
      </c>
      <c r="B246" s="3">
        <f>Data!B246</f>
        <v>294.54000854492102</v>
      </c>
      <c r="C246" s="3">
        <f>Data!H246</f>
        <v>158.34600830078099</v>
      </c>
      <c r="D246" s="3">
        <f>Data!N246</f>
        <v>51.759998321533203</v>
      </c>
      <c r="F246" s="1">
        <v>45953</v>
      </c>
      <c r="G246" s="4">
        <f t="shared" si="28"/>
        <v>1.462116945281533E-3</v>
      </c>
      <c r="H246" s="4">
        <f t="shared" si="31"/>
        <v>7.5259363050810268E-3</v>
      </c>
      <c r="I246" s="4">
        <f t="shared" si="32"/>
        <v>1.291584867162876E-2</v>
      </c>
      <c r="P246" s="1">
        <v>45953</v>
      </c>
      <c r="Q246" s="4">
        <f t="shared" si="29"/>
        <v>7.3237642071054985E-3</v>
      </c>
      <c r="R246" s="34">
        <f t="shared" si="30"/>
        <v>7323.7642071054988</v>
      </c>
      <c r="S246" s="34" t="b">
        <f t="shared" si="25"/>
        <v>0</v>
      </c>
      <c r="T246" s="34" t="b">
        <f t="shared" si="26"/>
        <v>0</v>
      </c>
      <c r="U246" s="34" t="b">
        <f t="shared" si="27"/>
        <v>0</v>
      </c>
    </row>
    <row r="247" spans="1:21" x14ac:dyDescent="0.3">
      <c r="A247" s="1">
        <v>45954</v>
      </c>
      <c r="B247" s="3">
        <f>Data!B247</f>
        <v>300.44000244140602</v>
      </c>
      <c r="C247" s="3">
        <f>Data!H247</f>
        <v>162.86846923828099</v>
      </c>
      <c r="D247" s="3">
        <f>Data!N247</f>
        <v>52.569999694824197</v>
      </c>
      <c r="F247" s="1">
        <v>45954</v>
      </c>
      <c r="G247" s="4">
        <f t="shared" si="28"/>
        <v>2.0031213843008988E-2</v>
      </c>
      <c r="H247" s="4">
        <f t="shared" si="31"/>
        <v>2.856062483690458E-2</v>
      </c>
      <c r="I247" s="4">
        <f t="shared" si="32"/>
        <v>1.5649176962087008E-2</v>
      </c>
      <c r="P247" s="1">
        <v>45954</v>
      </c>
      <c r="Q247" s="4">
        <f t="shared" si="29"/>
        <v>2.2128367176290631E-2</v>
      </c>
      <c r="R247" s="34">
        <f t="shared" si="30"/>
        <v>22128.367176290631</v>
      </c>
      <c r="S247" s="34" t="b">
        <f t="shared" si="25"/>
        <v>0</v>
      </c>
      <c r="T247" s="34" t="b">
        <f t="shared" si="26"/>
        <v>0</v>
      </c>
      <c r="U247" s="34" t="b">
        <f t="shared" si="27"/>
        <v>0</v>
      </c>
    </row>
    <row r="248" spans="1:21" x14ac:dyDescent="0.3">
      <c r="A248" s="1">
        <v>45957</v>
      </c>
      <c r="B248" s="3">
        <f>Data!B248</f>
        <v>304.14999389648398</v>
      </c>
      <c r="C248" s="3">
        <f>Data!H248</f>
        <v>165.01541137695301</v>
      </c>
      <c r="D248" s="3">
        <f>Data!N248</f>
        <v>53.020000457763601</v>
      </c>
      <c r="F248" s="1">
        <v>45957</v>
      </c>
      <c r="G248" s="4">
        <f t="shared" si="28"/>
        <v>1.2348526910298752E-2</v>
      </c>
      <c r="H248" s="4">
        <f t="shared" si="31"/>
        <v>1.31820612590825E-2</v>
      </c>
      <c r="I248" s="4">
        <f t="shared" si="32"/>
        <v>8.560029780325662E-3</v>
      </c>
      <c r="P248" s="1">
        <v>45957</v>
      </c>
      <c r="Q248" s="4">
        <f t="shared" si="29"/>
        <v>1.1545391510820324E-2</v>
      </c>
      <c r="R248" s="34">
        <f t="shared" si="30"/>
        <v>11545.391510820324</v>
      </c>
      <c r="S248" s="34" t="b">
        <f t="shared" si="25"/>
        <v>0</v>
      </c>
      <c r="T248" s="34" t="b">
        <f t="shared" si="26"/>
        <v>0</v>
      </c>
      <c r="U248" s="34" t="b">
        <f t="shared" si="27"/>
        <v>0</v>
      </c>
    </row>
    <row r="249" spans="1:21" x14ac:dyDescent="0.3">
      <c r="A249" s="1">
        <v>45958</v>
      </c>
      <c r="B249" s="3">
        <f>Data!B249</f>
        <v>305.35998535156199</v>
      </c>
      <c r="C249" s="3">
        <f>Data!H249</f>
        <v>164.21031188964801</v>
      </c>
      <c r="D249" s="3">
        <f>Data!N249</f>
        <v>52.869998931884702</v>
      </c>
      <c r="F249" s="1">
        <v>45958</v>
      </c>
      <c r="G249" s="4">
        <f t="shared" si="28"/>
        <v>3.9782721662320331E-3</v>
      </c>
      <c r="H249" s="4">
        <f t="shared" si="31"/>
        <v>-4.8789351284642679E-3</v>
      </c>
      <c r="I249" s="4">
        <f t="shared" si="32"/>
        <v>-2.8291498412640337E-3</v>
      </c>
      <c r="P249" s="1">
        <v>45958</v>
      </c>
      <c r="Q249" s="4">
        <f t="shared" si="29"/>
        <v>-1.6068373538953074E-3</v>
      </c>
      <c r="R249" s="34">
        <f t="shared" si="30"/>
        <v>-1606.8373538953074</v>
      </c>
      <c r="S249" s="34" t="b">
        <f t="shared" si="25"/>
        <v>0</v>
      </c>
      <c r="T249" s="34" t="b">
        <f t="shared" si="26"/>
        <v>0</v>
      </c>
      <c r="U249" s="34" t="b">
        <f t="shared" si="27"/>
        <v>0</v>
      </c>
    </row>
    <row r="250" spans="1:21" x14ac:dyDescent="0.3">
      <c r="A250" s="1">
        <v>45959</v>
      </c>
      <c r="B250" s="3">
        <f>Data!B250</f>
        <v>305.510009765625</v>
      </c>
      <c r="C250" s="3">
        <f>Data!H250</f>
        <v>163.03744506835901</v>
      </c>
      <c r="D250" s="3">
        <f>Data!N250</f>
        <v>52.580001831054602</v>
      </c>
      <c r="F250" s="1">
        <v>45959</v>
      </c>
      <c r="G250" s="4">
        <f t="shared" si="28"/>
        <v>4.91303449239755E-4</v>
      </c>
      <c r="H250" s="4">
        <f t="shared" si="31"/>
        <v>-7.142467533203356E-3</v>
      </c>
      <c r="I250" s="4">
        <f t="shared" si="32"/>
        <v>-5.4850975352528364E-3</v>
      </c>
      <c r="P250" s="1">
        <v>45959</v>
      </c>
      <c r="Q250" s="4">
        <f t="shared" si="29"/>
        <v>-4.3551252390852668E-3</v>
      </c>
      <c r="R250" s="34">
        <f t="shared" si="30"/>
        <v>-4355.1252390852669</v>
      </c>
      <c r="S250" s="34" t="b">
        <f t="shared" si="25"/>
        <v>0</v>
      </c>
      <c r="T250" s="34" t="b">
        <f t="shared" si="26"/>
        <v>0</v>
      </c>
      <c r="U250" s="34" t="b">
        <f t="shared" si="27"/>
        <v>0</v>
      </c>
    </row>
    <row r="251" spans="1:21" x14ac:dyDescent="0.3">
      <c r="A251" s="1">
        <v>45960</v>
      </c>
      <c r="B251" s="3">
        <f>Data!B251</f>
        <v>309.44000244140602</v>
      </c>
      <c r="C251" s="3">
        <f>Data!H251</f>
        <v>164.259994506835</v>
      </c>
      <c r="D251" s="3">
        <f>Data!N251</f>
        <v>53.029998779296797</v>
      </c>
      <c r="F251" s="1">
        <v>45960</v>
      </c>
      <c r="G251" s="4">
        <f t="shared" si="28"/>
        <v>1.2863711662985944E-2</v>
      </c>
      <c r="H251" s="4">
        <f t="shared" si="31"/>
        <v>7.4985806969889435E-3</v>
      </c>
      <c r="I251" s="4">
        <f t="shared" si="32"/>
        <v>8.5583288811605929E-3</v>
      </c>
      <c r="P251" s="1">
        <v>45960</v>
      </c>
      <c r="Q251" s="4">
        <f t="shared" si="29"/>
        <v>9.4260444420395384E-3</v>
      </c>
      <c r="R251" s="34">
        <f t="shared" si="30"/>
        <v>9426.0444420395379</v>
      </c>
      <c r="S251" s="34" t="b">
        <f t="shared" si="25"/>
        <v>0</v>
      </c>
      <c r="T251" s="34" t="b">
        <f t="shared" si="26"/>
        <v>0</v>
      </c>
      <c r="U251" s="34" t="b">
        <f t="shared" si="27"/>
        <v>0</v>
      </c>
    </row>
    <row r="252" spans="1:21" x14ac:dyDescent="0.3">
      <c r="A252" s="1"/>
      <c r="B252" s="3"/>
      <c r="C252" s="3"/>
      <c r="D252" s="3"/>
      <c r="F252" s="1"/>
      <c r="G252" s="4"/>
      <c r="H252" s="4"/>
      <c r="I252" s="4"/>
      <c r="P252" s="1"/>
      <c r="Q252" s="4"/>
      <c r="R252" s="34"/>
      <c r="S252" s="34"/>
      <c r="T252" s="34"/>
      <c r="U252" s="34"/>
    </row>
    <row r="253" spans="1:21" x14ac:dyDescent="0.3">
      <c r="A253" s="1"/>
      <c r="B253" s="3"/>
      <c r="C253" s="3"/>
      <c r="D253" s="3"/>
      <c r="F253" s="1"/>
      <c r="G253" s="4"/>
      <c r="H253" s="4"/>
      <c r="I253" s="4"/>
      <c r="P253" s="1"/>
      <c r="Q253" s="4"/>
      <c r="R253" s="34"/>
      <c r="S253" s="34"/>
      <c r="T253" s="34"/>
      <c r="U253" s="34"/>
    </row>
    <row r="254" spans="1:21" x14ac:dyDescent="0.3">
      <c r="A254" s="1"/>
      <c r="B254" s="3"/>
      <c r="C254" s="3"/>
      <c r="D254" s="3"/>
      <c r="F254" s="1"/>
      <c r="G254" s="4"/>
      <c r="H254" s="4"/>
      <c r="I254" s="4"/>
      <c r="P254" s="1"/>
      <c r="Q254" s="4"/>
      <c r="R254" s="34"/>
      <c r="S254" s="34"/>
      <c r="T254" s="34"/>
      <c r="U254" s="34"/>
    </row>
  </sheetData>
  <mergeCells count="3">
    <mergeCell ref="K15:M15"/>
    <mergeCell ref="S1:U1"/>
    <mergeCell ref="K21:M21"/>
  </mergeCells>
  <conditionalFormatting sqref="S4:U254">
    <cfRule type="cellIs" dxfId="1" priority="2" operator="equal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22C12-5B43-0649-83C6-52ED716AC18A}">
  <dimension ref="A1:U254"/>
  <sheetViews>
    <sheetView showGridLines="0" zoomScale="105" zoomScaleNormal="93" workbookViewId="0">
      <selection activeCell="N15" sqref="N15"/>
    </sheetView>
  </sheetViews>
  <sheetFormatPr defaultColWidth="11.5546875" defaultRowHeight="14.4" x14ac:dyDescent="0.3"/>
  <cols>
    <col min="11" max="11" width="26.5546875" customWidth="1"/>
    <col min="12" max="12" width="18.33203125" bestFit="1" customWidth="1"/>
    <col min="13" max="13" width="16.33203125" bestFit="1" customWidth="1"/>
    <col min="14" max="14" width="28.5546875" bestFit="1" customWidth="1"/>
    <col min="17" max="17" width="13.44140625" bestFit="1" customWidth="1"/>
    <col min="18" max="18" width="13.44140625" customWidth="1"/>
    <col min="19" max="19" width="16.44140625" bestFit="1" customWidth="1"/>
    <col min="20" max="20" width="14.77734375" bestFit="1" customWidth="1"/>
    <col min="21" max="21" width="25.77734375" bestFit="1" customWidth="1"/>
    <col min="23" max="23" width="29.33203125" customWidth="1"/>
    <col min="24" max="24" width="16.77734375" bestFit="1" customWidth="1"/>
    <col min="25" max="25" width="16.6640625" customWidth="1"/>
    <col min="26" max="26" width="26.6640625" bestFit="1" customWidth="1"/>
    <col min="28" max="28" width="13.109375" bestFit="1" customWidth="1"/>
  </cols>
  <sheetData>
    <row r="1" spans="1:21" x14ac:dyDescent="0.3">
      <c r="A1" s="23" t="s">
        <v>41</v>
      </c>
      <c r="F1" s="23" t="s">
        <v>57</v>
      </c>
      <c r="K1" s="23" t="s">
        <v>65</v>
      </c>
      <c r="S1" s="75" t="s">
        <v>69</v>
      </c>
      <c r="T1" s="75"/>
      <c r="U1" s="75"/>
    </row>
    <row r="2" spans="1:21" ht="15" customHeight="1" x14ac:dyDescent="0.3">
      <c r="A2" s="2" t="s">
        <v>0</v>
      </c>
      <c r="B2" s="2" t="s">
        <v>5</v>
      </c>
      <c r="C2" s="2" t="s">
        <v>6</v>
      </c>
      <c r="D2" s="2" t="s">
        <v>7</v>
      </c>
      <c r="F2" s="2" t="s">
        <v>0</v>
      </c>
      <c r="G2" s="2" t="s">
        <v>5</v>
      </c>
      <c r="H2" s="2" t="s">
        <v>6</v>
      </c>
      <c r="I2" s="2" t="s">
        <v>7</v>
      </c>
      <c r="K2" s="2" t="s">
        <v>28</v>
      </c>
      <c r="L2" s="2" t="s">
        <v>5</v>
      </c>
      <c r="M2" s="2" t="s">
        <v>6</v>
      </c>
      <c r="N2" s="2" t="s">
        <v>7</v>
      </c>
      <c r="P2" s="2" t="s">
        <v>0</v>
      </c>
      <c r="Q2" s="2" t="s">
        <v>42</v>
      </c>
      <c r="R2" s="55" t="s">
        <v>90</v>
      </c>
      <c r="S2" s="2" t="s">
        <v>43</v>
      </c>
      <c r="T2" s="2" t="s">
        <v>67</v>
      </c>
      <c r="U2" s="2" t="s">
        <v>68</v>
      </c>
    </row>
    <row r="3" spans="1:21" ht="16.05" customHeight="1" x14ac:dyDescent="0.3">
      <c r="A3" s="1">
        <v>45597</v>
      </c>
      <c r="B3" s="3">
        <f>Data!B3</f>
        <v>218.318435668945</v>
      </c>
      <c r="C3" s="3">
        <f>Data!H3</f>
        <v>113.667182922363</v>
      </c>
      <c r="D3" s="3">
        <f>Data!N3</f>
        <v>40.799842834472599</v>
      </c>
      <c r="F3" s="1">
        <v>45597</v>
      </c>
      <c r="K3" s="2" t="s">
        <v>8</v>
      </c>
      <c r="L3" s="19">
        <v>0.3</v>
      </c>
      <c r="M3" s="19">
        <v>0.4</v>
      </c>
      <c r="N3" s="19">
        <v>0.3</v>
      </c>
      <c r="P3" s="1">
        <v>45597</v>
      </c>
      <c r="S3" s="13" t="s">
        <v>46</v>
      </c>
      <c r="T3" s="13" t="s">
        <v>46</v>
      </c>
      <c r="U3" s="13" t="s">
        <v>46</v>
      </c>
    </row>
    <row r="4" spans="1:21" x14ac:dyDescent="0.3">
      <c r="A4" s="1">
        <v>45600</v>
      </c>
      <c r="B4" s="3">
        <f>Data!B4</f>
        <v>215.22393798828099</v>
      </c>
      <c r="C4" s="3">
        <f>Data!H4</f>
        <v>112.976524353027</v>
      </c>
      <c r="D4" s="3">
        <f>Data!N4</f>
        <v>40.379734039306598</v>
      </c>
      <c r="F4" s="1">
        <v>45600</v>
      </c>
      <c r="G4" s="4">
        <f>B4/B3-1</f>
        <v>-1.4174238978866938E-2</v>
      </c>
      <c r="H4" s="4">
        <f t="shared" ref="H4:I19" si="0">C4/C3-1</f>
        <v>-6.0761474999141418E-3</v>
      </c>
      <c r="I4" s="4">
        <f t="shared" si="0"/>
        <v>-1.0296823859601845E-2</v>
      </c>
      <c r="P4" s="1">
        <v>45600</v>
      </c>
      <c r="Q4" s="4">
        <f>SUMPRODUCT(G4:I4,$L$3:$N$3)</f>
        <v>-9.7717778515062914E-3</v>
      </c>
      <c r="R4" s="34">
        <f>Q4*1000000</f>
        <v>-9771.777851506291</v>
      </c>
      <c r="S4" s="34" t="b">
        <f t="shared" ref="S4:S67" si="1">$L$9&gt;R4</f>
        <v>0</v>
      </c>
      <c r="T4" s="34" t="b">
        <f t="shared" ref="T4:T67" si="2">$L$10&gt;R4</f>
        <v>0</v>
      </c>
      <c r="U4" s="34" t="b">
        <f t="shared" ref="U4:U67" si="3">$L$11&gt;R4</f>
        <v>0</v>
      </c>
    </row>
    <row r="5" spans="1:21" x14ac:dyDescent="0.3">
      <c r="A5" s="1">
        <v>45601</v>
      </c>
      <c r="B5" s="3">
        <f>Data!B5</f>
        <v>216.89848327636699</v>
      </c>
      <c r="C5" s="3">
        <f>Data!H5</f>
        <v>114.60104370117099</v>
      </c>
      <c r="D5" s="3">
        <f>Data!N5</f>
        <v>40.917087554931598</v>
      </c>
      <c r="F5" s="1">
        <v>45601</v>
      </c>
      <c r="G5" s="4">
        <f t="shared" ref="G5:G68" si="4">B5/B4-1</f>
        <v>7.7804788061128782E-3</v>
      </c>
      <c r="H5" s="4">
        <f t="shared" si="0"/>
        <v>1.4379264696333882E-2</v>
      </c>
      <c r="I5" s="4">
        <f t="shared" si="0"/>
        <v>1.3307505074251491E-2</v>
      </c>
      <c r="P5" s="1">
        <v>45601</v>
      </c>
      <c r="Q5" s="4">
        <f t="shared" ref="Q5:Q68" si="5">SUMPRODUCT(G5:I5,$L$3:$N$3)</f>
        <v>1.2078101042642864E-2</v>
      </c>
      <c r="R5" s="34">
        <f t="shared" ref="R5:R68" si="6">Q5*1000000</f>
        <v>12078.101042642864</v>
      </c>
      <c r="S5" s="34" t="b">
        <f t="shared" si="1"/>
        <v>0</v>
      </c>
      <c r="T5" s="34" t="b">
        <f t="shared" si="2"/>
        <v>0</v>
      </c>
      <c r="U5" s="34" t="b">
        <f t="shared" si="3"/>
        <v>0</v>
      </c>
    </row>
    <row r="6" spans="1:21" ht="15" thickBot="1" x14ac:dyDescent="0.35">
      <c r="A6" s="1">
        <v>45602</v>
      </c>
      <c r="B6" s="3">
        <f>Data!B6</f>
        <v>241.93843078613199</v>
      </c>
      <c r="C6" s="3">
        <f>Data!H6</f>
        <v>127.90841674804599</v>
      </c>
      <c r="D6" s="3">
        <f>Data!N6</f>
        <v>44.365924835205</v>
      </c>
      <c r="F6" s="1">
        <v>45602</v>
      </c>
      <c r="G6" s="4">
        <f t="shared" si="4"/>
        <v>0.11544547076366451</v>
      </c>
      <c r="H6" s="4">
        <f t="shared" si="0"/>
        <v>0.11611912611873554</v>
      </c>
      <c r="I6" s="4">
        <f t="shared" si="0"/>
        <v>8.4288435134668438E-2</v>
      </c>
      <c r="P6" s="1">
        <v>45602</v>
      </c>
      <c r="Q6" s="4">
        <f t="shared" si="5"/>
        <v>0.10636782221699409</v>
      </c>
      <c r="R6" s="34">
        <f t="shared" si="6"/>
        <v>106367.82221699409</v>
      </c>
      <c r="S6" s="34" t="b">
        <f t="shared" si="1"/>
        <v>0</v>
      </c>
      <c r="T6" s="34" t="b">
        <f t="shared" si="2"/>
        <v>0</v>
      </c>
      <c r="U6" s="34" t="b">
        <f t="shared" si="3"/>
        <v>0</v>
      </c>
    </row>
    <row r="7" spans="1:21" ht="18.600000000000001" thickBot="1" x14ac:dyDescent="0.35">
      <c r="A7" s="1">
        <v>45603</v>
      </c>
      <c r="B7" s="3">
        <f>Data!B7</f>
        <v>231.47981262207</v>
      </c>
      <c r="C7" s="3">
        <f>Data!H7</f>
        <v>124.941505432128</v>
      </c>
      <c r="D7" s="3">
        <f>Data!N7</f>
        <v>43.740642547607401</v>
      </c>
      <c r="F7" s="1">
        <v>45603</v>
      </c>
      <c r="G7" s="4">
        <f t="shared" si="4"/>
        <v>-4.32284285306751E-2</v>
      </c>
      <c r="H7" s="4">
        <f t="shared" si="0"/>
        <v>-2.319559096538748E-2</v>
      </c>
      <c r="I7" s="4">
        <f t="shared" si="0"/>
        <v>-1.4093750776529079E-2</v>
      </c>
      <c r="K7" s="35" t="s">
        <v>55</v>
      </c>
      <c r="L7" s="33"/>
      <c r="P7" s="1">
        <v>45603</v>
      </c>
      <c r="Q7" s="4">
        <f t="shared" si="5"/>
        <v>-2.6474890178316248E-2</v>
      </c>
      <c r="R7" s="34">
        <f t="shared" si="6"/>
        <v>-26474.890178316247</v>
      </c>
      <c r="S7" s="34" t="b">
        <f t="shared" si="1"/>
        <v>0</v>
      </c>
      <c r="T7" s="34" t="b">
        <f t="shared" si="2"/>
        <v>0</v>
      </c>
      <c r="U7" s="34" t="b">
        <f t="shared" si="3"/>
        <v>0</v>
      </c>
    </row>
    <row r="8" spans="1:21" ht="15" thickBot="1" x14ac:dyDescent="0.35">
      <c r="A8" s="1">
        <v>45604</v>
      </c>
      <c r="B8" s="3">
        <f>Data!B8</f>
        <v>232.06736755371</v>
      </c>
      <c r="C8" s="3">
        <f>Data!H8</f>
        <v>126.00179290771401</v>
      </c>
      <c r="D8" s="3">
        <f>Data!N8</f>
        <v>44.092361450195298</v>
      </c>
      <c r="F8" s="1">
        <v>45604</v>
      </c>
      <c r="G8" s="4">
        <f t="shared" si="4"/>
        <v>2.5382556041690929E-3</v>
      </c>
      <c r="H8" s="4">
        <f t="shared" si="0"/>
        <v>8.4862710107329598E-3</v>
      </c>
      <c r="I8" s="4">
        <f t="shared" si="0"/>
        <v>8.0410090502234244E-3</v>
      </c>
      <c r="K8" s="40" t="s">
        <v>78</v>
      </c>
      <c r="L8" s="27" t="s">
        <v>46</v>
      </c>
      <c r="P8" s="1">
        <v>45604</v>
      </c>
      <c r="Q8" s="4">
        <f t="shared" si="5"/>
        <v>6.5682878006109394E-3</v>
      </c>
      <c r="R8" s="34">
        <f t="shared" si="6"/>
        <v>6568.2878006109395</v>
      </c>
      <c r="S8" s="34" t="b">
        <f t="shared" si="1"/>
        <v>0</v>
      </c>
      <c r="T8" s="34" t="b">
        <f t="shared" si="2"/>
        <v>0</v>
      </c>
      <c r="U8" s="34" t="b">
        <f t="shared" si="3"/>
        <v>0</v>
      </c>
    </row>
    <row r="9" spans="1:21" ht="15" thickBot="1" x14ac:dyDescent="0.35">
      <c r="A9" s="1">
        <v>45607</v>
      </c>
      <c r="B9" s="3">
        <f>Data!B9</f>
        <v>234.32946777343699</v>
      </c>
      <c r="C9" s="3">
        <f>Data!H9</f>
        <v>129.88313293457</v>
      </c>
      <c r="D9" s="3">
        <f>Data!N9</f>
        <v>45.020523071288999</v>
      </c>
      <c r="F9" s="1">
        <v>45607</v>
      </c>
      <c r="G9" s="4">
        <f t="shared" si="4"/>
        <v>9.7476014985322657E-3</v>
      </c>
      <c r="H9" s="4">
        <f t="shared" si="0"/>
        <v>3.0803847606349244E-2</v>
      </c>
      <c r="I9" s="4">
        <f t="shared" si="0"/>
        <v>2.1050394911193537E-2</v>
      </c>
      <c r="K9" s="25" t="s">
        <v>43</v>
      </c>
      <c r="L9" s="53">
        <f>'Variance Covariance'!H12</f>
        <v>-39803.30964875433</v>
      </c>
      <c r="P9" s="1">
        <v>45607</v>
      </c>
      <c r="Q9" s="4">
        <f t="shared" si="5"/>
        <v>2.1560937965457438E-2</v>
      </c>
      <c r="R9" s="34">
        <f t="shared" si="6"/>
        <v>21560.937965457437</v>
      </c>
      <c r="S9" s="34" t="b">
        <f t="shared" si="1"/>
        <v>0</v>
      </c>
      <c r="T9" s="34" t="b">
        <f t="shared" si="2"/>
        <v>0</v>
      </c>
      <c r="U9" s="34" t="b">
        <f t="shared" si="3"/>
        <v>0</v>
      </c>
    </row>
    <row r="10" spans="1:21" ht="15" thickBot="1" x14ac:dyDescent="0.35">
      <c r="A10" s="1">
        <v>45608</v>
      </c>
      <c r="B10" s="3">
        <f>Data!B10</f>
        <v>234.59388732910099</v>
      </c>
      <c r="C10" s="3">
        <f>Data!H10</f>
        <v>128.70608520507801</v>
      </c>
      <c r="D10" s="3">
        <f>Data!N10</f>
        <v>44.805580139160099</v>
      </c>
      <c r="F10" s="1">
        <v>45608</v>
      </c>
      <c r="G10" s="4">
        <f t="shared" si="4"/>
        <v>1.1284093211856305E-3</v>
      </c>
      <c r="H10" s="4">
        <f t="shared" si="0"/>
        <v>-9.062360160999039E-3</v>
      </c>
      <c r="I10" s="4">
        <f t="shared" si="0"/>
        <v>-4.774332181537333E-3</v>
      </c>
      <c r="K10" s="25" t="s">
        <v>44</v>
      </c>
      <c r="L10" s="53">
        <f>'Historical Simulation'!R16</f>
        <v>-64814.484295695249</v>
      </c>
      <c r="P10" s="1">
        <v>45608</v>
      </c>
      <c r="Q10" s="4">
        <f t="shared" si="5"/>
        <v>-4.7187209225051261E-3</v>
      </c>
      <c r="R10" s="34">
        <f t="shared" si="6"/>
        <v>-4718.7209225051265</v>
      </c>
      <c r="S10" s="34" t="b">
        <f t="shared" si="1"/>
        <v>0</v>
      </c>
      <c r="T10" s="34" t="b">
        <f t="shared" si="2"/>
        <v>0</v>
      </c>
      <c r="U10" s="34" t="b">
        <f t="shared" si="3"/>
        <v>0</v>
      </c>
    </row>
    <row r="11" spans="1:21" ht="15" thickBot="1" x14ac:dyDescent="0.35">
      <c r="A11" s="1">
        <v>45609</v>
      </c>
      <c r="B11" s="3">
        <f>Data!B11</f>
        <v>236.160720825195</v>
      </c>
      <c r="C11" s="3">
        <f>Data!H11</f>
        <v>129.14382934570301</v>
      </c>
      <c r="D11" s="3">
        <f>Data!N11</f>
        <v>44.815349578857401</v>
      </c>
      <c r="F11" s="1">
        <v>45609</v>
      </c>
      <c r="G11" s="4">
        <f t="shared" si="4"/>
        <v>6.6789186791382793E-3</v>
      </c>
      <c r="H11" s="4">
        <f t="shared" si="0"/>
        <v>3.4011145621242189E-3</v>
      </c>
      <c r="I11" s="4">
        <f t="shared" si="0"/>
        <v>2.1804069196207365E-4</v>
      </c>
      <c r="K11" s="26" t="s">
        <v>45</v>
      </c>
      <c r="L11" s="53">
        <f>'Monte Carlo Simulation'!P15</f>
        <v>-38053.320914067357</v>
      </c>
      <c r="P11" s="1">
        <v>45609</v>
      </c>
      <c r="Q11" s="4">
        <f t="shared" si="5"/>
        <v>3.4295336361797935E-3</v>
      </c>
      <c r="R11" s="34">
        <f t="shared" si="6"/>
        <v>3429.5336361797936</v>
      </c>
      <c r="S11" s="34" t="b">
        <f t="shared" si="1"/>
        <v>0</v>
      </c>
      <c r="T11" s="34" t="b">
        <f t="shared" si="2"/>
        <v>0</v>
      </c>
      <c r="U11" s="34" t="b">
        <f t="shared" si="3"/>
        <v>0</v>
      </c>
    </row>
    <row r="12" spans="1:21" x14ac:dyDescent="0.3">
      <c r="A12" s="1">
        <v>45610</v>
      </c>
      <c r="B12" s="3">
        <f>Data!B12</f>
        <v>236.85600280761699</v>
      </c>
      <c r="C12" s="3">
        <f>Data!H12</f>
        <v>128.82279968261699</v>
      </c>
      <c r="D12" s="3">
        <f>Data!N12</f>
        <v>44.844657897949197</v>
      </c>
      <c r="F12" s="1">
        <v>45610</v>
      </c>
      <c r="G12" s="4">
        <f t="shared" si="4"/>
        <v>2.9441050992413675E-3</v>
      </c>
      <c r="H12" s="4">
        <f t="shared" si="0"/>
        <v>-2.4858304474359993E-3</v>
      </c>
      <c r="I12" s="4">
        <f t="shared" si="0"/>
        <v>6.5397948174483744E-4</v>
      </c>
      <c r="P12" s="1">
        <v>45610</v>
      </c>
      <c r="Q12" s="4">
        <f t="shared" si="5"/>
        <v>8.5093195321461594E-5</v>
      </c>
      <c r="R12" s="34">
        <f t="shared" si="6"/>
        <v>85.093195321461593</v>
      </c>
      <c r="S12" s="34" t="b">
        <f t="shared" si="1"/>
        <v>0</v>
      </c>
      <c r="T12" s="34" t="b">
        <f t="shared" si="2"/>
        <v>0</v>
      </c>
      <c r="U12" s="34" t="b">
        <f t="shared" si="3"/>
        <v>0</v>
      </c>
    </row>
    <row r="13" spans="1:21" ht="15" thickBot="1" x14ac:dyDescent="0.35">
      <c r="A13" s="1">
        <v>45611</v>
      </c>
      <c r="B13" s="3">
        <f>Data!B13</f>
        <v>240.224685668945</v>
      </c>
      <c r="C13" s="3">
        <f>Data!H13</f>
        <v>130.40841674804599</v>
      </c>
      <c r="D13" s="3">
        <f>Data!N13</f>
        <v>45.675113677978501</v>
      </c>
      <c r="F13" s="1">
        <v>45611</v>
      </c>
      <c r="G13" s="4">
        <f t="shared" si="4"/>
        <v>1.4222493081858634E-2</v>
      </c>
      <c r="H13" s="4">
        <f t="shared" si="0"/>
        <v>1.2308512696009632E-2</v>
      </c>
      <c r="I13" s="4">
        <f t="shared" si="0"/>
        <v>1.8518499615252537E-2</v>
      </c>
      <c r="P13" s="1">
        <v>45611</v>
      </c>
      <c r="Q13" s="4">
        <f t="shared" si="5"/>
        <v>1.4745702887537203E-2</v>
      </c>
      <c r="R13" s="34">
        <f t="shared" si="6"/>
        <v>14745.702887537203</v>
      </c>
      <c r="S13" s="34" t="b">
        <f t="shared" si="1"/>
        <v>0</v>
      </c>
      <c r="T13" s="34" t="b">
        <f t="shared" si="2"/>
        <v>0</v>
      </c>
      <c r="U13" s="34" t="b">
        <f t="shared" si="3"/>
        <v>0</v>
      </c>
    </row>
    <row r="14" spans="1:21" ht="15" thickBot="1" x14ac:dyDescent="0.35">
      <c r="A14" s="1">
        <v>45614</v>
      </c>
      <c r="B14" s="3">
        <f>Data!B14</f>
        <v>239.95048522949199</v>
      </c>
      <c r="C14" s="3">
        <f>Data!H14</f>
        <v>130.13604736328099</v>
      </c>
      <c r="D14" s="3">
        <f>Data!N14</f>
        <v>45.645809173583899</v>
      </c>
      <c r="F14" s="1">
        <v>45614</v>
      </c>
      <c r="G14" s="4">
        <f t="shared" si="4"/>
        <v>-1.1414332323484988E-3</v>
      </c>
      <c r="H14" s="4">
        <f t="shared" si="0"/>
        <v>-2.0885874666450865E-3</v>
      </c>
      <c r="I14" s="4">
        <f t="shared" si="0"/>
        <v>-6.4158580099449303E-4</v>
      </c>
      <c r="K14" s="51" t="s">
        <v>86</v>
      </c>
      <c r="L14" s="17" t="s">
        <v>43</v>
      </c>
      <c r="M14" s="17" t="s">
        <v>67</v>
      </c>
      <c r="N14" s="17" t="s">
        <v>68</v>
      </c>
      <c r="P14" s="1">
        <v>45614</v>
      </c>
      <c r="Q14" s="4">
        <f t="shared" si="5"/>
        <v>-1.3703406966609323E-3</v>
      </c>
      <c r="R14" s="34">
        <f t="shared" si="6"/>
        <v>-1370.3406966609323</v>
      </c>
      <c r="S14" s="34" t="b">
        <f t="shared" si="1"/>
        <v>0</v>
      </c>
      <c r="T14" s="34" t="b">
        <f t="shared" si="2"/>
        <v>0</v>
      </c>
      <c r="U14" s="34" t="b">
        <f t="shared" si="3"/>
        <v>0</v>
      </c>
    </row>
    <row r="15" spans="1:21" x14ac:dyDescent="0.3">
      <c r="A15" s="1">
        <v>45615</v>
      </c>
      <c r="B15" s="3">
        <f>Data!B15</f>
        <v>238.05070495605401</v>
      </c>
      <c r="C15" s="3">
        <f>Data!H15</f>
        <v>128.63801574707</v>
      </c>
      <c r="D15" s="3">
        <f>Data!N15</f>
        <v>45.342933654785099</v>
      </c>
      <c r="F15" s="1">
        <v>45615</v>
      </c>
      <c r="G15" s="4">
        <f t="shared" si="4"/>
        <v>-7.9173845871618465E-3</v>
      </c>
      <c r="H15" s="4">
        <f t="shared" si="0"/>
        <v>-1.1511273367856067E-2</v>
      </c>
      <c r="I15" s="4">
        <f t="shared" si="0"/>
        <v>-6.6353412127498901E-3</v>
      </c>
      <c r="K15" s="46" t="s">
        <v>106</v>
      </c>
      <c r="L15" s="48">
        <v>0.01</v>
      </c>
      <c r="M15" s="48">
        <v>0.01</v>
      </c>
      <c r="N15" s="48">
        <v>0.01</v>
      </c>
      <c r="P15" s="1">
        <v>45615</v>
      </c>
      <c r="Q15" s="4">
        <f t="shared" si="5"/>
        <v>-8.9703270871159466E-3</v>
      </c>
      <c r="R15" s="34">
        <f t="shared" si="6"/>
        <v>-8970.3270871159457</v>
      </c>
      <c r="S15" s="34" t="b">
        <f t="shared" si="1"/>
        <v>0</v>
      </c>
      <c r="T15" s="34" t="b">
        <f t="shared" si="2"/>
        <v>0</v>
      </c>
      <c r="U15" s="34" t="b">
        <f t="shared" si="3"/>
        <v>0</v>
      </c>
    </row>
    <row r="16" spans="1:21" x14ac:dyDescent="0.3">
      <c r="A16" s="1">
        <v>45616</v>
      </c>
      <c r="B16" s="3">
        <f>Data!B16</f>
        <v>235.78858947753901</v>
      </c>
      <c r="C16" s="3">
        <f>Data!H16</f>
        <v>128.10299682617099</v>
      </c>
      <c r="D16" s="3">
        <f>Data!N16</f>
        <v>45.000984191894503</v>
      </c>
      <c r="F16" s="1">
        <v>45616</v>
      </c>
      <c r="G16" s="4">
        <f t="shared" si="4"/>
        <v>-9.5026623799858712E-3</v>
      </c>
      <c r="H16" s="4">
        <f t="shared" si="0"/>
        <v>-4.1591042724956617E-3</v>
      </c>
      <c r="I16" s="4">
        <f t="shared" si="0"/>
        <v>-7.5414058008245188E-3</v>
      </c>
      <c r="K16" s="46" t="s">
        <v>103</v>
      </c>
      <c r="L16" s="47">
        <f>COUNTIF(S4:S254,TRUE)</f>
        <v>5</v>
      </c>
      <c r="M16" s="47">
        <f>COUNTIF(T4:T254,TRUE)</f>
        <v>2</v>
      </c>
      <c r="N16" s="47">
        <f>COUNTIF(U4:U254,TRUE)</f>
        <v>6</v>
      </c>
      <c r="P16" s="1">
        <v>45616</v>
      </c>
      <c r="Q16" s="4">
        <f t="shared" si="5"/>
        <v>-6.776862163241382E-3</v>
      </c>
      <c r="R16" s="34">
        <f t="shared" si="6"/>
        <v>-6776.8621632413824</v>
      </c>
      <c r="S16" s="34" t="b">
        <f t="shared" si="1"/>
        <v>0</v>
      </c>
      <c r="T16" s="34" t="b">
        <f t="shared" si="2"/>
        <v>0</v>
      </c>
      <c r="U16" s="34" t="b">
        <f t="shared" si="3"/>
        <v>0</v>
      </c>
    </row>
    <row r="17" spans="1:21" x14ac:dyDescent="0.3">
      <c r="A17" s="1">
        <v>45617</v>
      </c>
      <c r="B17" s="3">
        <f>Data!B17</f>
        <v>239.68609619140599</v>
      </c>
      <c r="C17" s="3">
        <f>Data!H17</f>
        <v>131.31309509277301</v>
      </c>
      <c r="D17" s="3">
        <f>Data!N17</f>
        <v>45.391780853271399</v>
      </c>
      <c r="F17" s="1">
        <v>45617</v>
      </c>
      <c r="G17" s="4">
        <f t="shared" si="4"/>
        <v>1.6529666352825156E-2</v>
      </c>
      <c r="H17" s="4">
        <f t="shared" si="0"/>
        <v>2.505872888327465E-2</v>
      </c>
      <c r="I17" s="4">
        <f t="shared" si="0"/>
        <v>8.6841803217114766E-3</v>
      </c>
      <c r="K17" s="46" t="s">
        <v>104</v>
      </c>
      <c r="L17" s="47">
        <v>248</v>
      </c>
      <c r="M17" s="47">
        <v>248</v>
      </c>
      <c r="N17" s="47">
        <v>248</v>
      </c>
      <c r="P17" s="1">
        <v>45617</v>
      </c>
      <c r="Q17" s="4">
        <f t="shared" si="5"/>
        <v>1.7587645555670852E-2</v>
      </c>
      <c r="R17" s="34">
        <f t="shared" si="6"/>
        <v>17587.645555670853</v>
      </c>
      <c r="S17" s="34" t="b">
        <f t="shared" si="1"/>
        <v>0</v>
      </c>
      <c r="T17" s="34" t="b">
        <f t="shared" si="2"/>
        <v>0</v>
      </c>
      <c r="U17" s="34" t="b">
        <f t="shared" si="3"/>
        <v>0</v>
      </c>
    </row>
    <row r="18" spans="1:21" x14ac:dyDescent="0.3">
      <c r="A18" s="1">
        <v>45618</v>
      </c>
      <c r="B18" s="3">
        <f>Data!B18</f>
        <v>243.397537231445</v>
      </c>
      <c r="C18" s="3">
        <f>Data!H18</f>
        <v>131.02125549316401</v>
      </c>
      <c r="D18" s="3">
        <f>Data!N18</f>
        <v>45.919368743896399</v>
      </c>
      <c r="F18" s="1">
        <v>45618</v>
      </c>
      <c r="G18" s="4">
        <f t="shared" si="4"/>
        <v>1.5484590466503967E-2</v>
      </c>
      <c r="H18" s="4">
        <f t="shared" si="0"/>
        <v>-2.2224714100510523E-3</v>
      </c>
      <c r="I18" s="4">
        <f t="shared" si="0"/>
        <v>1.1622982855209463E-2</v>
      </c>
      <c r="K18" s="46" t="s">
        <v>105</v>
      </c>
      <c r="L18" s="49">
        <f>L16/L17</f>
        <v>2.0161290322580645E-2</v>
      </c>
      <c r="M18" s="49">
        <f t="shared" ref="M18:N18" si="7">M16/M17</f>
        <v>8.0645161290322578E-3</v>
      </c>
      <c r="N18" s="49">
        <f t="shared" si="7"/>
        <v>2.4193548387096774E-2</v>
      </c>
      <c r="P18" s="1">
        <v>45618</v>
      </c>
      <c r="Q18" s="4">
        <f t="shared" si="5"/>
        <v>7.2432834324936074E-3</v>
      </c>
      <c r="R18" s="34">
        <f t="shared" si="6"/>
        <v>7243.2834324936075</v>
      </c>
      <c r="S18" s="34" t="b">
        <f t="shared" si="1"/>
        <v>0</v>
      </c>
      <c r="T18" s="34" t="b">
        <f t="shared" si="2"/>
        <v>0</v>
      </c>
      <c r="U18" s="34" t="b">
        <f t="shared" si="3"/>
        <v>0</v>
      </c>
    </row>
    <row r="19" spans="1:21" x14ac:dyDescent="0.3">
      <c r="A19" s="1">
        <v>45621</v>
      </c>
      <c r="B19" s="3">
        <f>Data!B19</f>
        <v>245.101470947265</v>
      </c>
      <c r="C19" s="3">
        <f>Data!H19</f>
        <v>130.01930236816401</v>
      </c>
      <c r="D19" s="3">
        <f>Data!N19</f>
        <v>46.407871246337798</v>
      </c>
      <c r="F19" s="1">
        <v>45621</v>
      </c>
      <c r="G19" s="4">
        <f t="shared" si="4"/>
        <v>7.0006202001942075E-3</v>
      </c>
      <c r="H19" s="4">
        <f t="shared" si="0"/>
        <v>-7.6472563266826166E-3</v>
      </c>
      <c r="I19" s="4">
        <f t="shared" si="0"/>
        <v>1.0638266940599772E-2</v>
      </c>
      <c r="K19" s="46" t="s">
        <v>107</v>
      </c>
      <c r="L19" s="50">
        <f>-2*LN(((L15^L16)*(1-L15)^(L17-L16))/((L18^L16)*(1-L18)^(L17-L16)))</f>
        <v>1.997747574699025</v>
      </c>
      <c r="M19" s="50">
        <f t="shared" ref="M19:N19" si="8">-2*LN(((M15^M16)*(1-M15)^(M17-M16))/((M18^M16)*(1-M18)^(M17-M16)))</f>
        <v>0.1004922870062234</v>
      </c>
      <c r="N19" s="50">
        <f t="shared" si="8"/>
        <v>3.6127197776935369</v>
      </c>
      <c r="P19" s="1">
        <v>45621</v>
      </c>
      <c r="Q19" s="4">
        <f t="shared" si="5"/>
        <v>2.2327636115651471E-3</v>
      </c>
      <c r="R19" s="34">
        <f t="shared" si="6"/>
        <v>2232.7636115651471</v>
      </c>
      <c r="S19" s="34" t="b">
        <f t="shared" si="1"/>
        <v>0</v>
      </c>
      <c r="T19" s="34" t="b">
        <f t="shared" si="2"/>
        <v>0</v>
      </c>
      <c r="U19" s="34" t="b">
        <f t="shared" si="3"/>
        <v>0</v>
      </c>
    </row>
    <row r="20" spans="1:21" x14ac:dyDescent="0.3">
      <c r="A20" s="1">
        <v>45622</v>
      </c>
      <c r="B20" s="3">
        <f>Data!B20</f>
        <v>244.7880859375</v>
      </c>
      <c r="C20" s="3">
        <f>Data!H20</f>
        <v>127.704132080078</v>
      </c>
      <c r="D20" s="3">
        <f>Data!N20</f>
        <v>46.652122497558501</v>
      </c>
      <c r="F20" s="1">
        <v>45622</v>
      </c>
      <c r="G20" s="4">
        <f t="shared" si="4"/>
        <v>-1.278592937667189E-3</v>
      </c>
      <c r="H20" s="4">
        <f t="shared" ref="H20:H83" si="9">C20/C19-1</f>
        <v>-1.7806358332321692E-2</v>
      </c>
      <c r="I20" s="4">
        <f t="shared" ref="I20:I83" si="10">D20/D19-1</f>
        <v>5.2631427527496388E-3</v>
      </c>
      <c r="K20" s="46" t="s">
        <v>85</v>
      </c>
      <c r="L20" s="49">
        <f>_xlfn.CHISQ.DIST.RT(L19,1)</f>
        <v>0.15753315428258249</v>
      </c>
      <c r="M20" s="49">
        <f>_xlfn.CHISQ.DIST.RT(M19,1)</f>
        <v>0.75123966832490707</v>
      </c>
      <c r="N20" s="49">
        <f>_xlfn.CHISQ.DIST.RT(N19,1)</f>
        <v>5.7339274594523121E-2</v>
      </c>
      <c r="P20" s="1">
        <v>45622</v>
      </c>
      <c r="Q20" s="4">
        <f t="shared" si="5"/>
        <v>-5.9271783884039418E-3</v>
      </c>
      <c r="R20" s="34">
        <f t="shared" si="6"/>
        <v>-5927.1783884039414</v>
      </c>
      <c r="S20" s="34" t="b">
        <f t="shared" si="1"/>
        <v>0</v>
      </c>
      <c r="T20" s="34" t="b">
        <f t="shared" si="2"/>
        <v>0</v>
      </c>
      <c r="U20" s="34" t="b">
        <f t="shared" si="3"/>
        <v>0</v>
      </c>
    </row>
    <row r="21" spans="1:21" x14ac:dyDescent="0.3">
      <c r="A21" s="1">
        <v>45623</v>
      </c>
      <c r="B21" s="3">
        <f>Data!B21</f>
        <v>244.61180114746</v>
      </c>
      <c r="C21" s="3">
        <f>Data!H21</f>
        <v>127.63606262207</v>
      </c>
      <c r="D21" s="3">
        <f>Data!N21</f>
        <v>46.671661376953097</v>
      </c>
      <c r="F21" s="1">
        <v>45623</v>
      </c>
      <c r="G21" s="4">
        <f t="shared" si="4"/>
        <v>-7.2015265516234273E-4</v>
      </c>
      <c r="H21" s="4">
        <f t="shared" si="9"/>
        <v>-5.3302471031491105E-4</v>
      </c>
      <c r="I21" s="4">
        <f t="shared" si="10"/>
        <v>4.188208027537943E-4</v>
      </c>
      <c r="K21" s="46" t="s">
        <v>89</v>
      </c>
      <c r="L21" s="52" t="s">
        <v>88</v>
      </c>
      <c r="M21" s="52" t="s">
        <v>87</v>
      </c>
      <c r="N21" s="52" t="s">
        <v>87</v>
      </c>
      <c r="P21" s="1">
        <v>45623</v>
      </c>
      <c r="Q21" s="4">
        <f t="shared" si="5"/>
        <v>-3.0360943984852895E-4</v>
      </c>
      <c r="R21" s="34">
        <f t="shared" si="6"/>
        <v>-303.60943984852895</v>
      </c>
      <c r="S21" s="34" t="b">
        <f t="shared" si="1"/>
        <v>0</v>
      </c>
      <c r="T21" s="34" t="b">
        <f t="shared" si="2"/>
        <v>0</v>
      </c>
      <c r="U21" s="34" t="b">
        <f t="shared" si="3"/>
        <v>0</v>
      </c>
    </row>
    <row r="22" spans="1:21" x14ac:dyDescent="0.3">
      <c r="A22" s="1">
        <v>45625</v>
      </c>
      <c r="B22" s="3">
        <f>Data!B22</f>
        <v>244.54327392578099</v>
      </c>
      <c r="C22" s="3">
        <f>Data!H22</f>
        <v>128.025146484375</v>
      </c>
      <c r="D22" s="3">
        <f>Data!N22</f>
        <v>46.417640686035099</v>
      </c>
      <c r="F22" s="1">
        <v>45625</v>
      </c>
      <c r="G22" s="4">
        <f t="shared" si="4"/>
        <v>-2.8014683411659025E-4</v>
      </c>
      <c r="H22" s="4">
        <f t="shared" si="9"/>
        <v>3.0483850278042457E-3</v>
      </c>
      <c r="I22" s="4">
        <f t="shared" si="10"/>
        <v>-5.4427179882530208E-3</v>
      </c>
      <c r="P22" s="1">
        <v>45625</v>
      </c>
      <c r="Q22" s="4">
        <f t="shared" si="5"/>
        <v>-4.9750543558918503E-4</v>
      </c>
      <c r="R22" s="34">
        <f t="shared" si="6"/>
        <v>-497.50543558918503</v>
      </c>
      <c r="S22" s="34" t="b">
        <f t="shared" si="1"/>
        <v>0</v>
      </c>
      <c r="T22" s="34" t="b">
        <f t="shared" si="2"/>
        <v>0</v>
      </c>
      <c r="U22" s="34" t="b">
        <f t="shared" si="3"/>
        <v>0</v>
      </c>
    </row>
    <row r="23" spans="1:21" x14ac:dyDescent="0.3">
      <c r="A23" s="1">
        <v>45628</v>
      </c>
      <c r="B23" s="3">
        <f>Data!B23</f>
        <v>241.14521789550699</v>
      </c>
      <c r="C23" s="3">
        <f>Data!H23</f>
        <v>127.4609375</v>
      </c>
      <c r="D23" s="3">
        <f>Data!N23</f>
        <v>45.958446502685497</v>
      </c>
      <c r="F23" s="1">
        <v>45628</v>
      </c>
      <c r="G23" s="4">
        <f t="shared" si="4"/>
        <v>-1.3895520313125909E-2</v>
      </c>
      <c r="H23" s="4">
        <f t="shared" si="9"/>
        <v>-4.4070169015104632E-3</v>
      </c>
      <c r="I23" s="4">
        <f t="shared" si="10"/>
        <v>-9.8926653005815268E-3</v>
      </c>
      <c r="K23" s="54"/>
      <c r="P23" s="1">
        <v>45628</v>
      </c>
      <c r="Q23" s="4">
        <f t="shared" si="5"/>
        <v>-8.8992624447164145E-3</v>
      </c>
      <c r="R23" s="34">
        <f t="shared" si="6"/>
        <v>-8899.2624447164144</v>
      </c>
      <c r="S23" s="34" t="b">
        <f t="shared" si="1"/>
        <v>0</v>
      </c>
      <c r="T23" s="34" t="b">
        <f t="shared" si="2"/>
        <v>0</v>
      </c>
      <c r="U23" s="34" t="b">
        <f t="shared" si="3"/>
        <v>0</v>
      </c>
    </row>
    <row r="24" spans="1:21" x14ac:dyDescent="0.3">
      <c r="A24" s="1">
        <v>45629</v>
      </c>
      <c r="B24" s="3">
        <f>Data!B24</f>
        <v>239.744857788085</v>
      </c>
      <c r="C24" s="3">
        <f>Data!H24</f>
        <v>126.88701629638599</v>
      </c>
      <c r="D24" s="3">
        <f>Data!N24</f>
        <v>45.743503570556598</v>
      </c>
      <c r="F24" s="1">
        <v>45629</v>
      </c>
      <c r="G24" s="4">
        <f t="shared" si="4"/>
        <v>-5.8071236893811884E-3</v>
      </c>
      <c r="H24" s="4">
        <f t="shared" si="9"/>
        <v>-4.5027222839468806E-3</v>
      </c>
      <c r="I24" s="4">
        <f t="shared" si="10"/>
        <v>-4.6768972514408258E-3</v>
      </c>
      <c r="K24" s="54"/>
      <c r="P24" s="1">
        <v>45629</v>
      </c>
      <c r="Q24" s="4">
        <f t="shared" si="5"/>
        <v>-4.9462951958253567E-3</v>
      </c>
      <c r="R24" s="34">
        <f t="shared" si="6"/>
        <v>-4946.295195825357</v>
      </c>
      <c r="S24" s="34" t="b">
        <f t="shared" si="1"/>
        <v>0</v>
      </c>
      <c r="T24" s="34" t="b">
        <f t="shared" si="2"/>
        <v>0</v>
      </c>
      <c r="U24" s="34" t="b">
        <f t="shared" si="3"/>
        <v>0</v>
      </c>
    </row>
    <row r="25" spans="1:21" x14ac:dyDescent="0.3">
      <c r="A25" s="1">
        <v>45630</v>
      </c>
      <c r="B25" s="3">
        <f>Data!B25</f>
        <v>238.35426330566401</v>
      </c>
      <c r="C25" s="3">
        <f>Data!H25</f>
        <v>126.44927978515599</v>
      </c>
      <c r="D25" s="3">
        <f>Data!N25</f>
        <v>45.3038520812988</v>
      </c>
      <c r="F25" s="1">
        <v>45630</v>
      </c>
      <c r="G25" s="4">
        <f t="shared" si="4"/>
        <v>-5.8003099430402605E-3</v>
      </c>
      <c r="H25" s="4">
        <f t="shared" si="9"/>
        <v>-3.4498132591243014E-3</v>
      </c>
      <c r="I25" s="4">
        <f t="shared" si="10"/>
        <v>-9.6112333979766484E-3</v>
      </c>
      <c r="K25" s="54"/>
      <c r="P25" s="1">
        <v>45630</v>
      </c>
      <c r="Q25" s="4">
        <f t="shared" si="5"/>
        <v>-6.0033883059547929E-3</v>
      </c>
      <c r="R25" s="34">
        <f t="shared" si="6"/>
        <v>-6003.3883059547925</v>
      </c>
      <c r="S25" s="34" t="b">
        <f t="shared" si="1"/>
        <v>0</v>
      </c>
      <c r="T25" s="34" t="b">
        <f t="shared" si="2"/>
        <v>0</v>
      </c>
      <c r="U25" s="34" t="b">
        <f t="shared" si="3"/>
        <v>0</v>
      </c>
    </row>
    <row r="26" spans="1:21" x14ac:dyDescent="0.3">
      <c r="A26" s="1">
        <v>45631</v>
      </c>
      <c r="B26" s="3">
        <f>Data!B26</f>
        <v>240.39117431640599</v>
      </c>
      <c r="C26" s="3">
        <f>Data!H26</f>
        <v>126.770294189453</v>
      </c>
      <c r="D26" s="3">
        <f>Data!N26</f>
        <v>45.919368743896399</v>
      </c>
      <c r="F26" s="1">
        <v>45631</v>
      </c>
      <c r="G26" s="4">
        <f t="shared" si="4"/>
        <v>8.5457292959341125E-3</v>
      </c>
      <c r="H26" s="4">
        <f t="shared" si="9"/>
        <v>2.5386811600858206E-3</v>
      </c>
      <c r="I26" s="4">
        <f t="shared" si="10"/>
        <v>1.3586408976725473E-2</v>
      </c>
      <c r="P26" s="1">
        <v>45631</v>
      </c>
      <c r="Q26" s="4">
        <f t="shared" si="5"/>
        <v>7.6551139458322041E-3</v>
      </c>
      <c r="R26" s="34">
        <f t="shared" si="6"/>
        <v>7655.1139458322041</v>
      </c>
      <c r="S26" s="34" t="b">
        <f t="shared" si="1"/>
        <v>0</v>
      </c>
      <c r="T26" s="34" t="b">
        <f t="shared" si="2"/>
        <v>0</v>
      </c>
      <c r="U26" s="34" t="b">
        <f t="shared" si="3"/>
        <v>0</v>
      </c>
    </row>
    <row r="27" spans="1:21" x14ac:dyDescent="0.3">
      <c r="A27" s="1">
        <v>45632</v>
      </c>
      <c r="B27" s="3">
        <f>Data!B27</f>
        <v>242.23220825195301</v>
      </c>
      <c r="C27" s="3">
        <f>Data!H27</f>
        <v>126.420104980468</v>
      </c>
      <c r="D27" s="3">
        <f>Data!N27</f>
        <v>45.929191589355398</v>
      </c>
      <c r="F27" s="1">
        <v>45632</v>
      </c>
      <c r="G27" s="4">
        <f t="shared" si="4"/>
        <v>7.6584922087190588E-3</v>
      </c>
      <c r="H27" s="4">
        <f t="shared" si="9"/>
        <v>-2.7623917040190404E-3</v>
      </c>
      <c r="I27" s="4">
        <f t="shared" si="10"/>
        <v>2.1391508044854568E-4</v>
      </c>
      <c r="P27" s="1">
        <v>45632</v>
      </c>
      <c r="Q27" s="4">
        <f t="shared" si="5"/>
        <v>1.2567655051426649E-3</v>
      </c>
      <c r="R27" s="34">
        <f t="shared" si="6"/>
        <v>1256.7655051426648</v>
      </c>
      <c r="S27" s="34" t="b">
        <f t="shared" si="1"/>
        <v>0</v>
      </c>
      <c r="T27" s="34" t="b">
        <f t="shared" si="2"/>
        <v>0</v>
      </c>
      <c r="U27" s="34" t="b">
        <f t="shared" si="3"/>
        <v>0</v>
      </c>
    </row>
    <row r="28" spans="1:21" x14ac:dyDescent="0.3">
      <c r="A28" s="1">
        <v>45635</v>
      </c>
      <c r="B28" s="3">
        <f>Data!B28</f>
        <v>238.75578308105401</v>
      </c>
      <c r="C28" s="3">
        <f>Data!H28</f>
        <v>125.07769012451099</v>
      </c>
      <c r="D28" s="3">
        <f>Data!N28</f>
        <v>45.1039428710937</v>
      </c>
      <c r="F28" s="1">
        <v>45635</v>
      </c>
      <c r="G28" s="4">
        <f t="shared" si="4"/>
        <v>-1.4351622337864578E-2</v>
      </c>
      <c r="H28" s="4">
        <f t="shared" si="9"/>
        <v>-1.0618681705448774E-2</v>
      </c>
      <c r="I28" s="4">
        <f t="shared" si="10"/>
        <v>-1.7967847673873716E-2</v>
      </c>
      <c r="P28" s="1">
        <v>45635</v>
      </c>
      <c r="Q28" s="4">
        <f t="shared" si="5"/>
        <v>-1.3943313685700998E-2</v>
      </c>
      <c r="R28" s="34">
        <f t="shared" si="6"/>
        <v>-13943.313685700998</v>
      </c>
      <c r="S28" s="34" t="b">
        <f t="shared" si="1"/>
        <v>0</v>
      </c>
      <c r="T28" s="34" t="b">
        <f t="shared" si="2"/>
        <v>0</v>
      </c>
      <c r="U28" s="34" t="b">
        <f t="shared" si="3"/>
        <v>0</v>
      </c>
    </row>
    <row r="29" spans="1:21" x14ac:dyDescent="0.3">
      <c r="A29" s="1">
        <v>45636</v>
      </c>
      <c r="B29" s="3">
        <f>Data!B29</f>
        <v>237.82546997070301</v>
      </c>
      <c r="C29" s="3">
        <f>Data!H29</f>
        <v>123.33644104003901</v>
      </c>
      <c r="D29" s="3">
        <f>Data!N29</f>
        <v>44.946750640869098</v>
      </c>
      <c r="F29" s="1">
        <v>45636</v>
      </c>
      <c r="G29" s="4">
        <f t="shared" si="4"/>
        <v>-3.896505032655706E-3</v>
      </c>
      <c r="H29" s="4">
        <f t="shared" si="9"/>
        <v>-1.3921340270504068E-2</v>
      </c>
      <c r="I29" s="4">
        <f t="shared" si="10"/>
        <v>-3.485110618241416E-3</v>
      </c>
      <c r="P29" s="1">
        <v>45636</v>
      </c>
      <c r="Q29" s="4">
        <f t="shared" si="5"/>
        <v>-7.7830208034707637E-3</v>
      </c>
      <c r="R29" s="34">
        <f t="shared" si="6"/>
        <v>-7783.0208034707639</v>
      </c>
      <c r="S29" s="34" t="b">
        <f t="shared" si="1"/>
        <v>0</v>
      </c>
      <c r="T29" s="34" t="b">
        <f t="shared" si="2"/>
        <v>0</v>
      </c>
      <c r="U29" s="34" t="b">
        <f t="shared" si="3"/>
        <v>0</v>
      </c>
    </row>
    <row r="30" spans="1:21" x14ac:dyDescent="0.3">
      <c r="A30" s="1">
        <v>45637</v>
      </c>
      <c r="B30" s="3">
        <f>Data!B30</f>
        <v>238.48158264160099</v>
      </c>
      <c r="C30" s="3">
        <f>Data!H30</f>
        <v>124.11464691162099</v>
      </c>
      <c r="D30" s="3">
        <f>Data!N30</f>
        <v>45.270957946777301</v>
      </c>
      <c r="F30" s="1">
        <v>45637</v>
      </c>
      <c r="G30" s="4">
        <f t="shared" si="4"/>
        <v>2.7587990091171299E-3</v>
      </c>
      <c r="H30" s="4">
        <f t="shared" si="9"/>
        <v>6.3096183497735048E-3</v>
      </c>
      <c r="I30" s="4">
        <f t="shared" si="10"/>
        <v>7.2131422468926232E-3</v>
      </c>
      <c r="P30" s="1">
        <v>45637</v>
      </c>
      <c r="Q30" s="4">
        <f t="shared" si="5"/>
        <v>5.5154297167123272E-3</v>
      </c>
      <c r="R30" s="34">
        <f t="shared" si="6"/>
        <v>5515.4297167123268</v>
      </c>
      <c r="S30" s="34" t="b">
        <f t="shared" si="1"/>
        <v>0</v>
      </c>
      <c r="T30" s="34" t="b">
        <f t="shared" si="2"/>
        <v>0</v>
      </c>
      <c r="U30" s="34" t="b">
        <f t="shared" si="3"/>
        <v>0</v>
      </c>
    </row>
    <row r="31" spans="1:21" x14ac:dyDescent="0.3">
      <c r="A31" s="1">
        <v>45638</v>
      </c>
      <c r="B31" s="3">
        <f>Data!B31</f>
        <v>236.52305603027301</v>
      </c>
      <c r="C31" s="3">
        <f>Data!H31</f>
        <v>124.42592620849599</v>
      </c>
      <c r="D31" s="3">
        <f>Data!N31</f>
        <v>45.270957946777301</v>
      </c>
      <c r="F31" s="1">
        <v>45638</v>
      </c>
      <c r="G31" s="4">
        <f t="shared" si="4"/>
        <v>-8.2124858013514768E-3</v>
      </c>
      <c r="H31" s="4">
        <f t="shared" si="9"/>
        <v>2.5079980858073725E-3</v>
      </c>
      <c r="I31" s="4">
        <f t="shared" si="10"/>
        <v>0</v>
      </c>
      <c r="P31" s="1">
        <v>45638</v>
      </c>
      <c r="Q31" s="4">
        <f t="shared" si="5"/>
        <v>-1.4605465060824939E-3</v>
      </c>
      <c r="R31" s="34">
        <f t="shared" si="6"/>
        <v>-1460.5465060824938</v>
      </c>
      <c r="S31" s="34" t="b">
        <f t="shared" si="1"/>
        <v>0</v>
      </c>
      <c r="T31" s="34" t="b">
        <f t="shared" si="2"/>
        <v>0</v>
      </c>
      <c r="U31" s="34" t="b">
        <f t="shared" si="3"/>
        <v>0</v>
      </c>
    </row>
    <row r="32" spans="1:21" x14ac:dyDescent="0.3">
      <c r="A32" s="1">
        <v>45639</v>
      </c>
      <c r="B32" s="3">
        <f>Data!B32</f>
        <v>234.96600341796801</v>
      </c>
      <c r="C32" s="3">
        <f>Data!H32</f>
        <v>123.92982482910099</v>
      </c>
      <c r="D32" s="3">
        <f>Data!N32</f>
        <v>44.868148803710902</v>
      </c>
      <c r="F32" s="1">
        <v>45639</v>
      </c>
      <c r="G32" s="4">
        <f t="shared" si="4"/>
        <v>-6.5830902003299885E-3</v>
      </c>
      <c r="H32" s="4">
        <f t="shared" si="9"/>
        <v>-3.9871222542776641E-3</v>
      </c>
      <c r="I32" s="4">
        <f t="shared" si="10"/>
        <v>-8.8977384472394005E-3</v>
      </c>
      <c r="P32" s="1">
        <v>45639</v>
      </c>
      <c r="Q32" s="4">
        <f t="shared" si="5"/>
        <v>-6.2390974959818822E-3</v>
      </c>
      <c r="R32" s="34">
        <f t="shared" si="6"/>
        <v>-6239.0974959818823</v>
      </c>
      <c r="S32" s="34" t="b">
        <f t="shared" si="1"/>
        <v>0</v>
      </c>
      <c r="T32" s="34" t="b">
        <f t="shared" si="2"/>
        <v>0</v>
      </c>
      <c r="U32" s="34" t="b">
        <f t="shared" si="3"/>
        <v>0</v>
      </c>
    </row>
    <row r="33" spans="1:21" x14ac:dyDescent="0.3">
      <c r="A33" s="1">
        <v>45642</v>
      </c>
      <c r="B33" s="3">
        <f>Data!B33</f>
        <v>234.61346435546801</v>
      </c>
      <c r="C33" s="3">
        <f>Data!H33</f>
        <v>125.515426635742</v>
      </c>
      <c r="D33" s="3">
        <f>Data!N33</f>
        <v>44.671665191650298</v>
      </c>
      <c r="F33" s="1">
        <v>45642</v>
      </c>
      <c r="G33" s="4">
        <f t="shared" si="4"/>
        <v>-1.500383278311479E-3</v>
      </c>
      <c r="H33" s="4">
        <f t="shared" si="9"/>
        <v>1.2794352036142653E-2</v>
      </c>
      <c r="I33" s="4">
        <f t="shared" si="10"/>
        <v>-4.3791334677117932E-3</v>
      </c>
      <c r="P33" s="1">
        <v>45642</v>
      </c>
      <c r="Q33" s="4">
        <f t="shared" si="5"/>
        <v>3.3538857906500802E-3</v>
      </c>
      <c r="R33" s="34">
        <f t="shared" si="6"/>
        <v>3353.8857906500803</v>
      </c>
      <c r="S33" s="34" t="b">
        <f t="shared" si="1"/>
        <v>0</v>
      </c>
      <c r="T33" s="34" t="b">
        <f t="shared" si="2"/>
        <v>0</v>
      </c>
      <c r="U33" s="34" t="b">
        <f t="shared" si="3"/>
        <v>0</v>
      </c>
    </row>
    <row r="34" spans="1:21" x14ac:dyDescent="0.3">
      <c r="A34" s="1">
        <v>45643</v>
      </c>
      <c r="B34" s="3">
        <f>Data!B34</f>
        <v>233.41876220703099</v>
      </c>
      <c r="C34" s="3">
        <f>Data!H34</f>
        <v>124.260566711425</v>
      </c>
      <c r="D34" s="3">
        <f>Data!N34</f>
        <v>44.259040832519503</v>
      </c>
      <c r="F34" s="1">
        <v>45643</v>
      </c>
      <c r="G34" s="4">
        <f t="shared" si="4"/>
        <v>-5.0922147700223075E-3</v>
      </c>
      <c r="H34" s="4">
        <f t="shared" si="9"/>
        <v>-9.9976549333551379E-3</v>
      </c>
      <c r="I34" s="4">
        <f t="shared" si="10"/>
        <v>-9.2368251185747097E-3</v>
      </c>
      <c r="P34" s="1">
        <v>45643</v>
      </c>
      <c r="Q34" s="4">
        <f t="shared" si="5"/>
        <v>-8.2977739399211596E-3</v>
      </c>
      <c r="R34" s="34">
        <f t="shared" si="6"/>
        <v>-8297.7739399211605</v>
      </c>
      <c r="S34" s="34" t="b">
        <f t="shared" si="1"/>
        <v>0</v>
      </c>
      <c r="T34" s="34" t="b">
        <f t="shared" si="2"/>
        <v>0</v>
      </c>
      <c r="U34" s="34" t="b">
        <f t="shared" si="3"/>
        <v>0</v>
      </c>
    </row>
    <row r="35" spans="1:21" x14ac:dyDescent="0.3">
      <c r="A35" s="1">
        <v>45644</v>
      </c>
      <c r="B35" s="3">
        <f>Data!B35</f>
        <v>225.59440612792901</v>
      </c>
      <c r="C35" s="3">
        <f>Data!H35</f>
        <v>117.74305725097599</v>
      </c>
      <c r="D35" s="3">
        <f>Data!N35</f>
        <v>42.736251831054602</v>
      </c>
      <c r="F35" s="1">
        <v>45644</v>
      </c>
      <c r="G35" s="4">
        <f t="shared" si="4"/>
        <v>-3.352068190714752E-2</v>
      </c>
      <c r="H35" s="4">
        <f t="shared" si="9"/>
        <v>-5.2450343925960596E-2</v>
      </c>
      <c r="I35" s="4">
        <f t="shared" si="10"/>
        <v>-3.4406281130837879E-2</v>
      </c>
      <c r="P35" s="1">
        <v>45644</v>
      </c>
      <c r="Q35" s="4">
        <f t="shared" si="5"/>
        <v>-4.1358226481779864E-2</v>
      </c>
      <c r="R35" s="34">
        <f t="shared" si="6"/>
        <v>-41358.226481779864</v>
      </c>
      <c r="S35" s="34" t="b">
        <f t="shared" si="1"/>
        <v>1</v>
      </c>
      <c r="T35" s="34" t="b">
        <f t="shared" si="2"/>
        <v>0</v>
      </c>
      <c r="U35" s="34" t="b">
        <f t="shared" si="3"/>
        <v>1</v>
      </c>
    </row>
    <row r="36" spans="1:21" x14ac:dyDescent="0.3">
      <c r="A36" s="1">
        <v>45645</v>
      </c>
      <c r="B36" s="3">
        <f>Data!B36</f>
        <v>228.13070678710901</v>
      </c>
      <c r="C36" s="3">
        <f>Data!H36</f>
        <v>117.217765808105</v>
      </c>
      <c r="D36" s="3">
        <f>Data!N36</f>
        <v>42.618358612060497</v>
      </c>
      <c r="F36" s="1">
        <v>45645</v>
      </c>
      <c r="G36" s="4">
        <f t="shared" si="4"/>
        <v>1.1242746230780698E-2</v>
      </c>
      <c r="H36" s="4">
        <f t="shared" si="9"/>
        <v>-4.4613368731483138E-3</v>
      </c>
      <c r="I36" s="4">
        <f t="shared" si="10"/>
        <v>-2.7586232751567463E-3</v>
      </c>
      <c r="P36" s="1">
        <v>45645</v>
      </c>
      <c r="Q36" s="4">
        <f t="shared" si="5"/>
        <v>7.6070213742786004E-4</v>
      </c>
      <c r="R36" s="34">
        <f t="shared" si="6"/>
        <v>760.70213742786007</v>
      </c>
      <c r="S36" s="34" t="b">
        <f t="shared" si="1"/>
        <v>0</v>
      </c>
      <c r="T36" s="34" t="b">
        <f t="shared" si="2"/>
        <v>0</v>
      </c>
      <c r="U36" s="34" t="b">
        <f t="shared" si="3"/>
        <v>0</v>
      </c>
    </row>
    <row r="37" spans="1:21" x14ac:dyDescent="0.3">
      <c r="A37" s="1">
        <v>45646</v>
      </c>
      <c r="B37" s="3">
        <f>Data!B37</f>
        <v>232.67453002929599</v>
      </c>
      <c r="C37" s="3">
        <f>Data!H37</f>
        <v>120.07769775390599</v>
      </c>
      <c r="D37" s="3">
        <f>Data!N37</f>
        <v>43.39448928833</v>
      </c>
      <c r="F37" s="1">
        <v>45646</v>
      </c>
      <c r="G37" s="4">
        <f t="shared" si="4"/>
        <v>1.991763102030486E-2</v>
      </c>
      <c r="H37" s="4">
        <f t="shared" si="9"/>
        <v>2.4398451259367349E-2</v>
      </c>
      <c r="I37" s="4">
        <f t="shared" si="10"/>
        <v>1.8211181789855813E-2</v>
      </c>
      <c r="P37" s="1">
        <v>45646</v>
      </c>
      <c r="Q37" s="4">
        <f t="shared" si="5"/>
        <v>2.1198024346795141E-2</v>
      </c>
      <c r="R37" s="34">
        <f t="shared" si="6"/>
        <v>21198.02434679514</v>
      </c>
      <c r="S37" s="34" t="b">
        <f t="shared" si="1"/>
        <v>0</v>
      </c>
      <c r="T37" s="34" t="b">
        <f t="shared" si="2"/>
        <v>0</v>
      </c>
      <c r="U37" s="34" t="b">
        <f t="shared" si="3"/>
        <v>0</v>
      </c>
    </row>
    <row r="38" spans="1:21" x14ac:dyDescent="0.3">
      <c r="A38" s="1">
        <v>45649</v>
      </c>
      <c r="B38" s="3">
        <f>Data!B38</f>
        <v>233.448150634765</v>
      </c>
      <c r="C38" s="3">
        <f>Data!H38</f>
        <v>121.060173034667</v>
      </c>
      <c r="D38" s="3">
        <f>Data!N38</f>
        <v>43.1194038391113</v>
      </c>
      <c r="F38" s="1">
        <v>45649</v>
      </c>
      <c r="G38" s="4">
        <f t="shared" si="4"/>
        <v>3.3249045581895675E-3</v>
      </c>
      <c r="H38" s="4">
        <f t="shared" si="9"/>
        <v>8.181996316872775E-3</v>
      </c>
      <c r="I38" s="4">
        <f t="shared" si="10"/>
        <v>-6.3391793227689508E-3</v>
      </c>
      <c r="P38" s="1">
        <v>45649</v>
      </c>
      <c r="Q38" s="4">
        <f t="shared" si="5"/>
        <v>2.3685160973752951E-3</v>
      </c>
      <c r="R38" s="34">
        <f t="shared" si="6"/>
        <v>2368.516097375295</v>
      </c>
      <c r="S38" s="34" t="b">
        <f t="shared" si="1"/>
        <v>0</v>
      </c>
      <c r="T38" s="34" t="b">
        <f t="shared" si="2"/>
        <v>0</v>
      </c>
      <c r="U38" s="34" t="b">
        <f t="shared" si="3"/>
        <v>0</v>
      </c>
    </row>
    <row r="39" spans="1:21" x14ac:dyDescent="0.3">
      <c r="A39" s="1">
        <v>45650</v>
      </c>
      <c r="B39" s="3">
        <f>Data!B39</f>
        <v>237.28688049316401</v>
      </c>
      <c r="C39" s="3">
        <f>Data!H39</f>
        <v>123.599082946777</v>
      </c>
      <c r="D39" s="3">
        <f>Data!N39</f>
        <v>43.600803375244098</v>
      </c>
      <c r="F39" s="1">
        <v>45650</v>
      </c>
      <c r="G39" s="4">
        <f t="shared" si="4"/>
        <v>1.6443607918765535E-2</v>
      </c>
      <c r="H39" s="4">
        <f t="shared" si="9"/>
        <v>2.0972297069020041E-2</v>
      </c>
      <c r="I39" s="4">
        <f t="shared" si="10"/>
        <v>1.1164336546233722E-2</v>
      </c>
      <c r="P39" s="1">
        <v>45650</v>
      </c>
      <c r="Q39" s="4">
        <f t="shared" si="5"/>
        <v>1.6671302167107792E-2</v>
      </c>
      <c r="R39" s="34">
        <f t="shared" si="6"/>
        <v>16671.302167107791</v>
      </c>
      <c r="S39" s="34" t="b">
        <f t="shared" si="1"/>
        <v>0</v>
      </c>
      <c r="T39" s="34" t="b">
        <f t="shared" si="2"/>
        <v>0</v>
      </c>
      <c r="U39" s="34" t="b">
        <f t="shared" si="3"/>
        <v>0</v>
      </c>
    </row>
    <row r="40" spans="1:21" x14ac:dyDescent="0.3">
      <c r="A40" s="1">
        <v>45652</v>
      </c>
      <c r="B40" s="3">
        <f>Data!B40</f>
        <v>238.09967041015599</v>
      </c>
      <c r="C40" s="3">
        <f>Data!H40</f>
        <v>124.542663574218</v>
      </c>
      <c r="D40" s="3">
        <f>Data!N40</f>
        <v>43.767818450927699</v>
      </c>
      <c r="F40" s="1">
        <v>45652</v>
      </c>
      <c r="G40" s="4">
        <f t="shared" si="4"/>
        <v>3.425347053755079E-3</v>
      </c>
      <c r="H40" s="4">
        <f t="shared" si="9"/>
        <v>7.6342041133696803E-3</v>
      </c>
      <c r="I40" s="4">
        <f t="shared" si="10"/>
        <v>3.8305504200508711E-3</v>
      </c>
      <c r="P40" s="1">
        <v>45652</v>
      </c>
      <c r="Q40" s="4">
        <f t="shared" si="5"/>
        <v>5.2304508874896575E-3</v>
      </c>
      <c r="R40" s="34">
        <f t="shared" si="6"/>
        <v>5230.4508874896574</v>
      </c>
      <c r="S40" s="34" t="b">
        <f t="shared" si="1"/>
        <v>0</v>
      </c>
      <c r="T40" s="34" t="b">
        <f t="shared" si="2"/>
        <v>0</v>
      </c>
      <c r="U40" s="34" t="b">
        <f t="shared" si="3"/>
        <v>0</v>
      </c>
    </row>
    <row r="41" spans="1:21" x14ac:dyDescent="0.3">
      <c r="A41" s="1">
        <v>45653</v>
      </c>
      <c r="B41" s="3">
        <f>Data!B41</f>
        <v>236.17050170898401</v>
      </c>
      <c r="C41" s="3">
        <f>Data!H41</f>
        <v>123.307258605957</v>
      </c>
      <c r="D41" s="3">
        <f>Data!N41</f>
        <v>43.561504364013601</v>
      </c>
      <c r="F41" s="1">
        <v>45653</v>
      </c>
      <c r="G41" s="4">
        <f t="shared" si="4"/>
        <v>-8.1023577136782876E-3</v>
      </c>
      <c r="H41" s="4">
        <f t="shared" si="9"/>
        <v>-9.9195322534979535E-3</v>
      </c>
      <c r="I41" s="4">
        <f t="shared" si="10"/>
        <v>-4.7138307143504976E-3</v>
      </c>
      <c r="P41" s="1">
        <v>45653</v>
      </c>
      <c r="Q41" s="4">
        <f t="shared" si="5"/>
        <v>-7.8126694298078173E-3</v>
      </c>
      <c r="R41" s="34">
        <f t="shared" si="6"/>
        <v>-7812.6694298078173</v>
      </c>
      <c r="S41" s="34" t="b">
        <f t="shared" si="1"/>
        <v>0</v>
      </c>
      <c r="T41" s="34" t="b">
        <f t="shared" si="2"/>
        <v>0</v>
      </c>
      <c r="U41" s="34" t="b">
        <f t="shared" si="3"/>
        <v>0</v>
      </c>
    </row>
    <row r="42" spans="1:21" x14ac:dyDescent="0.3">
      <c r="A42" s="1">
        <v>45656</v>
      </c>
      <c r="B42" s="3">
        <f>Data!B42</f>
        <v>234.35887145996</v>
      </c>
      <c r="C42" s="3">
        <f>Data!H42</f>
        <v>122.3247756958</v>
      </c>
      <c r="D42" s="3">
        <f>Data!N42</f>
        <v>43.139053344726499</v>
      </c>
      <c r="F42" s="1">
        <v>45656</v>
      </c>
      <c r="G42" s="4">
        <f t="shared" si="4"/>
        <v>-7.6708574352624126E-3</v>
      </c>
      <c r="H42" s="4">
        <f t="shared" si="9"/>
        <v>-7.9677621679730137E-3</v>
      </c>
      <c r="I42" s="4">
        <f t="shared" si="10"/>
        <v>-9.6978060205856753E-3</v>
      </c>
      <c r="P42" s="1">
        <v>45656</v>
      </c>
      <c r="Q42" s="4">
        <f t="shared" si="5"/>
        <v>-8.3977039039436312E-3</v>
      </c>
      <c r="R42" s="34">
        <f t="shared" si="6"/>
        <v>-8397.7039039436313</v>
      </c>
      <c r="S42" s="34" t="b">
        <f t="shared" si="1"/>
        <v>0</v>
      </c>
      <c r="T42" s="34" t="b">
        <f t="shared" si="2"/>
        <v>0</v>
      </c>
      <c r="U42" s="34" t="b">
        <f t="shared" si="3"/>
        <v>0</v>
      </c>
    </row>
    <row r="43" spans="1:21" x14ac:dyDescent="0.3">
      <c r="A43" s="1">
        <v>45657</v>
      </c>
      <c r="B43" s="3">
        <f>Data!B43</f>
        <v>234.74078369140599</v>
      </c>
      <c r="C43" s="3">
        <f>Data!H43</f>
        <v>122.29557800292901</v>
      </c>
      <c r="D43" s="3">
        <f>Data!N43</f>
        <v>43.178352355957003</v>
      </c>
      <c r="F43" s="1">
        <v>45657</v>
      </c>
      <c r="G43" s="4">
        <f t="shared" si="4"/>
        <v>1.629604328894585E-3</v>
      </c>
      <c r="H43" s="4">
        <f t="shared" si="9"/>
        <v>-2.3868993590969723E-4</v>
      </c>
      <c r="I43" s="4">
        <f t="shared" si="10"/>
        <v>9.1098455305593795E-4</v>
      </c>
      <c r="P43" s="1">
        <v>45657</v>
      </c>
      <c r="Q43" s="4">
        <f t="shared" si="5"/>
        <v>6.6670069022127792E-4</v>
      </c>
      <c r="R43" s="34">
        <f t="shared" si="6"/>
        <v>666.70069022127791</v>
      </c>
      <c r="S43" s="34" t="b">
        <f t="shared" si="1"/>
        <v>0</v>
      </c>
      <c r="T43" s="34" t="b">
        <f t="shared" si="2"/>
        <v>0</v>
      </c>
      <c r="U43" s="34" t="b">
        <f t="shared" si="3"/>
        <v>0</v>
      </c>
    </row>
    <row r="44" spans="1:21" x14ac:dyDescent="0.3">
      <c r="A44" s="1">
        <v>45659</v>
      </c>
      <c r="B44" s="3">
        <f>Data!B44</f>
        <v>235.02474975585901</v>
      </c>
      <c r="C44" s="3">
        <f>Data!H44</f>
        <v>121.38118743896401</v>
      </c>
      <c r="D44" s="3">
        <f>Data!N44</f>
        <v>43.512382507324197</v>
      </c>
      <c r="F44" s="1">
        <v>45659</v>
      </c>
      <c r="G44" s="4">
        <f t="shared" si="4"/>
        <v>1.2097005896782864E-3</v>
      </c>
      <c r="H44" s="4">
        <f t="shared" si="9"/>
        <v>-7.4768898344230728E-3</v>
      </c>
      <c r="I44" s="4">
        <f t="shared" si="10"/>
        <v>7.7360559896655356E-3</v>
      </c>
      <c r="P44" s="1">
        <v>45659</v>
      </c>
      <c r="Q44" s="4">
        <f t="shared" si="5"/>
        <v>-3.0702895996608274E-4</v>
      </c>
      <c r="R44" s="34">
        <f t="shared" si="6"/>
        <v>-307.02895996608277</v>
      </c>
      <c r="S44" s="34" t="b">
        <f t="shared" si="1"/>
        <v>0</v>
      </c>
      <c r="T44" s="34" t="b">
        <f t="shared" si="2"/>
        <v>0</v>
      </c>
      <c r="U44" s="34" t="b">
        <f t="shared" si="3"/>
        <v>0</v>
      </c>
    </row>
    <row r="45" spans="1:21" x14ac:dyDescent="0.3">
      <c r="A45" s="1">
        <v>45660</v>
      </c>
      <c r="B45" s="3">
        <f>Data!B45</f>
        <v>238.23677062988199</v>
      </c>
      <c r="C45" s="3">
        <f>Data!H45</f>
        <v>122.509590148925</v>
      </c>
      <c r="D45" s="3">
        <f>Data!N45</f>
        <v>44.0232543945312</v>
      </c>
      <c r="F45" s="1">
        <v>45660</v>
      </c>
      <c r="G45" s="4">
        <f t="shared" si="4"/>
        <v>1.3666734577356676E-2</v>
      </c>
      <c r="H45" s="4">
        <f t="shared" si="9"/>
        <v>9.2963558337935126E-3</v>
      </c>
      <c r="I45" s="4">
        <f t="shared" si="10"/>
        <v>1.1740839222513566E-2</v>
      </c>
      <c r="P45" s="1">
        <v>45660</v>
      </c>
      <c r="Q45" s="4">
        <f t="shared" si="5"/>
        <v>1.1340814473478476E-2</v>
      </c>
      <c r="R45" s="34">
        <f t="shared" si="6"/>
        <v>11340.814473478476</v>
      </c>
      <c r="S45" s="34" t="b">
        <f t="shared" si="1"/>
        <v>0</v>
      </c>
      <c r="T45" s="34" t="b">
        <f t="shared" si="2"/>
        <v>0</v>
      </c>
      <c r="U45" s="34" t="b">
        <f t="shared" si="3"/>
        <v>0</v>
      </c>
    </row>
    <row r="46" spans="1:21" x14ac:dyDescent="0.3">
      <c r="A46" s="1">
        <v>45663</v>
      </c>
      <c r="B46" s="3">
        <f>Data!B46</f>
        <v>237.07528686523401</v>
      </c>
      <c r="C46" s="3">
        <f>Data!H46</f>
        <v>125.13604736328099</v>
      </c>
      <c r="D46" s="3">
        <f>Data!N46</f>
        <v>44.602893829345703</v>
      </c>
      <c r="F46" s="1">
        <v>45663</v>
      </c>
      <c r="G46" s="4">
        <f t="shared" si="4"/>
        <v>-4.8753337344906722E-3</v>
      </c>
      <c r="H46" s="4">
        <f t="shared" si="9"/>
        <v>2.1438788679018606E-2</v>
      </c>
      <c r="I46" s="4">
        <f t="shared" si="10"/>
        <v>1.3166664818094587E-2</v>
      </c>
      <c r="P46" s="1">
        <v>45663</v>
      </c>
      <c r="Q46" s="4">
        <f t="shared" si="5"/>
        <v>1.1062914796688618E-2</v>
      </c>
      <c r="R46" s="34">
        <f t="shared" si="6"/>
        <v>11062.914796688618</v>
      </c>
      <c r="S46" s="34" t="b">
        <f t="shared" si="1"/>
        <v>0</v>
      </c>
      <c r="T46" s="34" t="b">
        <f t="shared" si="2"/>
        <v>0</v>
      </c>
      <c r="U46" s="34" t="b">
        <f t="shared" si="3"/>
        <v>0</v>
      </c>
    </row>
    <row r="47" spans="1:21" x14ac:dyDescent="0.3">
      <c r="A47" s="1">
        <v>45664</v>
      </c>
      <c r="B47" s="3">
        <f>Data!B47</f>
        <v>239.35890197753901</v>
      </c>
      <c r="C47" s="3">
        <f>Data!H47</f>
        <v>123.42398071289</v>
      </c>
      <c r="D47" s="3">
        <f>Data!N47</f>
        <v>45.270957946777301</v>
      </c>
      <c r="F47" s="1">
        <v>45664</v>
      </c>
      <c r="G47" s="4">
        <f t="shared" si="4"/>
        <v>9.6324469011530578E-3</v>
      </c>
      <c r="H47" s="4">
        <f t="shared" si="9"/>
        <v>-1.3681642392145532E-2</v>
      </c>
      <c r="I47" s="4">
        <f t="shared" si="10"/>
        <v>1.4978044249498002E-2</v>
      </c>
      <c r="P47" s="1">
        <v>45664</v>
      </c>
      <c r="Q47" s="4">
        <f t="shared" si="5"/>
        <v>1.9104903883371037E-3</v>
      </c>
      <c r="R47" s="34">
        <f t="shared" si="6"/>
        <v>1910.4903883371037</v>
      </c>
      <c r="S47" s="34" t="b">
        <f t="shared" si="1"/>
        <v>0</v>
      </c>
      <c r="T47" s="34" t="b">
        <f t="shared" si="2"/>
        <v>0</v>
      </c>
      <c r="U47" s="34" t="b">
        <f t="shared" si="3"/>
        <v>0</v>
      </c>
    </row>
    <row r="48" spans="1:21" x14ac:dyDescent="0.3">
      <c r="A48" s="1">
        <v>45665</v>
      </c>
      <c r="B48" s="3">
        <f>Data!B48</f>
        <v>239.31954956054599</v>
      </c>
      <c r="C48" s="3">
        <f>Data!H48</f>
        <v>124.377296447753</v>
      </c>
      <c r="D48" s="3">
        <f>Data!N48</f>
        <v>45.398670196533203</v>
      </c>
      <c r="F48" s="1">
        <v>45665</v>
      </c>
      <c r="G48" s="4">
        <f t="shared" si="4"/>
        <v>-1.644075765216968E-4</v>
      </c>
      <c r="H48" s="4">
        <f t="shared" si="9"/>
        <v>7.72391012959317E-3</v>
      </c>
      <c r="I48" s="4">
        <f t="shared" si="10"/>
        <v>2.8210635592480493E-3</v>
      </c>
      <c r="P48" s="1">
        <v>45665</v>
      </c>
      <c r="Q48" s="4">
        <f t="shared" si="5"/>
        <v>3.8865608466551742E-3</v>
      </c>
      <c r="R48" s="34">
        <f t="shared" si="6"/>
        <v>3886.5608466551744</v>
      </c>
      <c r="S48" s="34" t="b">
        <f t="shared" si="1"/>
        <v>0</v>
      </c>
      <c r="T48" s="34" t="b">
        <f t="shared" si="2"/>
        <v>0</v>
      </c>
      <c r="U48" s="34" t="b">
        <f t="shared" si="3"/>
        <v>0</v>
      </c>
    </row>
    <row r="49" spans="1:21" x14ac:dyDescent="0.3">
      <c r="A49" s="1">
        <v>45667</v>
      </c>
      <c r="B49" s="3">
        <f>Data!B49</f>
        <v>236.11061096191401</v>
      </c>
      <c r="C49" s="3">
        <f>Data!H49</f>
        <v>120.08740997314401</v>
      </c>
      <c r="D49" s="3">
        <f>Data!N49</f>
        <v>44.317985534667898</v>
      </c>
      <c r="F49" s="1">
        <v>45667</v>
      </c>
      <c r="G49" s="4">
        <f t="shared" si="4"/>
        <v>-1.3408593675378611E-2</v>
      </c>
      <c r="H49" s="4">
        <f t="shared" si="9"/>
        <v>-3.4490912707778931E-2</v>
      </c>
      <c r="I49" s="4">
        <f t="shared" si="10"/>
        <v>-2.380432416163214E-2</v>
      </c>
      <c r="P49" s="1">
        <v>45667</v>
      </c>
      <c r="Q49" s="4">
        <f t="shared" si="5"/>
        <v>-2.4960240434214798E-2</v>
      </c>
      <c r="R49" s="34">
        <f t="shared" si="6"/>
        <v>-24960.240434214797</v>
      </c>
      <c r="S49" s="34" t="b">
        <f t="shared" si="1"/>
        <v>0</v>
      </c>
      <c r="T49" s="34" t="b">
        <f t="shared" si="2"/>
        <v>0</v>
      </c>
      <c r="U49" s="34" t="b">
        <f t="shared" si="3"/>
        <v>0</v>
      </c>
    </row>
    <row r="50" spans="1:21" x14ac:dyDescent="0.3">
      <c r="A50" s="1">
        <v>45670</v>
      </c>
      <c r="B50" s="3">
        <f>Data!B50</f>
        <v>240.38261413574199</v>
      </c>
      <c r="C50" s="3">
        <f>Data!H50</f>
        <v>120.612701416015</v>
      </c>
      <c r="D50" s="3">
        <f>Data!N50</f>
        <v>44.268863677978501</v>
      </c>
      <c r="F50" s="1">
        <v>45670</v>
      </c>
      <c r="G50" s="4">
        <f t="shared" si="4"/>
        <v>1.8093228239187686E-2</v>
      </c>
      <c r="H50" s="4">
        <f t="shared" si="9"/>
        <v>4.3742424204875618E-3</v>
      </c>
      <c r="I50" s="4">
        <f t="shared" si="10"/>
        <v>-1.108395521519645E-3</v>
      </c>
      <c r="P50" s="1">
        <v>45670</v>
      </c>
      <c r="Q50" s="4">
        <f t="shared" si="5"/>
        <v>6.8451467834954368E-3</v>
      </c>
      <c r="R50" s="34">
        <f t="shared" si="6"/>
        <v>6845.1467834954365</v>
      </c>
      <c r="S50" s="34" t="b">
        <f t="shared" si="1"/>
        <v>0</v>
      </c>
      <c r="T50" s="34" t="b">
        <f t="shared" si="2"/>
        <v>0</v>
      </c>
      <c r="U50" s="34" t="b">
        <f t="shared" si="3"/>
        <v>0</v>
      </c>
    </row>
    <row r="51" spans="1:21" x14ac:dyDescent="0.3">
      <c r="A51" s="1">
        <v>45671</v>
      </c>
      <c r="B51" s="3">
        <f>Data!B51</f>
        <v>243.59150695800699</v>
      </c>
      <c r="C51" s="3">
        <f>Data!H51</f>
        <v>121.22555541992099</v>
      </c>
      <c r="D51" s="3">
        <f>Data!N51</f>
        <v>44.976222991943303</v>
      </c>
      <c r="F51" s="1">
        <v>45671</v>
      </c>
      <c r="G51" s="4">
        <f t="shared" si="4"/>
        <v>1.3349105274531148E-2</v>
      </c>
      <c r="H51" s="4">
        <f t="shared" si="9"/>
        <v>5.0811730166970825E-3</v>
      </c>
      <c r="I51" s="4">
        <f t="shared" si="10"/>
        <v>1.5978709530705126E-2</v>
      </c>
      <c r="P51" s="1">
        <v>45671</v>
      </c>
      <c r="Q51" s="4">
        <f t="shared" si="5"/>
        <v>1.0830813648249716E-2</v>
      </c>
      <c r="R51" s="34">
        <f t="shared" si="6"/>
        <v>10830.813648249716</v>
      </c>
      <c r="S51" s="34" t="b">
        <f t="shared" si="1"/>
        <v>0</v>
      </c>
      <c r="T51" s="34" t="b">
        <f t="shared" si="2"/>
        <v>0</v>
      </c>
      <c r="U51" s="34" t="b">
        <f t="shared" si="3"/>
        <v>0</v>
      </c>
    </row>
    <row r="52" spans="1:21" x14ac:dyDescent="0.3">
      <c r="A52" s="1">
        <v>45672</v>
      </c>
      <c r="B52" s="3">
        <f>Data!B52</f>
        <v>248.39503479003901</v>
      </c>
      <c r="C52" s="3">
        <f>Data!H52</f>
        <v>126.99403381347599</v>
      </c>
      <c r="D52" s="3">
        <f>Data!N52</f>
        <v>46.273048400878899</v>
      </c>
      <c r="F52" s="1">
        <v>45672</v>
      </c>
      <c r="G52" s="4">
        <f t="shared" si="4"/>
        <v>1.9719603084766391E-2</v>
      </c>
      <c r="H52" s="4">
        <f t="shared" si="9"/>
        <v>4.7584672832169828E-2</v>
      </c>
      <c r="I52" s="4">
        <f t="shared" si="10"/>
        <v>2.8833577447530345E-2</v>
      </c>
      <c r="P52" s="1">
        <v>45672</v>
      </c>
      <c r="Q52" s="4">
        <f t="shared" si="5"/>
        <v>3.3599823292556952E-2</v>
      </c>
      <c r="R52" s="34">
        <f t="shared" si="6"/>
        <v>33599.823292556954</v>
      </c>
      <c r="S52" s="34" t="b">
        <f t="shared" si="1"/>
        <v>0</v>
      </c>
      <c r="T52" s="34" t="b">
        <f t="shared" si="2"/>
        <v>0</v>
      </c>
      <c r="U52" s="34" t="b">
        <f t="shared" si="3"/>
        <v>0</v>
      </c>
    </row>
    <row r="53" spans="1:21" x14ac:dyDescent="0.3">
      <c r="A53" s="1">
        <v>45673</v>
      </c>
      <c r="B53" s="3">
        <f>Data!B53</f>
        <v>250.28494262695301</v>
      </c>
      <c r="C53" s="3">
        <f>Data!H53</f>
        <v>132.11076354980401</v>
      </c>
      <c r="D53" s="3">
        <f>Data!N53</f>
        <v>45.8211250305175</v>
      </c>
      <c r="F53" s="1">
        <v>45673</v>
      </c>
      <c r="G53" s="4">
        <f t="shared" si="4"/>
        <v>7.6084767093331784E-3</v>
      </c>
      <c r="H53" s="4">
        <f t="shared" si="9"/>
        <v>4.0291103311540288E-2</v>
      </c>
      <c r="I53" s="4">
        <f t="shared" si="10"/>
        <v>-9.76644906655455E-3</v>
      </c>
      <c r="P53" s="1">
        <v>45673</v>
      </c>
      <c r="Q53" s="4">
        <f t="shared" si="5"/>
        <v>1.5469049617449706E-2</v>
      </c>
      <c r="R53" s="34">
        <f t="shared" si="6"/>
        <v>15469.049617449706</v>
      </c>
      <c r="S53" s="34" t="b">
        <f t="shared" si="1"/>
        <v>0</v>
      </c>
      <c r="T53" s="34" t="b">
        <f t="shared" si="2"/>
        <v>0</v>
      </c>
      <c r="U53" s="34" t="b">
        <f t="shared" si="3"/>
        <v>0</v>
      </c>
    </row>
    <row r="54" spans="1:21" x14ac:dyDescent="0.3">
      <c r="A54" s="1">
        <v>45674</v>
      </c>
      <c r="B54" s="3">
        <f>Data!B54</f>
        <v>255.09829711914</v>
      </c>
      <c r="C54" s="3">
        <f>Data!H54</f>
        <v>134.11463928222599</v>
      </c>
      <c r="D54" s="3">
        <f>Data!N54</f>
        <v>45.713054656982401</v>
      </c>
      <c r="F54" s="1">
        <v>45674</v>
      </c>
      <c r="G54" s="4">
        <f t="shared" si="4"/>
        <v>1.9231498473966324E-2</v>
      </c>
      <c r="H54" s="4">
        <f t="shared" si="9"/>
        <v>1.5168148897016565E-2</v>
      </c>
      <c r="I54" s="4">
        <f t="shared" si="10"/>
        <v>-2.3585272832808979E-3</v>
      </c>
      <c r="P54" s="1">
        <v>45674</v>
      </c>
      <c r="Q54" s="4">
        <f t="shared" si="5"/>
        <v>1.1129150916012255E-2</v>
      </c>
      <c r="R54" s="34">
        <f t="shared" si="6"/>
        <v>11129.150916012255</v>
      </c>
      <c r="S54" s="34" t="b">
        <f t="shared" si="1"/>
        <v>0</v>
      </c>
      <c r="T54" s="34" t="b">
        <f t="shared" si="2"/>
        <v>0</v>
      </c>
      <c r="U54" s="34" t="b">
        <f t="shared" si="3"/>
        <v>0</v>
      </c>
    </row>
    <row r="55" spans="1:21" x14ac:dyDescent="0.3">
      <c r="A55" s="1">
        <v>45678</v>
      </c>
      <c r="B55" s="3">
        <f>Data!B55</f>
        <v>258.907623291015</v>
      </c>
      <c r="C55" s="3">
        <f>Data!H55</f>
        <v>133.56016540527301</v>
      </c>
      <c r="D55" s="3">
        <f>Data!N55</f>
        <v>45.840770721435497</v>
      </c>
      <c r="F55" s="1">
        <v>45678</v>
      </c>
      <c r="G55" s="4">
        <f t="shared" si="4"/>
        <v>1.4932777736638148E-2</v>
      </c>
      <c r="H55" s="4">
        <f t="shared" si="9"/>
        <v>-4.1343277655631061E-3</v>
      </c>
      <c r="I55" s="4">
        <f t="shared" si="10"/>
        <v>2.7938641469364978E-3</v>
      </c>
      <c r="P55" s="1">
        <v>45678</v>
      </c>
      <c r="Q55" s="4">
        <f t="shared" si="5"/>
        <v>3.6642614588471511E-3</v>
      </c>
      <c r="R55" s="34">
        <f t="shared" si="6"/>
        <v>3664.2614588471511</v>
      </c>
      <c r="S55" s="34" t="b">
        <f t="shared" si="1"/>
        <v>0</v>
      </c>
      <c r="T55" s="34" t="b">
        <f t="shared" si="2"/>
        <v>0</v>
      </c>
      <c r="U55" s="34" t="b">
        <f t="shared" si="3"/>
        <v>0</v>
      </c>
    </row>
    <row r="56" spans="1:21" x14ac:dyDescent="0.3">
      <c r="A56" s="1">
        <v>45679</v>
      </c>
      <c r="B56" s="3">
        <f>Data!B56</f>
        <v>258.72064208984301</v>
      </c>
      <c r="C56" s="3">
        <f>Data!H56</f>
        <v>132.29559326171801</v>
      </c>
      <c r="D56" s="3">
        <f>Data!N56</f>
        <v>44.986045837402301</v>
      </c>
      <c r="F56" s="1">
        <v>45679</v>
      </c>
      <c r="G56" s="4">
        <f t="shared" si="4"/>
        <v>-7.2219272184903538E-4</v>
      </c>
      <c r="H56" s="4">
        <f t="shared" si="9"/>
        <v>-9.4681834191938652E-3</v>
      </c>
      <c r="I56" s="4">
        <f t="shared" si="10"/>
        <v>-1.8645517310936444E-2</v>
      </c>
      <c r="P56" s="1">
        <v>45679</v>
      </c>
      <c r="Q56" s="4">
        <f t="shared" si="5"/>
        <v>-9.5975863775131891E-3</v>
      </c>
      <c r="R56" s="34">
        <f t="shared" si="6"/>
        <v>-9597.5863775131893</v>
      </c>
      <c r="S56" s="34" t="b">
        <f t="shared" si="1"/>
        <v>0</v>
      </c>
      <c r="T56" s="34" t="b">
        <f t="shared" si="2"/>
        <v>0</v>
      </c>
      <c r="U56" s="34" t="b">
        <f t="shared" si="3"/>
        <v>0</v>
      </c>
    </row>
    <row r="57" spans="1:21" x14ac:dyDescent="0.3">
      <c r="A57" s="1">
        <v>45680</v>
      </c>
      <c r="B57" s="3">
        <f>Data!B57</f>
        <v>261.78189086914</v>
      </c>
      <c r="C57" s="3">
        <f>Data!H57</f>
        <v>134.04655456542901</v>
      </c>
      <c r="D57" s="3">
        <f>Data!N57</f>
        <v>45.575511932372997</v>
      </c>
      <c r="F57" s="1">
        <v>45680</v>
      </c>
      <c r="G57" s="4">
        <f t="shared" si="4"/>
        <v>1.183225565061008E-2</v>
      </c>
      <c r="H57" s="4">
        <f t="shared" si="9"/>
        <v>1.3235220165248363E-2</v>
      </c>
      <c r="I57" s="4">
        <f t="shared" si="10"/>
        <v>1.3103309793024875E-2</v>
      </c>
      <c r="P57" s="1">
        <v>45680</v>
      </c>
      <c r="Q57" s="4">
        <f t="shared" si="5"/>
        <v>1.2774757699189832E-2</v>
      </c>
      <c r="R57" s="34">
        <f t="shared" si="6"/>
        <v>12774.757699189831</v>
      </c>
      <c r="S57" s="34" t="b">
        <f t="shared" si="1"/>
        <v>0</v>
      </c>
      <c r="T57" s="34" t="b">
        <f t="shared" si="2"/>
        <v>0</v>
      </c>
      <c r="U57" s="34" t="b">
        <f t="shared" si="3"/>
        <v>0</v>
      </c>
    </row>
    <row r="58" spans="1:21" x14ac:dyDescent="0.3">
      <c r="A58" s="1">
        <v>45681</v>
      </c>
      <c r="B58" s="3">
        <f>Data!B58</f>
        <v>260.68930053710898</v>
      </c>
      <c r="C58" s="3">
        <f>Data!H58</f>
        <v>134.06600952148401</v>
      </c>
      <c r="D58" s="3">
        <f>Data!N58</f>
        <v>45.703231811523402</v>
      </c>
      <c r="F58" s="1">
        <v>45681</v>
      </c>
      <c r="G58" s="4">
        <f t="shared" si="4"/>
        <v>-4.1736665909299919E-3</v>
      </c>
      <c r="H58" s="4">
        <f t="shared" si="9"/>
        <v>1.4513581582220603E-4</v>
      </c>
      <c r="I58" s="4">
        <f t="shared" si="10"/>
        <v>2.8023794738700758E-3</v>
      </c>
      <c r="P58" s="1">
        <v>45681</v>
      </c>
      <c r="Q58" s="4">
        <f t="shared" si="5"/>
        <v>-3.5333180878909236E-4</v>
      </c>
      <c r="R58" s="34">
        <f t="shared" si="6"/>
        <v>-353.33180878909235</v>
      </c>
      <c r="S58" s="34" t="b">
        <f t="shared" si="1"/>
        <v>0</v>
      </c>
      <c r="T58" s="34" t="b">
        <f t="shared" si="2"/>
        <v>0</v>
      </c>
      <c r="U58" s="34" t="b">
        <f t="shared" si="3"/>
        <v>0</v>
      </c>
    </row>
    <row r="59" spans="1:21" x14ac:dyDescent="0.3">
      <c r="A59" s="1">
        <v>45684</v>
      </c>
      <c r="B59" s="3">
        <f>Data!B59</f>
        <v>261.68344116210898</v>
      </c>
      <c r="C59" s="3">
        <f>Data!H59</f>
        <v>132.92787170410099</v>
      </c>
      <c r="D59" s="3">
        <f>Data!N59</f>
        <v>46.263221740722599</v>
      </c>
      <c r="F59" s="1">
        <v>45684</v>
      </c>
      <c r="G59" s="4">
        <f t="shared" si="4"/>
        <v>3.8135075852814282E-3</v>
      </c>
      <c r="H59" s="4">
        <f t="shared" si="9"/>
        <v>-8.4893838598263383E-3</v>
      </c>
      <c r="I59" s="4">
        <f t="shared" si="10"/>
        <v>1.2252742464877509E-2</v>
      </c>
      <c r="P59" s="1">
        <v>45684</v>
      </c>
      <c r="Q59" s="4">
        <f t="shared" si="5"/>
        <v>1.4241214711171448E-3</v>
      </c>
      <c r="R59" s="34">
        <f t="shared" si="6"/>
        <v>1424.1214711171449</v>
      </c>
      <c r="S59" s="34" t="b">
        <f t="shared" si="1"/>
        <v>0</v>
      </c>
      <c r="T59" s="34" t="b">
        <f t="shared" si="2"/>
        <v>0</v>
      </c>
      <c r="U59" s="34" t="b">
        <f t="shared" si="3"/>
        <v>0</v>
      </c>
    </row>
    <row r="60" spans="1:21" x14ac:dyDescent="0.3">
      <c r="A60" s="1">
        <v>45685</v>
      </c>
      <c r="B60" s="3">
        <f>Data!B60</f>
        <v>262.95324707031199</v>
      </c>
      <c r="C60" s="3">
        <f>Data!H60</f>
        <v>134.76638793945301</v>
      </c>
      <c r="D60" s="3">
        <f>Data!N60</f>
        <v>46.017608642578097</v>
      </c>
      <c r="F60" s="1">
        <v>45685</v>
      </c>
      <c r="G60" s="4">
        <f t="shared" si="4"/>
        <v>4.8524503597320301E-3</v>
      </c>
      <c r="H60" s="4">
        <f t="shared" si="9"/>
        <v>1.383093110408451E-2</v>
      </c>
      <c r="I60" s="4">
        <f t="shared" si="10"/>
        <v>-5.3090357502773022E-3</v>
      </c>
      <c r="P60" s="1">
        <v>45685</v>
      </c>
      <c r="Q60" s="4">
        <f t="shared" si="5"/>
        <v>5.3953968244702223E-3</v>
      </c>
      <c r="R60" s="34">
        <f t="shared" si="6"/>
        <v>5395.3968244702228</v>
      </c>
      <c r="S60" s="34" t="b">
        <f t="shared" si="1"/>
        <v>0</v>
      </c>
      <c r="T60" s="34" t="b">
        <f t="shared" si="2"/>
        <v>0</v>
      </c>
      <c r="U60" s="34" t="b">
        <f t="shared" si="3"/>
        <v>0</v>
      </c>
    </row>
    <row r="61" spans="1:21" x14ac:dyDescent="0.3">
      <c r="A61" s="1">
        <v>45686</v>
      </c>
      <c r="B61" s="3">
        <f>Data!B61</f>
        <v>262.40200805664</v>
      </c>
      <c r="C61" s="3">
        <f>Data!H61</f>
        <v>134.93176269531199</v>
      </c>
      <c r="D61" s="3">
        <f>Data!N61</f>
        <v>45.929191589355398</v>
      </c>
      <c r="F61" s="1">
        <v>45686</v>
      </c>
      <c r="G61" s="4">
        <f t="shared" si="4"/>
        <v>-2.0963384929206796E-3</v>
      </c>
      <c r="H61" s="4">
        <f t="shared" si="9"/>
        <v>1.2271216761650106E-3</v>
      </c>
      <c r="I61" s="4">
        <f t="shared" si="10"/>
        <v>-1.9213743571387942E-3</v>
      </c>
      <c r="P61" s="1">
        <v>45686</v>
      </c>
      <c r="Q61" s="4">
        <f t="shared" si="5"/>
        <v>-7.1446518455183796E-4</v>
      </c>
      <c r="R61" s="34">
        <f t="shared" si="6"/>
        <v>-714.46518455183798</v>
      </c>
      <c r="S61" s="34" t="b">
        <f t="shared" si="1"/>
        <v>0</v>
      </c>
      <c r="T61" s="34" t="b">
        <f t="shared" si="2"/>
        <v>0</v>
      </c>
      <c r="U61" s="34" t="b">
        <f t="shared" si="3"/>
        <v>0</v>
      </c>
    </row>
    <row r="62" spans="1:21" x14ac:dyDescent="0.3">
      <c r="A62" s="1">
        <v>45687</v>
      </c>
      <c r="B62" s="3">
        <f>Data!B62</f>
        <v>264.02615356445301</v>
      </c>
      <c r="C62" s="3">
        <f>Data!H62</f>
        <v>136.12826538085901</v>
      </c>
      <c r="D62" s="3">
        <f>Data!N62</f>
        <v>45.899715423583899</v>
      </c>
      <c r="F62" s="1">
        <v>45687</v>
      </c>
      <c r="G62" s="4">
        <f t="shared" si="4"/>
        <v>6.1895315506215187E-3</v>
      </c>
      <c r="H62" s="4">
        <f t="shared" si="9"/>
        <v>8.8674650182167802E-3</v>
      </c>
      <c r="I62" s="4">
        <f t="shared" si="10"/>
        <v>-6.4177410382137978E-4</v>
      </c>
      <c r="P62" s="1">
        <v>45687</v>
      </c>
      <c r="Q62" s="4">
        <f t="shared" si="5"/>
        <v>5.2113132413267533E-3</v>
      </c>
      <c r="R62" s="34">
        <f t="shared" si="6"/>
        <v>5211.3132413267531</v>
      </c>
      <c r="S62" s="34" t="b">
        <f t="shared" si="1"/>
        <v>0</v>
      </c>
      <c r="T62" s="34" t="b">
        <f t="shared" si="2"/>
        <v>0</v>
      </c>
      <c r="U62" s="34" t="b">
        <f t="shared" si="3"/>
        <v>0</v>
      </c>
    </row>
    <row r="63" spans="1:21" x14ac:dyDescent="0.3">
      <c r="A63" s="1">
        <v>45688</v>
      </c>
      <c r="B63" s="3">
        <f>Data!B63</f>
        <v>263.11071777343699</v>
      </c>
      <c r="C63" s="3">
        <f>Data!H63</f>
        <v>135.55538940429599</v>
      </c>
      <c r="D63" s="3">
        <f>Data!N63</f>
        <v>45.487094879150298</v>
      </c>
      <c r="F63" s="1">
        <v>45688</v>
      </c>
      <c r="G63" s="4">
        <f t="shared" si="4"/>
        <v>-3.4672163293570923E-3</v>
      </c>
      <c r="H63" s="4">
        <f t="shared" si="9"/>
        <v>-4.2083543411077784E-3</v>
      </c>
      <c r="I63" s="4">
        <f t="shared" si="10"/>
        <v>-8.9896100798392276E-3</v>
      </c>
      <c r="P63" s="1">
        <v>45688</v>
      </c>
      <c r="Q63" s="4">
        <f t="shared" si="5"/>
        <v>-5.4203896592020075E-3</v>
      </c>
      <c r="R63" s="34">
        <f t="shared" si="6"/>
        <v>-5420.3896592020074</v>
      </c>
      <c r="S63" s="34" t="b">
        <f t="shared" si="1"/>
        <v>0</v>
      </c>
      <c r="T63" s="34" t="b">
        <f t="shared" si="2"/>
        <v>0</v>
      </c>
      <c r="U63" s="34" t="b">
        <f t="shared" si="3"/>
        <v>0</v>
      </c>
    </row>
    <row r="64" spans="1:21" x14ac:dyDescent="0.3">
      <c r="A64" s="1">
        <v>45691</v>
      </c>
      <c r="B64" s="3">
        <f>Data!B64</f>
        <v>262.62838745117102</v>
      </c>
      <c r="C64" s="3">
        <f>Data!H64</f>
        <v>134.31178283691401</v>
      </c>
      <c r="D64" s="3">
        <f>Data!N64</f>
        <v>45.398670196533203</v>
      </c>
      <c r="F64" s="1">
        <v>45691</v>
      </c>
      <c r="G64" s="4">
        <f t="shared" si="4"/>
        <v>-1.8331838639933373E-3</v>
      </c>
      <c r="H64" s="4">
        <f t="shared" si="9"/>
        <v>-9.1741580533762912E-3</v>
      </c>
      <c r="I64" s="4">
        <f t="shared" si="10"/>
        <v>-1.9439509788879983E-3</v>
      </c>
      <c r="P64" s="1">
        <v>45691</v>
      </c>
      <c r="Q64" s="4">
        <f t="shared" si="5"/>
        <v>-4.802803674214917E-3</v>
      </c>
      <c r="R64" s="34">
        <f t="shared" si="6"/>
        <v>-4802.803674214917</v>
      </c>
      <c r="S64" s="34" t="b">
        <f t="shared" si="1"/>
        <v>0</v>
      </c>
      <c r="T64" s="34" t="b">
        <f t="shared" si="2"/>
        <v>0</v>
      </c>
      <c r="U64" s="34" t="b">
        <f t="shared" si="3"/>
        <v>0</v>
      </c>
    </row>
    <row r="65" spans="1:21" x14ac:dyDescent="0.3">
      <c r="A65" s="1">
        <v>45692</v>
      </c>
      <c r="B65" s="3">
        <f>Data!B65</f>
        <v>263.74069213867102</v>
      </c>
      <c r="C65" s="3">
        <f>Data!H65</f>
        <v>133.92988586425699</v>
      </c>
      <c r="D65" s="3">
        <f>Data!N65</f>
        <v>45.889896392822202</v>
      </c>
      <c r="F65" s="1">
        <v>45692</v>
      </c>
      <c r="G65" s="4">
        <f t="shared" si="4"/>
        <v>4.2352797361131511E-3</v>
      </c>
      <c r="H65" s="4">
        <f t="shared" si="9"/>
        <v>-2.8433616514549342E-3</v>
      </c>
      <c r="I65" s="4">
        <f t="shared" si="10"/>
        <v>1.0820277205531692E-2</v>
      </c>
      <c r="P65" s="1">
        <v>45692</v>
      </c>
      <c r="Q65" s="4">
        <f t="shared" si="5"/>
        <v>3.3793224219114794E-3</v>
      </c>
      <c r="R65" s="34">
        <f t="shared" si="6"/>
        <v>3379.3224219114795</v>
      </c>
      <c r="S65" s="34" t="b">
        <f t="shared" si="1"/>
        <v>0</v>
      </c>
      <c r="T65" s="34" t="b">
        <f t="shared" si="2"/>
        <v>0</v>
      </c>
      <c r="U65" s="34" t="b">
        <f t="shared" si="3"/>
        <v>0</v>
      </c>
    </row>
    <row r="66" spans="1:21" x14ac:dyDescent="0.3">
      <c r="A66" s="1">
        <v>45693</v>
      </c>
      <c r="B66" s="3">
        <f>Data!B66</f>
        <v>266.191650390625</v>
      </c>
      <c r="C66" s="3">
        <f>Data!H66</f>
        <v>136.04502868652301</v>
      </c>
      <c r="D66" s="3">
        <f>Data!N66</f>
        <v>46.282867431640597</v>
      </c>
      <c r="F66" s="1">
        <v>45693</v>
      </c>
      <c r="G66" s="4">
        <f t="shared" si="4"/>
        <v>9.2930606653041092E-3</v>
      </c>
      <c r="H66" s="4">
        <f t="shared" si="9"/>
        <v>1.5792911407464416E-2</v>
      </c>
      <c r="I66" s="4">
        <f t="shared" si="10"/>
        <v>8.5633455228253386E-3</v>
      </c>
      <c r="P66" s="1">
        <v>45693</v>
      </c>
      <c r="Q66" s="4">
        <f t="shared" si="5"/>
        <v>1.1674086419424599E-2</v>
      </c>
      <c r="R66" s="34">
        <f t="shared" si="6"/>
        <v>11674.086419424599</v>
      </c>
      <c r="S66" s="34" t="b">
        <f t="shared" si="1"/>
        <v>0</v>
      </c>
      <c r="T66" s="34" t="b">
        <f t="shared" si="2"/>
        <v>0</v>
      </c>
      <c r="U66" s="34" t="b">
        <f t="shared" si="3"/>
        <v>0</v>
      </c>
    </row>
    <row r="67" spans="1:21" x14ac:dyDescent="0.3">
      <c r="A67" s="1">
        <v>45694</v>
      </c>
      <c r="B67" s="3">
        <f>Data!B67</f>
        <v>272.56027221679602</v>
      </c>
      <c r="C67" s="3">
        <f>Data!H67</f>
        <v>138.15037536621</v>
      </c>
      <c r="D67" s="3">
        <f>Data!N67</f>
        <v>46.901809692382798</v>
      </c>
      <c r="F67" s="1">
        <v>45694</v>
      </c>
      <c r="G67" s="4">
        <f t="shared" si="4"/>
        <v>2.3924949624923864E-2</v>
      </c>
      <c r="H67" s="4">
        <f t="shared" si="9"/>
        <v>1.5475366501911392E-2</v>
      </c>
      <c r="I67" s="4">
        <f t="shared" si="10"/>
        <v>1.3373031860145046E-2</v>
      </c>
      <c r="P67" s="1">
        <v>45694</v>
      </c>
      <c r="Q67" s="4">
        <f t="shared" si="5"/>
        <v>1.7379541046285231E-2</v>
      </c>
      <c r="R67" s="34">
        <f t="shared" si="6"/>
        <v>17379.541046285231</v>
      </c>
      <c r="S67" s="34" t="b">
        <f t="shared" si="1"/>
        <v>0</v>
      </c>
      <c r="T67" s="34" t="b">
        <f t="shared" si="2"/>
        <v>0</v>
      </c>
      <c r="U67" s="34" t="b">
        <f t="shared" si="3"/>
        <v>0</v>
      </c>
    </row>
    <row r="68" spans="1:21" x14ac:dyDescent="0.3">
      <c r="A68" s="1">
        <v>45695</v>
      </c>
      <c r="B68" s="3">
        <f>Data!B68</f>
        <v>271.47747802734301</v>
      </c>
      <c r="C68" s="3">
        <f>Data!H68</f>
        <v>137.07321166992099</v>
      </c>
      <c r="D68" s="3">
        <f>Data!N68</f>
        <v>46.567779541015597</v>
      </c>
      <c r="F68" s="1">
        <v>45695</v>
      </c>
      <c r="G68" s="4">
        <f t="shared" si="4"/>
        <v>-3.9726779719083671E-3</v>
      </c>
      <c r="H68" s="4">
        <f t="shared" si="9"/>
        <v>-7.7970377817190295E-3</v>
      </c>
      <c r="I68" s="4">
        <f t="shared" si="10"/>
        <v>-7.1219032604077359E-3</v>
      </c>
      <c r="P68" s="1">
        <v>45695</v>
      </c>
      <c r="Q68" s="4">
        <f t="shared" si="5"/>
        <v>-6.447189482382442E-3</v>
      </c>
      <c r="R68" s="34">
        <f t="shared" si="6"/>
        <v>-6447.1894823824423</v>
      </c>
      <c r="S68" s="34" t="b">
        <f t="shared" ref="S68:S131" si="11">$L$9&gt;R68</f>
        <v>0</v>
      </c>
      <c r="T68" s="34" t="b">
        <f t="shared" ref="T68:T131" si="12">$L$10&gt;R68</f>
        <v>0</v>
      </c>
      <c r="U68" s="34" t="b">
        <f t="shared" ref="U68:U131" si="13">$L$11&gt;R68</f>
        <v>0</v>
      </c>
    </row>
    <row r="69" spans="1:21" x14ac:dyDescent="0.3">
      <c r="A69" s="1">
        <v>45698</v>
      </c>
      <c r="B69" s="3">
        <f>Data!B69</f>
        <v>266.79214477539</v>
      </c>
      <c r="C69" s="3">
        <f>Data!H69</f>
        <v>134.45866394042901</v>
      </c>
      <c r="D69" s="3">
        <f>Data!N69</f>
        <v>45.850589752197202</v>
      </c>
      <c r="F69" s="1">
        <v>45698</v>
      </c>
      <c r="G69" s="4">
        <f t="shared" ref="G69:G132" si="14">B69/B68-1</f>
        <v>-1.7258644385524713E-2</v>
      </c>
      <c r="H69" s="4">
        <f t="shared" si="9"/>
        <v>-1.907409695621598E-2</v>
      </c>
      <c r="I69" s="4">
        <f t="shared" si="10"/>
        <v>-1.5400987461442361E-2</v>
      </c>
      <c r="P69" s="1">
        <v>45698</v>
      </c>
      <c r="Q69" s="4">
        <f t="shared" ref="Q69:Q132" si="15">SUMPRODUCT(G69:I69,$L$3:$N$3)</f>
        <v>-1.7427528336576514E-2</v>
      </c>
      <c r="R69" s="34">
        <f t="shared" ref="R69:R132" si="16">Q69*1000000</f>
        <v>-17427.528336576514</v>
      </c>
      <c r="S69" s="34" t="b">
        <f t="shared" si="11"/>
        <v>0</v>
      </c>
      <c r="T69" s="34" t="b">
        <f t="shared" si="12"/>
        <v>0</v>
      </c>
      <c r="U69" s="34" t="b">
        <f t="shared" si="13"/>
        <v>0</v>
      </c>
    </row>
    <row r="70" spans="1:21" x14ac:dyDescent="0.3">
      <c r="A70" s="1">
        <v>45699</v>
      </c>
      <c r="B70" s="3">
        <f>Data!B70</f>
        <v>270.68017578125</v>
      </c>
      <c r="C70" s="3">
        <f>Data!H70</f>
        <v>134.92869567871</v>
      </c>
      <c r="D70" s="3">
        <f>Data!N70</f>
        <v>45.968490600585902</v>
      </c>
      <c r="F70" s="1">
        <v>45699</v>
      </c>
      <c r="G70" s="4">
        <f t="shared" si="14"/>
        <v>1.4573258928344046E-2</v>
      </c>
      <c r="H70" s="4">
        <f t="shared" si="9"/>
        <v>3.4957341126731212E-3</v>
      </c>
      <c r="I70" s="4">
        <f t="shared" si="10"/>
        <v>2.571413999817862E-3</v>
      </c>
      <c r="P70" s="1">
        <v>45699</v>
      </c>
      <c r="Q70" s="4">
        <f t="shared" si="15"/>
        <v>6.5416955235178213E-3</v>
      </c>
      <c r="R70" s="34">
        <f t="shared" si="16"/>
        <v>6541.6955235178211</v>
      </c>
      <c r="S70" s="34" t="b">
        <f t="shared" si="11"/>
        <v>0</v>
      </c>
      <c r="T70" s="34" t="b">
        <f t="shared" si="12"/>
        <v>0</v>
      </c>
      <c r="U70" s="34" t="b">
        <f t="shared" si="13"/>
        <v>0</v>
      </c>
    </row>
    <row r="71" spans="1:21" x14ac:dyDescent="0.3">
      <c r="A71" s="1">
        <v>45700</v>
      </c>
      <c r="B71" s="3">
        <f>Data!B71</f>
        <v>271.13299560546801</v>
      </c>
      <c r="C71" s="3">
        <f>Data!H71</f>
        <v>134.26281738281199</v>
      </c>
      <c r="D71" s="3">
        <f>Data!N71</f>
        <v>45.398670196533203</v>
      </c>
      <c r="F71" s="1">
        <v>45700</v>
      </c>
      <c r="G71" s="4">
        <f t="shared" si="14"/>
        <v>1.6728961510057427E-3</v>
      </c>
      <c r="H71" s="4">
        <f t="shared" si="9"/>
        <v>-4.9350384108328704E-3</v>
      </c>
      <c r="I71" s="4">
        <f t="shared" si="10"/>
        <v>-1.2395891111670165E-2</v>
      </c>
      <c r="P71" s="1">
        <v>45700</v>
      </c>
      <c r="Q71" s="4">
        <f t="shared" si="15"/>
        <v>-5.1909138525324753E-3</v>
      </c>
      <c r="R71" s="34">
        <f t="shared" si="16"/>
        <v>-5190.9138525324752</v>
      </c>
      <c r="S71" s="34" t="b">
        <f t="shared" si="11"/>
        <v>0</v>
      </c>
      <c r="T71" s="34" t="b">
        <f t="shared" si="12"/>
        <v>0</v>
      </c>
      <c r="U71" s="34" t="b">
        <f t="shared" si="13"/>
        <v>0</v>
      </c>
    </row>
    <row r="72" spans="1:21" x14ac:dyDescent="0.3">
      <c r="A72" s="1">
        <v>45701</v>
      </c>
      <c r="B72" s="3">
        <f>Data!B72</f>
        <v>271.98934936523398</v>
      </c>
      <c r="C72" s="3">
        <f>Data!H72</f>
        <v>133.99841308593699</v>
      </c>
      <c r="D72" s="3">
        <f>Data!N72</f>
        <v>45.516563415527301</v>
      </c>
      <c r="F72" s="1">
        <v>45701</v>
      </c>
      <c r="G72" s="4">
        <f t="shared" si="14"/>
        <v>3.158426947829307E-3</v>
      </c>
      <c r="H72" s="4">
        <f t="shared" si="9"/>
        <v>-1.9693039519730338E-3</v>
      </c>
      <c r="I72" s="4">
        <f t="shared" si="10"/>
        <v>2.5968430018705746E-3</v>
      </c>
      <c r="P72" s="1">
        <v>45701</v>
      </c>
      <c r="Q72" s="4">
        <f t="shared" si="15"/>
        <v>9.3885940412075086E-4</v>
      </c>
      <c r="R72" s="34">
        <f t="shared" si="16"/>
        <v>938.85940412075081</v>
      </c>
      <c r="S72" s="34" t="b">
        <f t="shared" si="11"/>
        <v>0</v>
      </c>
      <c r="T72" s="34" t="b">
        <f t="shared" si="12"/>
        <v>0</v>
      </c>
      <c r="U72" s="34" t="b">
        <f t="shared" si="13"/>
        <v>0</v>
      </c>
    </row>
    <row r="73" spans="1:21" x14ac:dyDescent="0.3">
      <c r="A73" s="1">
        <v>45702</v>
      </c>
      <c r="B73" s="3">
        <f>Data!B73</f>
        <v>272.255126953125</v>
      </c>
      <c r="C73" s="3">
        <f>Data!H73</f>
        <v>136.06462097167901</v>
      </c>
      <c r="D73" s="3">
        <f>Data!N73</f>
        <v>46.135505676269503</v>
      </c>
      <c r="F73" s="1">
        <v>45702</v>
      </c>
      <c r="G73" s="4">
        <f t="shared" si="14"/>
        <v>9.7716174736728334E-4</v>
      </c>
      <c r="H73" s="4">
        <f t="shared" si="9"/>
        <v>1.5419644443228631E-2</v>
      </c>
      <c r="I73" s="4">
        <f t="shared" si="10"/>
        <v>1.3598176450444921E-2</v>
      </c>
      <c r="P73" s="1">
        <v>45702</v>
      </c>
      <c r="Q73" s="4">
        <f t="shared" si="15"/>
        <v>1.0540459236635113E-2</v>
      </c>
      <c r="R73" s="34">
        <f t="shared" si="16"/>
        <v>10540.459236635113</v>
      </c>
      <c r="S73" s="34" t="b">
        <f t="shared" si="11"/>
        <v>0</v>
      </c>
      <c r="T73" s="34" t="b">
        <f t="shared" si="12"/>
        <v>0</v>
      </c>
      <c r="U73" s="34" t="b">
        <f t="shared" si="13"/>
        <v>0</v>
      </c>
    </row>
    <row r="74" spans="1:21" x14ac:dyDescent="0.3">
      <c r="A74" s="1">
        <v>45706</v>
      </c>
      <c r="B74" s="3">
        <f>Data!B74</f>
        <v>275.5625</v>
      </c>
      <c r="C74" s="3">
        <f>Data!H74</f>
        <v>137.78807067871</v>
      </c>
      <c r="D74" s="3">
        <f>Data!N74</f>
        <v>45.713054656982401</v>
      </c>
      <c r="F74" s="1">
        <v>45706</v>
      </c>
      <c r="G74" s="4">
        <f t="shared" si="14"/>
        <v>1.2148065250005224E-2</v>
      </c>
      <c r="H74" s="4">
        <f t="shared" si="9"/>
        <v>1.2666405820435322E-2</v>
      </c>
      <c r="I74" s="4">
        <f t="shared" si="10"/>
        <v>-9.1567440975161007E-3</v>
      </c>
      <c r="P74" s="1">
        <v>45706</v>
      </c>
      <c r="Q74" s="4">
        <f t="shared" si="15"/>
        <v>5.9639586739208671E-3</v>
      </c>
      <c r="R74" s="34">
        <f t="shared" si="16"/>
        <v>5963.9586739208671</v>
      </c>
      <c r="S74" s="34" t="b">
        <f t="shared" si="11"/>
        <v>0</v>
      </c>
      <c r="T74" s="34" t="b">
        <f t="shared" si="12"/>
        <v>0</v>
      </c>
      <c r="U74" s="34" t="b">
        <f t="shared" si="13"/>
        <v>0</v>
      </c>
    </row>
    <row r="75" spans="1:21" x14ac:dyDescent="0.3">
      <c r="A75" s="1">
        <v>45707</v>
      </c>
      <c r="B75" s="3">
        <f>Data!B75</f>
        <v>274.873443603515</v>
      </c>
      <c r="C75" s="3">
        <f>Data!H75</f>
        <v>137.76847839355401</v>
      </c>
      <c r="D75" s="3">
        <f>Data!N75</f>
        <v>45.202178955078097</v>
      </c>
      <c r="F75" s="1">
        <v>45707</v>
      </c>
      <c r="G75" s="4">
        <f t="shared" si="14"/>
        <v>-2.50054487270579E-3</v>
      </c>
      <c r="H75" s="4">
        <f t="shared" si="9"/>
        <v>-1.4219144704974429E-4</v>
      </c>
      <c r="I75" s="4">
        <f t="shared" si="10"/>
        <v>-1.117570693399883E-2</v>
      </c>
      <c r="P75" s="1">
        <v>45707</v>
      </c>
      <c r="Q75" s="4">
        <f t="shared" si="15"/>
        <v>-4.1597521208312834E-3</v>
      </c>
      <c r="R75" s="34">
        <f t="shared" si="16"/>
        <v>-4159.7521208312837</v>
      </c>
      <c r="S75" s="34" t="b">
        <f t="shared" si="11"/>
        <v>0</v>
      </c>
      <c r="T75" s="34" t="b">
        <f t="shared" si="12"/>
        <v>0</v>
      </c>
      <c r="U75" s="34" t="b">
        <f t="shared" si="13"/>
        <v>0</v>
      </c>
    </row>
    <row r="76" spans="1:21" x14ac:dyDescent="0.3">
      <c r="A76" s="1">
        <v>45708</v>
      </c>
      <c r="B76" s="3">
        <f>Data!B76</f>
        <v>262.618560791015</v>
      </c>
      <c r="C76" s="3">
        <f>Data!H76</f>
        <v>131.55033874511699</v>
      </c>
      <c r="D76" s="3">
        <f>Data!N76</f>
        <v>44.504653930663999</v>
      </c>
      <c r="F76" s="1">
        <v>45708</v>
      </c>
      <c r="G76" s="4">
        <f t="shared" si="14"/>
        <v>-4.4583727885247337E-2</v>
      </c>
      <c r="H76" s="4">
        <f t="shared" si="9"/>
        <v>-4.5134705129529551E-2</v>
      </c>
      <c r="I76" s="4">
        <f t="shared" si="10"/>
        <v>-1.5431225674038762E-2</v>
      </c>
      <c r="P76" s="1">
        <v>45708</v>
      </c>
      <c r="Q76" s="4">
        <f t="shared" si="15"/>
        <v>-3.6058368119597659E-2</v>
      </c>
      <c r="R76" s="34">
        <f t="shared" si="16"/>
        <v>-36058.368119597661</v>
      </c>
      <c r="S76" s="34" t="b">
        <f t="shared" si="11"/>
        <v>0</v>
      </c>
      <c r="T76" s="34" t="b">
        <f t="shared" si="12"/>
        <v>0</v>
      </c>
      <c r="U76" s="34" t="b">
        <f t="shared" si="13"/>
        <v>0</v>
      </c>
    </row>
    <row r="77" spans="1:21" x14ac:dyDescent="0.3">
      <c r="A77" s="1">
        <v>45709</v>
      </c>
      <c r="B77" s="3">
        <f>Data!B77</f>
        <v>260.09869384765602</v>
      </c>
      <c r="C77" s="3">
        <f>Data!H77</f>
        <v>128.95536804199199</v>
      </c>
      <c r="D77" s="3">
        <f>Data!N77</f>
        <v>44.0232543945312</v>
      </c>
      <c r="F77" s="1">
        <v>45709</v>
      </c>
      <c r="G77" s="4">
        <f t="shared" si="14"/>
        <v>-9.5951593663793355E-3</v>
      </c>
      <c r="H77" s="4">
        <f t="shared" si="9"/>
        <v>-1.9726066294309175E-2</v>
      </c>
      <c r="I77" s="4">
        <f t="shared" si="10"/>
        <v>-1.0816835850084194E-2</v>
      </c>
      <c r="P77" s="1">
        <v>45709</v>
      </c>
      <c r="Q77" s="4">
        <f t="shared" si="15"/>
        <v>-1.4014025082662728E-2</v>
      </c>
      <c r="R77" s="34">
        <f t="shared" si="16"/>
        <v>-14014.025082662729</v>
      </c>
      <c r="S77" s="34" t="b">
        <f t="shared" si="11"/>
        <v>0</v>
      </c>
      <c r="T77" s="34" t="b">
        <f t="shared" si="12"/>
        <v>0</v>
      </c>
      <c r="U77" s="34" t="b">
        <f t="shared" si="13"/>
        <v>0</v>
      </c>
    </row>
    <row r="78" spans="1:21" x14ac:dyDescent="0.3">
      <c r="A78" s="1">
        <v>45712</v>
      </c>
      <c r="B78" s="3">
        <f>Data!B78</f>
        <v>257.24411010742102</v>
      </c>
      <c r="C78" s="3">
        <f>Data!H78</f>
        <v>127.271095275878</v>
      </c>
      <c r="D78" s="3">
        <f>Data!N78</f>
        <v>43.679397583007798</v>
      </c>
      <c r="F78" s="1">
        <v>45712</v>
      </c>
      <c r="G78" s="4">
        <f t="shared" si="14"/>
        <v>-1.0975002211687346E-2</v>
      </c>
      <c r="H78" s="4">
        <f t="shared" si="9"/>
        <v>-1.3060896895471186E-2</v>
      </c>
      <c r="I78" s="4">
        <f t="shared" si="10"/>
        <v>-7.810799457073303E-3</v>
      </c>
      <c r="P78" s="1">
        <v>45712</v>
      </c>
      <c r="Q78" s="4">
        <f t="shared" si="15"/>
        <v>-1.0860099258816669E-2</v>
      </c>
      <c r="R78" s="34">
        <f t="shared" si="16"/>
        <v>-10860.09925881667</v>
      </c>
      <c r="S78" s="34" t="b">
        <f t="shared" si="11"/>
        <v>0</v>
      </c>
      <c r="T78" s="34" t="b">
        <f t="shared" si="12"/>
        <v>0</v>
      </c>
      <c r="U78" s="34" t="b">
        <f t="shared" si="13"/>
        <v>0</v>
      </c>
    </row>
    <row r="79" spans="1:21" x14ac:dyDescent="0.3">
      <c r="A79" s="1">
        <v>45713</v>
      </c>
      <c r="B79" s="3">
        <f>Data!B79</f>
        <v>253.36587524414</v>
      </c>
      <c r="C79" s="3">
        <f>Data!H79</f>
        <v>126.908767700195</v>
      </c>
      <c r="D79" s="3">
        <f>Data!N79</f>
        <v>43.168525695800703</v>
      </c>
      <c r="F79" s="1">
        <v>45713</v>
      </c>
      <c r="G79" s="4">
        <f t="shared" si="14"/>
        <v>-1.5076088084821637E-2</v>
      </c>
      <c r="H79" s="4">
        <f t="shared" si="9"/>
        <v>-2.8468960284941947E-3</v>
      </c>
      <c r="I79" s="4">
        <f t="shared" si="10"/>
        <v>-1.1695946269319357E-2</v>
      </c>
      <c r="P79" s="1">
        <v>45713</v>
      </c>
      <c r="Q79" s="4">
        <f t="shared" si="15"/>
        <v>-9.1703687176399769E-3</v>
      </c>
      <c r="R79" s="34">
        <f t="shared" si="16"/>
        <v>-9170.3687176399762</v>
      </c>
      <c r="S79" s="34" t="b">
        <f t="shared" si="11"/>
        <v>0</v>
      </c>
      <c r="T79" s="34" t="b">
        <f t="shared" si="12"/>
        <v>0</v>
      </c>
      <c r="U79" s="34" t="b">
        <f t="shared" si="13"/>
        <v>0</v>
      </c>
    </row>
    <row r="80" spans="1:21" x14ac:dyDescent="0.3">
      <c r="A80" s="1">
        <v>45714</v>
      </c>
      <c r="B80" s="3">
        <f>Data!B80</f>
        <v>254.734115600585</v>
      </c>
      <c r="C80" s="3">
        <f>Data!H80</f>
        <v>128.32865905761699</v>
      </c>
      <c r="D80" s="3">
        <f>Data!N80</f>
        <v>43.168525695800703</v>
      </c>
      <c r="F80" s="1">
        <v>45714</v>
      </c>
      <c r="G80" s="4">
        <f t="shared" si="14"/>
        <v>5.4002550861538268E-3</v>
      </c>
      <c r="H80" s="4">
        <f t="shared" si="9"/>
        <v>1.1188284175734031E-2</v>
      </c>
      <c r="I80" s="4">
        <f t="shared" si="10"/>
        <v>0</v>
      </c>
      <c r="P80" s="1">
        <v>45714</v>
      </c>
      <c r="Q80" s="4">
        <f t="shared" si="15"/>
        <v>6.0953901961397607E-3</v>
      </c>
      <c r="R80" s="34">
        <f t="shared" si="16"/>
        <v>6095.3901961397605</v>
      </c>
      <c r="S80" s="34" t="b">
        <f t="shared" si="11"/>
        <v>0</v>
      </c>
      <c r="T80" s="34" t="b">
        <f t="shared" si="12"/>
        <v>0</v>
      </c>
      <c r="U80" s="34" t="b">
        <f t="shared" si="13"/>
        <v>0</v>
      </c>
    </row>
    <row r="81" spans="1:21" x14ac:dyDescent="0.3">
      <c r="A81" s="1">
        <v>45715</v>
      </c>
      <c r="B81" s="3">
        <f>Data!B81</f>
        <v>254.989990234375</v>
      </c>
      <c r="C81" s="3">
        <f>Data!H81</f>
        <v>126.55624389648401</v>
      </c>
      <c r="D81" s="3">
        <f>Data!N81</f>
        <v>43.345363616943303</v>
      </c>
      <c r="F81" s="1">
        <v>45715</v>
      </c>
      <c r="G81" s="4">
        <f t="shared" si="14"/>
        <v>1.0044772887476405E-3</v>
      </c>
      <c r="H81" s="4">
        <f t="shared" si="9"/>
        <v>-1.3811530285976148E-2</v>
      </c>
      <c r="I81" s="4">
        <f t="shared" si="10"/>
        <v>4.096454958613549E-3</v>
      </c>
      <c r="P81" s="1">
        <v>45715</v>
      </c>
      <c r="Q81" s="4">
        <f t="shared" si="15"/>
        <v>-3.9943324401821023E-3</v>
      </c>
      <c r="R81" s="34">
        <f t="shared" si="16"/>
        <v>-3994.3324401821023</v>
      </c>
      <c r="S81" s="34" t="b">
        <f t="shared" si="11"/>
        <v>0</v>
      </c>
      <c r="T81" s="34" t="b">
        <f t="shared" si="12"/>
        <v>0</v>
      </c>
      <c r="U81" s="34" t="b">
        <f t="shared" si="13"/>
        <v>0</v>
      </c>
    </row>
    <row r="82" spans="1:21" x14ac:dyDescent="0.3">
      <c r="A82" s="1">
        <v>45716</v>
      </c>
      <c r="B82" s="3">
        <f>Data!B82</f>
        <v>260.50225830078102</v>
      </c>
      <c r="C82" s="3">
        <f>Data!H82</f>
        <v>130.34588623046801</v>
      </c>
      <c r="D82" s="3">
        <f>Data!N82</f>
        <v>45.290599822997997</v>
      </c>
      <c r="F82" s="1">
        <v>45716</v>
      </c>
      <c r="G82" s="4">
        <f t="shared" si="14"/>
        <v>2.1617586091671193E-2</v>
      </c>
      <c r="H82" s="4">
        <f t="shared" si="9"/>
        <v>2.9944333185834227E-2</v>
      </c>
      <c r="I82" s="4">
        <f t="shared" si="10"/>
        <v>4.4877607285645604E-2</v>
      </c>
      <c r="P82" s="1">
        <v>45716</v>
      </c>
      <c r="Q82" s="4">
        <f t="shared" si="15"/>
        <v>3.1926291287528732E-2</v>
      </c>
      <c r="R82" s="34">
        <f t="shared" si="16"/>
        <v>31926.291287528733</v>
      </c>
      <c r="S82" s="34" t="b">
        <f t="shared" si="11"/>
        <v>0</v>
      </c>
      <c r="T82" s="34" t="b">
        <f t="shared" si="12"/>
        <v>0</v>
      </c>
      <c r="U82" s="34" t="b">
        <f t="shared" si="13"/>
        <v>0</v>
      </c>
    </row>
    <row r="83" spans="1:21" x14ac:dyDescent="0.3">
      <c r="A83" s="1">
        <v>45719</v>
      </c>
      <c r="B83" s="3">
        <f>Data!B83</f>
        <v>256.53543090820301</v>
      </c>
      <c r="C83" s="3">
        <f>Data!H83</f>
        <v>126.448532104492</v>
      </c>
      <c r="D83" s="3">
        <f>Data!N83</f>
        <v>44.760086059570298</v>
      </c>
      <c r="F83" s="1">
        <v>45719</v>
      </c>
      <c r="G83" s="4">
        <f t="shared" si="14"/>
        <v>-1.5227612299613336E-2</v>
      </c>
      <c r="H83" s="4">
        <f t="shared" si="9"/>
        <v>-2.9900093042330433E-2</v>
      </c>
      <c r="I83" s="4">
        <f t="shared" si="10"/>
        <v>-1.1713551277771073E-2</v>
      </c>
      <c r="P83" s="1">
        <v>45719</v>
      </c>
      <c r="Q83" s="4">
        <f t="shared" si="15"/>
        <v>-2.0042386290147495E-2</v>
      </c>
      <c r="R83" s="34">
        <f t="shared" si="16"/>
        <v>-20042.386290147497</v>
      </c>
      <c r="S83" s="34" t="b">
        <f t="shared" si="11"/>
        <v>0</v>
      </c>
      <c r="T83" s="34" t="b">
        <f t="shared" si="12"/>
        <v>0</v>
      </c>
      <c r="U83" s="34" t="b">
        <f t="shared" si="13"/>
        <v>0</v>
      </c>
    </row>
    <row r="84" spans="1:21" x14ac:dyDescent="0.3">
      <c r="A84" s="1">
        <v>45720</v>
      </c>
      <c r="B84" s="3">
        <f>Data!B84</f>
        <v>246.32794189453099</v>
      </c>
      <c r="C84" s="3">
        <f>Data!H84</f>
        <v>119.19239807128901</v>
      </c>
      <c r="D84" s="3">
        <f>Data!N84</f>
        <v>41.920822143554602</v>
      </c>
      <c r="F84" s="1">
        <v>45720</v>
      </c>
      <c r="G84" s="4">
        <f t="shared" si="14"/>
        <v>-3.9789782555707087E-2</v>
      </c>
      <c r="H84" s="4">
        <f t="shared" ref="H84:H147" si="17">C84/C83-1</f>
        <v>-5.7384090684475586E-2</v>
      </c>
      <c r="I84" s="4">
        <f t="shared" ref="I84:I147" si="18">D84/D83-1</f>
        <v>-6.3432941398659848E-2</v>
      </c>
      <c r="P84" s="1">
        <v>45720</v>
      </c>
      <c r="Q84" s="4">
        <f t="shared" si="15"/>
        <v>-5.3920453460100312E-2</v>
      </c>
      <c r="R84" s="34">
        <f t="shared" si="16"/>
        <v>-53920.453460100311</v>
      </c>
      <c r="S84" s="34" t="b">
        <f t="shared" si="11"/>
        <v>1</v>
      </c>
      <c r="T84" s="34" t="b">
        <f t="shared" si="12"/>
        <v>0</v>
      </c>
      <c r="U84" s="34" t="b">
        <f t="shared" si="13"/>
        <v>1</v>
      </c>
    </row>
    <row r="85" spans="1:21" x14ac:dyDescent="0.3">
      <c r="A85" s="1">
        <v>45721</v>
      </c>
      <c r="B85" s="3">
        <f>Data!B85</f>
        <v>247.58787536621</v>
      </c>
      <c r="C85" s="3">
        <f>Data!H85</f>
        <v>121.1802444458</v>
      </c>
      <c r="D85" s="3">
        <f>Data!N85</f>
        <v>41.547500610351499</v>
      </c>
      <c r="F85" s="1">
        <v>45721</v>
      </c>
      <c r="G85" s="4">
        <f t="shared" si="14"/>
        <v>5.114862171090806E-3</v>
      </c>
      <c r="H85" s="4">
        <f t="shared" si="17"/>
        <v>1.66776271530511E-2</v>
      </c>
      <c r="I85" s="4">
        <f t="shared" si="18"/>
        <v>-8.905396271206012E-3</v>
      </c>
      <c r="P85" s="1">
        <v>45721</v>
      </c>
      <c r="Q85" s="4">
        <f t="shared" si="15"/>
        <v>5.5338906311858775E-3</v>
      </c>
      <c r="R85" s="34">
        <f t="shared" si="16"/>
        <v>5533.8906311858773</v>
      </c>
      <c r="S85" s="34" t="b">
        <f t="shared" si="11"/>
        <v>0</v>
      </c>
      <c r="T85" s="34" t="b">
        <f t="shared" si="12"/>
        <v>0</v>
      </c>
      <c r="U85" s="34" t="b">
        <f t="shared" si="13"/>
        <v>0</v>
      </c>
    </row>
    <row r="86" spans="1:21" x14ac:dyDescent="0.3">
      <c r="A86" s="1">
        <v>45722</v>
      </c>
      <c r="B86" s="3">
        <f>Data!B86</f>
        <v>242.67608642578099</v>
      </c>
      <c r="C86" s="3">
        <f>Data!H86</f>
        <v>116.89120483398401</v>
      </c>
      <c r="D86" s="3">
        <f>Data!N86</f>
        <v>40.732067108154297</v>
      </c>
      <c r="F86" s="1">
        <v>45722</v>
      </c>
      <c r="G86" s="4">
        <f t="shared" si="14"/>
        <v>-1.9838568157523606E-2</v>
      </c>
      <c r="H86" s="4">
        <f t="shared" si="17"/>
        <v>-3.5393884798890163E-2</v>
      </c>
      <c r="I86" s="4">
        <f t="shared" si="18"/>
        <v>-1.9626535657214395E-2</v>
      </c>
      <c r="P86" s="1">
        <v>45722</v>
      </c>
      <c r="Q86" s="4">
        <f t="shared" si="15"/>
        <v>-2.5997085063977465E-2</v>
      </c>
      <c r="R86" s="34">
        <f t="shared" si="16"/>
        <v>-25997.085063977465</v>
      </c>
      <c r="S86" s="34" t="b">
        <f t="shared" si="11"/>
        <v>0</v>
      </c>
      <c r="T86" s="34" t="b">
        <f t="shared" si="12"/>
        <v>0</v>
      </c>
      <c r="U86" s="34" t="b">
        <f t="shared" si="13"/>
        <v>0</v>
      </c>
    </row>
    <row r="87" spans="1:21" x14ac:dyDescent="0.3">
      <c r="A87" s="1">
        <v>45723</v>
      </c>
      <c r="B87" s="3">
        <f>Data!B87</f>
        <v>238.48284912109301</v>
      </c>
      <c r="C87" s="3">
        <f>Data!H87</f>
        <v>116.812858581542</v>
      </c>
      <c r="D87" s="3">
        <f>Data!N87</f>
        <v>40.929801940917898</v>
      </c>
      <c r="F87" s="1">
        <v>45723</v>
      </c>
      <c r="G87" s="4">
        <f t="shared" si="14"/>
        <v>-1.7279153320986285E-2</v>
      </c>
      <c r="H87" s="4">
        <f t="shared" si="17"/>
        <v>-6.7024933615211779E-4</v>
      </c>
      <c r="I87" s="4">
        <f t="shared" si="18"/>
        <v>4.8545248695226473E-3</v>
      </c>
      <c r="P87" s="1">
        <v>45723</v>
      </c>
      <c r="Q87" s="4">
        <f t="shared" si="15"/>
        <v>-3.9954882698999385E-3</v>
      </c>
      <c r="R87" s="34">
        <f t="shared" si="16"/>
        <v>-3995.4882698999386</v>
      </c>
      <c r="S87" s="34" t="b">
        <f t="shared" si="11"/>
        <v>0</v>
      </c>
      <c r="T87" s="34" t="b">
        <f t="shared" si="12"/>
        <v>0</v>
      </c>
      <c r="U87" s="34" t="b">
        <f t="shared" si="13"/>
        <v>0</v>
      </c>
    </row>
    <row r="88" spans="1:21" x14ac:dyDescent="0.3">
      <c r="A88" s="1">
        <v>45726</v>
      </c>
      <c r="B88" s="3">
        <f>Data!B88</f>
        <v>228.58052062988199</v>
      </c>
      <c r="C88" s="3">
        <f>Data!H88</f>
        <v>109.370681762695</v>
      </c>
      <c r="D88" s="3">
        <f>Data!N88</f>
        <v>39.377632141113203</v>
      </c>
      <c r="F88" s="1">
        <v>45726</v>
      </c>
      <c r="G88" s="4">
        <f t="shared" si="14"/>
        <v>-4.1522182948187547E-2</v>
      </c>
      <c r="H88" s="4">
        <f t="shared" si="17"/>
        <v>-6.37102533849212E-2</v>
      </c>
      <c r="I88" s="4">
        <f t="shared" si="18"/>
        <v>-3.7922729312134251E-2</v>
      </c>
      <c r="P88" s="1">
        <v>45726</v>
      </c>
      <c r="Q88" s="4">
        <f t="shared" si="15"/>
        <v>-4.931757503206502E-2</v>
      </c>
      <c r="R88" s="34">
        <f t="shared" si="16"/>
        <v>-49317.575032065019</v>
      </c>
      <c r="S88" s="34" t="b">
        <f t="shared" si="11"/>
        <v>1</v>
      </c>
      <c r="T88" s="34" t="b">
        <f t="shared" si="12"/>
        <v>0</v>
      </c>
      <c r="U88" s="34" t="b">
        <f t="shared" si="13"/>
        <v>1</v>
      </c>
    </row>
    <row r="89" spans="1:21" x14ac:dyDescent="0.3">
      <c r="A89" s="1">
        <v>45727</v>
      </c>
      <c r="B89" s="3">
        <f>Data!B89</f>
        <v>225.54879760742099</v>
      </c>
      <c r="C89" s="3">
        <f>Data!H89</f>
        <v>109.713409423828</v>
      </c>
      <c r="D89" s="3">
        <f>Data!N89</f>
        <v>39.160129547119098</v>
      </c>
      <c r="F89" s="1">
        <v>45727</v>
      </c>
      <c r="G89" s="4">
        <f t="shared" si="14"/>
        <v>-1.3263260640524854E-2</v>
      </c>
      <c r="H89" s="4">
        <f t="shared" si="17"/>
        <v>3.1336337637231093E-3</v>
      </c>
      <c r="I89" s="4">
        <f t="shared" si="18"/>
        <v>-5.5235061675283914E-3</v>
      </c>
      <c r="P89" s="1">
        <v>45727</v>
      </c>
      <c r="Q89" s="4">
        <f t="shared" si="15"/>
        <v>-4.3825765369267296E-3</v>
      </c>
      <c r="R89" s="34">
        <f t="shared" si="16"/>
        <v>-4382.5765369267292</v>
      </c>
      <c r="S89" s="34" t="b">
        <f t="shared" si="11"/>
        <v>0</v>
      </c>
      <c r="T89" s="34" t="b">
        <f t="shared" si="12"/>
        <v>0</v>
      </c>
      <c r="U89" s="34" t="b">
        <f t="shared" si="13"/>
        <v>0</v>
      </c>
    </row>
    <row r="90" spans="1:21" x14ac:dyDescent="0.3">
      <c r="A90" s="1">
        <v>45728</v>
      </c>
      <c r="B90" s="3">
        <f>Data!B90</f>
        <v>224.32821655273401</v>
      </c>
      <c r="C90" s="3">
        <f>Data!H90</f>
        <v>111.63271331787099</v>
      </c>
      <c r="D90" s="3">
        <f>Data!N90</f>
        <v>39.456722259521399</v>
      </c>
      <c r="F90" s="1">
        <v>45728</v>
      </c>
      <c r="G90" s="4">
        <f t="shared" si="14"/>
        <v>-5.4116052385766444E-3</v>
      </c>
      <c r="H90" s="4">
        <f t="shared" si="17"/>
        <v>1.7493795007578639E-2</v>
      </c>
      <c r="I90" s="4">
        <f t="shared" si="18"/>
        <v>7.5738440049191169E-3</v>
      </c>
      <c r="P90" s="1">
        <v>45728</v>
      </c>
      <c r="Q90" s="4">
        <f t="shared" si="15"/>
        <v>7.6461896329341975E-3</v>
      </c>
      <c r="R90" s="34">
        <f t="shared" si="16"/>
        <v>7646.1896329341971</v>
      </c>
      <c r="S90" s="34" t="b">
        <f t="shared" si="11"/>
        <v>0</v>
      </c>
      <c r="T90" s="34" t="b">
        <f t="shared" si="12"/>
        <v>0</v>
      </c>
      <c r="U90" s="34" t="b">
        <f t="shared" si="13"/>
        <v>0</v>
      </c>
    </row>
    <row r="91" spans="1:21" x14ac:dyDescent="0.3">
      <c r="A91" s="1">
        <v>45729</v>
      </c>
      <c r="B91" s="3">
        <f>Data!B91</f>
        <v>221.66069030761699</v>
      </c>
      <c r="C91" s="3">
        <f>Data!H91</f>
        <v>109.36089324951099</v>
      </c>
      <c r="D91" s="3">
        <f>Data!N91</f>
        <v>39.219444274902301</v>
      </c>
      <c r="F91" s="1">
        <v>45729</v>
      </c>
      <c r="G91" s="4">
        <f t="shared" si="14"/>
        <v>-1.1891175733971693E-2</v>
      </c>
      <c r="H91" s="4">
        <f t="shared" si="17"/>
        <v>-2.0350845203332635E-2</v>
      </c>
      <c r="I91" s="4">
        <f t="shared" si="18"/>
        <v>-6.01362634884961E-3</v>
      </c>
      <c r="P91" s="1">
        <v>45729</v>
      </c>
      <c r="Q91" s="4">
        <f t="shared" si="15"/>
        <v>-1.3511778706179445E-2</v>
      </c>
      <c r="R91" s="34">
        <f t="shared" si="16"/>
        <v>-13511.778706179444</v>
      </c>
      <c r="S91" s="34" t="b">
        <f t="shared" si="11"/>
        <v>0</v>
      </c>
      <c r="T91" s="34" t="b">
        <f t="shared" si="12"/>
        <v>0</v>
      </c>
      <c r="U91" s="34" t="b">
        <f t="shared" si="13"/>
        <v>0</v>
      </c>
    </row>
    <row r="92" spans="1:21" x14ac:dyDescent="0.3">
      <c r="A92" s="1">
        <v>45730</v>
      </c>
      <c r="B92" s="3">
        <f>Data!B92</f>
        <v>228.79705810546801</v>
      </c>
      <c r="C92" s="3">
        <f>Data!H92</f>
        <v>112.94487762451099</v>
      </c>
      <c r="D92" s="3">
        <f>Data!N92</f>
        <v>40.425590515136697</v>
      </c>
      <c r="F92" s="1">
        <v>45730</v>
      </c>
      <c r="G92" s="4">
        <f t="shared" si="14"/>
        <v>3.2195008451644247E-2</v>
      </c>
      <c r="H92" s="4">
        <f t="shared" si="17"/>
        <v>3.2772083955303843E-2</v>
      </c>
      <c r="I92" s="4">
        <f t="shared" si="18"/>
        <v>3.0753782021492038E-2</v>
      </c>
      <c r="P92" s="1">
        <v>45730</v>
      </c>
      <c r="Q92" s="4">
        <f t="shared" si="15"/>
        <v>3.1993470724062424E-2</v>
      </c>
      <c r="R92" s="34">
        <f t="shared" si="16"/>
        <v>31993.470724062423</v>
      </c>
      <c r="S92" s="34" t="b">
        <f t="shared" si="11"/>
        <v>0</v>
      </c>
      <c r="T92" s="34" t="b">
        <f t="shared" si="12"/>
        <v>0</v>
      </c>
      <c r="U92" s="34" t="b">
        <f t="shared" si="13"/>
        <v>0</v>
      </c>
    </row>
    <row r="93" spans="1:21" x14ac:dyDescent="0.3">
      <c r="A93" s="1">
        <v>45733</v>
      </c>
      <c r="B93" s="3">
        <f>Data!B93</f>
        <v>230.26370239257801</v>
      </c>
      <c r="C93" s="3">
        <f>Data!H93</f>
        <v>115.51047515869099</v>
      </c>
      <c r="D93" s="3">
        <f>Data!N93</f>
        <v>40.969345092773402</v>
      </c>
      <c r="F93" s="1">
        <v>45733</v>
      </c>
      <c r="G93" s="4">
        <f t="shared" si="14"/>
        <v>6.4102410199431414E-3</v>
      </c>
      <c r="H93" s="4">
        <f t="shared" si="17"/>
        <v>2.2715483766421185E-2</v>
      </c>
      <c r="I93" s="4">
        <f t="shared" si="18"/>
        <v>1.345075163300602E-2</v>
      </c>
      <c r="P93" s="1">
        <v>45733</v>
      </c>
      <c r="Q93" s="4">
        <f t="shared" si="15"/>
        <v>1.5044491302453222E-2</v>
      </c>
      <c r="R93" s="34">
        <f t="shared" si="16"/>
        <v>15044.491302453222</v>
      </c>
      <c r="S93" s="34" t="b">
        <f t="shared" si="11"/>
        <v>0</v>
      </c>
      <c r="T93" s="34" t="b">
        <f t="shared" si="12"/>
        <v>0</v>
      </c>
      <c r="U93" s="34" t="b">
        <f t="shared" si="13"/>
        <v>0</v>
      </c>
    </row>
    <row r="94" spans="1:21" x14ac:dyDescent="0.3">
      <c r="A94" s="1">
        <v>45734</v>
      </c>
      <c r="B94" s="3">
        <f>Data!B94</f>
        <v>231.28741455078099</v>
      </c>
      <c r="C94" s="3">
        <f>Data!H94</f>
        <v>115.65736389160099</v>
      </c>
      <c r="D94" s="3">
        <f>Data!N94</f>
        <v>41.176959991455</v>
      </c>
      <c r="F94" s="1">
        <v>45734</v>
      </c>
      <c r="G94" s="4">
        <f t="shared" si="14"/>
        <v>4.4458251455439246E-3</v>
      </c>
      <c r="H94" s="4">
        <f t="shared" si="17"/>
        <v>1.2716485903827568E-3</v>
      </c>
      <c r="I94" s="4">
        <f t="shared" si="18"/>
        <v>5.0675669384381283E-3</v>
      </c>
      <c r="P94" s="1">
        <v>45734</v>
      </c>
      <c r="Q94" s="4">
        <f t="shared" si="15"/>
        <v>3.3626770613477187E-3</v>
      </c>
      <c r="R94" s="34">
        <f t="shared" si="16"/>
        <v>3362.6770613477188</v>
      </c>
      <c r="S94" s="34" t="b">
        <f t="shared" si="11"/>
        <v>0</v>
      </c>
      <c r="T94" s="34" t="b">
        <f t="shared" si="12"/>
        <v>0</v>
      </c>
      <c r="U94" s="34" t="b">
        <f t="shared" si="13"/>
        <v>0</v>
      </c>
    </row>
    <row r="95" spans="1:21" x14ac:dyDescent="0.3">
      <c r="A95" s="1">
        <v>45735</v>
      </c>
      <c r="B95" s="3">
        <f>Data!B95</f>
        <v>235.362533569335</v>
      </c>
      <c r="C95" s="3">
        <f>Data!H95</f>
        <v>117.36122894287099</v>
      </c>
      <c r="D95" s="3">
        <f>Data!N95</f>
        <v>41.730598449707003</v>
      </c>
      <c r="F95" s="1">
        <v>45735</v>
      </c>
      <c r="G95" s="4">
        <f t="shared" si="14"/>
        <v>1.7619285625501524E-2</v>
      </c>
      <c r="H95" s="4">
        <f t="shared" si="17"/>
        <v>1.4732006626633209E-2</v>
      </c>
      <c r="I95" s="4">
        <f t="shared" si="18"/>
        <v>1.3445345609945258E-2</v>
      </c>
      <c r="P95" s="1">
        <v>45735</v>
      </c>
      <c r="Q95" s="4">
        <f t="shared" si="15"/>
        <v>1.5212192021287319E-2</v>
      </c>
      <c r="R95" s="34">
        <f t="shared" si="16"/>
        <v>15212.192021287319</v>
      </c>
      <c r="S95" s="34" t="b">
        <f t="shared" si="11"/>
        <v>0</v>
      </c>
      <c r="T95" s="34" t="b">
        <f t="shared" si="12"/>
        <v>0</v>
      </c>
      <c r="U95" s="34" t="b">
        <f t="shared" si="13"/>
        <v>0</v>
      </c>
    </row>
    <row r="96" spans="1:21" x14ac:dyDescent="0.3">
      <c r="A96" s="1">
        <v>45736</v>
      </c>
      <c r="B96" s="3">
        <f>Data!B96</f>
        <v>235.26409912109301</v>
      </c>
      <c r="C96" s="3">
        <f>Data!H96</f>
        <v>117.968360900878</v>
      </c>
      <c r="D96" s="3">
        <f>Data!N96</f>
        <v>41.997535705566399</v>
      </c>
      <c r="F96" s="1">
        <v>45736</v>
      </c>
      <c r="G96" s="4">
        <f t="shared" si="14"/>
        <v>-4.1822479877828833E-4</v>
      </c>
      <c r="H96" s="4">
        <f t="shared" si="17"/>
        <v>5.1731901878988573E-3</v>
      </c>
      <c r="I96" s="4">
        <f t="shared" si="18"/>
        <v>6.3966793138876543E-3</v>
      </c>
      <c r="P96" s="1">
        <v>45736</v>
      </c>
      <c r="Q96" s="4">
        <f t="shared" si="15"/>
        <v>3.8628124296923531E-3</v>
      </c>
      <c r="R96" s="34">
        <f t="shared" si="16"/>
        <v>3862.8124296923529</v>
      </c>
      <c r="S96" s="34" t="b">
        <f t="shared" si="11"/>
        <v>0</v>
      </c>
      <c r="T96" s="34" t="b">
        <f t="shared" si="12"/>
        <v>0</v>
      </c>
      <c r="U96" s="34" t="b">
        <f t="shared" si="13"/>
        <v>0</v>
      </c>
    </row>
    <row r="97" spans="1:21" x14ac:dyDescent="0.3">
      <c r="A97" s="1">
        <v>45737</v>
      </c>
      <c r="B97" s="3">
        <f>Data!B97</f>
        <v>237.84304809570301</v>
      </c>
      <c r="C97" s="3">
        <f>Data!H97</f>
        <v>117.645210266113</v>
      </c>
      <c r="D97" s="3">
        <f>Data!N97</f>
        <v>41.987648010253899</v>
      </c>
      <c r="F97" s="1">
        <v>45737</v>
      </c>
      <c r="G97" s="4">
        <f t="shared" si="14"/>
        <v>1.0961931651469747E-2</v>
      </c>
      <c r="H97" s="4">
        <f t="shared" si="17"/>
        <v>-2.7392991840966552E-3</v>
      </c>
      <c r="I97" s="4">
        <f t="shared" si="18"/>
        <v>-2.3543513080914735E-4</v>
      </c>
      <c r="P97" s="1">
        <v>45737</v>
      </c>
      <c r="Q97" s="4">
        <f t="shared" si="15"/>
        <v>2.1222292825595177E-3</v>
      </c>
      <c r="R97" s="34">
        <f t="shared" si="16"/>
        <v>2122.2292825595177</v>
      </c>
      <c r="S97" s="34" t="b">
        <f t="shared" si="11"/>
        <v>0</v>
      </c>
      <c r="T97" s="34" t="b">
        <f t="shared" si="12"/>
        <v>0</v>
      </c>
      <c r="U97" s="34" t="b">
        <f t="shared" si="13"/>
        <v>0</v>
      </c>
    </row>
    <row r="98" spans="1:21" x14ac:dyDescent="0.3">
      <c r="A98" s="1">
        <v>45740</v>
      </c>
      <c r="B98" s="3">
        <f>Data!B98</f>
        <v>244.172271728515</v>
      </c>
      <c r="C98" s="3">
        <f>Data!H98</f>
        <v>121.68943786621</v>
      </c>
      <c r="D98" s="3">
        <f>Data!N98</f>
        <v>42.5808296203613</v>
      </c>
      <c r="F98" s="1">
        <v>45740</v>
      </c>
      <c r="G98" s="4">
        <f t="shared" si="14"/>
        <v>2.6610925496822757E-2</v>
      </c>
      <c r="H98" s="4">
        <f t="shared" si="17"/>
        <v>3.4376474749366892E-2</v>
      </c>
      <c r="I98" s="4">
        <f t="shared" si="18"/>
        <v>1.4127526504045695E-2</v>
      </c>
      <c r="P98" s="1">
        <v>45740</v>
      </c>
      <c r="Q98" s="4">
        <f t="shared" si="15"/>
        <v>2.5972125500007291E-2</v>
      </c>
      <c r="R98" s="34">
        <f t="shared" si="16"/>
        <v>25972.125500007292</v>
      </c>
      <c r="S98" s="34" t="b">
        <f t="shared" si="11"/>
        <v>0</v>
      </c>
      <c r="T98" s="34" t="b">
        <f t="shared" si="12"/>
        <v>0</v>
      </c>
      <c r="U98" s="34" t="b">
        <f t="shared" si="13"/>
        <v>0</v>
      </c>
    </row>
    <row r="99" spans="1:21" x14ac:dyDescent="0.3">
      <c r="A99" s="1">
        <v>45741</v>
      </c>
      <c r="B99" s="3">
        <f>Data!B99</f>
        <v>247.19415283203099</v>
      </c>
      <c r="C99" s="3">
        <f>Data!H99</f>
        <v>122.600135803222</v>
      </c>
      <c r="D99" s="3">
        <f>Data!N99</f>
        <v>42.788448333740199</v>
      </c>
      <c r="F99" s="1">
        <v>45741</v>
      </c>
      <c r="G99" s="4">
        <f t="shared" si="14"/>
        <v>1.2376020758310791E-2</v>
      </c>
      <c r="H99" s="4">
        <f t="shared" si="17"/>
        <v>7.4837878535789493E-3</v>
      </c>
      <c r="I99" s="4">
        <f t="shared" si="18"/>
        <v>4.8758729040736526E-3</v>
      </c>
      <c r="P99" s="1">
        <v>45741</v>
      </c>
      <c r="Q99" s="4">
        <f t="shared" si="15"/>
        <v>8.1690832401469134E-3</v>
      </c>
      <c r="R99" s="34">
        <f t="shared" si="16"/>
        <v>8169.0832401469133</v>
      </c>
      <c r="S99" s="34" t="b">
        <f t="shared" si="11"/>
        <v>0</v>
      </c>
      <c r="T99" s="34" t="b">
        <f t="shared" si="12"/>
        <v>0</v>
      </c>
      <c r="U99" s="34" t="b">
        <f t="shared" si="13"/>
        <v>0</v>
      </c>
    </row>
    <row r="100" spans="1:21" x14ac:dyDescent="0.3">
      <c r="A100" s="1">
        <v>45742</v>
      </c>
      <c r="B100" s="3">
        <f>Data!B100</f>
        <v>247.09571838378901</v>
      </c>
      <c r="C100" s="3">
        <f>Data!H100</f>
        <v>119.66242980957</v>
      </c>
      <c r="D100" s="3">
        <f>Data!N100</f>
        <v>42.333671569824197</v>
      </c>
      <c r="F100" s="1">
        <v>45742</v>
      </c>
      <c r="G100" s="4">
        <f t="shared" si="14"/>
        <v>-3.9820702518345019E-4</v>
      </c>
      <c r="H100" s="4">
        <f t="shared" si="17"/>
        <v>-2.3961686293456741E-2</v>
      </c>
      <c r="I100" s="4">
        <f t="shared" si="18"/>
        <v>-1.0628493942310024E-2</v>
      </c>
      <c r="P100" s="1">
        <v>45742</v>
      </c>
      <c r="Q100" s="4">
        <f t="shared" si="15"/>
        <v>-1.289268480763074E-2</v>
      </c>
      <c r="R100" s="34">
        <f t="shared" si="16"/>
        <v>-12892.68480763074</v>
      </c>
      <c r="S100" s="34" t="b">
        <f t="shared" si="11"/>
        <v>0</v>
      </c>
      <c r="T100" s="34" t="b">
        <f t="shared" si="12"/>
        <v>0</v>
      </c>
      <c r="U100" s="34" t="b">
        <f t="shared" si="13"/>
        <v>0</v>
      </c>
    </row>
    <row r="101" spans="1:21" x14ac:dyDescent="0.3">
      <c r="A101" s="1">
        <v>45743</v>
      </c>
      <c r="B101" s="3">
        <f>Data!B101</f>
        <v>244.23132324218699</v>
      </c>
      <c r="C101" s="3">
        <f>Data!H101</f>
        <v>116.5288772583</v>
      </c>
      <c r="D101" s="3">
        <f>Data!N101</f>
        <v>42.076625823974602</v>
      </c>
      <c r="F101" s="1">
        <v>45743</v>
      </c>
      <c r="G101" s="4">
        <f t="shared" si="14"/>
        <v>-1.1592249191275106E-2</v>
      </c>
      <c r="H101" s="4">
        <f t="shared" si="17"/>
        <v>-2.6186603065445957E-2</v>
      </c>
      <c r="I101" s="4">
        <f t="shared" si="18"/>
        <v>-6.0718982388671128E-3</v>
      </c>
      <c r="P101" s="1">
        <v>45743</v>
      </c>
      <c r="Q101" s="4">
        <f t="shared" si="15"/>
        <v>-1.577388545522105E-2</v>
      </c>
      <c r="R101" s="34">
        <f t="shared" si="16"/>
        <v>-15773.885455221051</v>
      </c>
      <c r="S101" s="34" t="b">
        <f t="shared" si="11"/>
        <v>0</v>
      </c>
      <c r="T101" s="34" t="b">
        <f t="shared" si="12"/>
        <v>0</v>
      </c>
      <c r="U101" s="34" t="b">
        <f t="shared" si="13"/>
        <v>0</v>
      </c>
    </row>
    <row r="102" spans="1:21" x14ac:dyDescent="0.3">
      <c r="A102" s="1">
        <v>45744</v>
      </c>
      <c r="B102" s="3">
        <f>Data!B102</f>
        <v>239.04393005371</v>
      </c>
      <c r="C102" s="3">
        <f>Data!H102</f>
        <v>112.935096740722</v>
      </c>
      <c r="D102" s="3">
        <f>Data!N102</f>
        <v>40.781501770019503</v>
      </c>
      <c r="F102" s="1">
        <v>45744</v>
      </c>
      <c r="G102" s="4">
        <f t="shared" si="14"/>
        <v>-2.1239671961867934E-2</v>
      </c>
      <c r="H102" s="4">
        <f t="shared" si="17"/>
        <v>-3.0840256957182843E-2</v>
      </c>
      <c r="I102" s="4">
        <f t="shared" si="18"/>
        <v>-3.0780130977545173E-2</v>
      </c>
      <c r="P102" s="1">
        <v>45744</v>
      </c>
      <c r="Q102" s="4">
        <f t="shared" si="15"/>
        <v>-2.7942043664697068E-2</v>
      </c>
      <c r="R102" s="34">
        <f t="shared" si="16"/>
        <v>-27942.043664697067</v>
      </c>
      <c r="S102" s="34" t="b">
        <f t="shared" si="11"/>
        <v>0</v>
      </c>
      <c r="T102" s="34" t="b">
        <f t="shared" si="12"/>
        <v>0</v>
      </c>
      <c r="U102" s="34" t="b">
        <f t="shared" si="13"/>
        <v>0</v>
      </c>
    </row>
    <row r="103" spans="1:21" x14ac:dyDescent="0.3">
      <c r="A103" s="1">
        <v>45747</v>
      </c>
      <c r="B103" s="3">
        <f>Data!B103</f>
        <v>241.45553588867099</v>
      </c>
      <c r="C103" s="3">
        <f>Data!H103</f>
        <v>114.247261047363</v>
      </c>
      <c r="D103" s="3">
        <f>Data!N103</f>
        <v>41.256050109863203</v>
      </c>
      <c r="F103" s="1">
        <v>45747</v>
      </c>
      <c r="G103" s="4">
        <f t="shared" si="14"/>
        <v>1.0088546629982043E-2</v>
      </c>
      <c r="H103" s="4">
        <f t="shared" si="17"/>
        <v>1.1618746913136135E-2</v>
      </c>
      <c r="I103" s="4">
        <f t="shared" si="18"/>
        <v>1.1636362547898127E-2</v>
      </c>
      <c r="P103" s="1">
        <v>45747</v>
      </c>
      <c r="Q103" s="4">
        <f t="shared" si="15"/>
        <v>1.1164971518618505E-2</v>
      </c>
      <c r="R103" s="34">
        <f t="shared" si="16"/>
        <v>11164.971518618506</v>
      </c>
      <c r="S103" s="34" t="b">
        <f t="shared" si="11"/>
        <v>0</v>
      </c>
      <c r="T103" s="34" t="b">
        <f t="shared" si="12"/>
        <v>0</v>
      </c>
      <c r="U103" s="34" t="b">
        <f t="shared" si="13"/>
        <v>0</v>
      </c>
    </row>
    <row r="104" spans="1:21" x14ac:dyDescent="0.3">
      <c r="A104" s="1">
        <v>45748</v>
      </c>
      <c r="B104" s="3">
        <f>Data!B104</f>
        <v>239.84123229980401</v>
      </c>
      <c r="C104" s="3">
        <f>Data!H104</f>
        <v>113.33657073974599</v>
      </c>
      <c r="D104" s="3">
        <f>Data!N104</f>
        <v>41.018779754638601</v>
      </c>
      <c r="F104" s="1">
        <v>45748</v>
      </c>
      <c r="G104" s="4">
        <f t="shared" si="14"/>
        <v>-6.685717860746454E-3</v>
      </c>
      <c r="H104" s="4">
        <f t="shared" si="17"/>
        <v>-7.9712222355988738E-3</v>
      </c>
      <c r="I104" s="4">
        <f t="shared" si="18"/>
        <v>-5.7511650919745971E-3</v>
      </c>
      <c r="P104" s="1">
        <v>45748</v>
      </c>
      <c r="Q104" s="4">
        <f t="shared" si="15"/>
        <v>-6.9195537800558647E-3</v>
      </c>
      <c r="R104" s="34">
        <f t="shared" si="16"/>
        <v>-6919.553780055865</v>
      </c>
      <c r="S104" s="34" t="b">
        <f t="shared" si="11"/>
        <v>0</v>
      </c>
      <c r="T104" s="34" t="b">
        <f t="shared" si="12"/>
        <v>0</v>
      </c>
      <c r="U104" s="34" t="b">
        <f t="shared" si="13"/>
        <v>0</v>
      </c>
    </row>
    <row r="105" spans="1:21" x14ac:dyDescent="0.3">
      <c r="A105" s="1">
        <v>45749</v>
      </c>
      <c r="B105" s="3">
        <f>Data!B105</f>
        <v>241.96737670898401</v>
      </c>
      <c r="C105" s="3">
        <f>Data!H105</f>
        <v>116.79327392578099</v>
      </c>
      <c r="D105" s="3">
        <f>Data!N105</f>
        <v>41.374687194824197</v>
      </c>
      <c r="F105" s="1">
        <v>45749</v>
      </c>
      <c r="G105" s="4">
        <f t="shared" si="14"/>
        <v>8.8647993874644282E-3</v>
      </c>
      <c r="H105" s="4">
        <f t="shared" si="17"/>
        <v>3.0499451002206523E-2</v>
      </c>
      <c r="I105" s="4">
        <f t="shared" si="18"/>
        <v>8.6766949751924116E-3</v>
      </c>
      <c r="P105" s="1">
        <v>45749</v>
      </c>
      <c r="Q105" s="4">
        <f t="shared" si="15"/>
        <v>1.7462228709679662E-2</v>
      </c>
      <c r="R105" s="34">
        <f t="shared" si="16"/>
        <v>17462.228709679661</v>
      </c>
      <c r="S105" s="34" t="b">
        <f t="shared" si="11"/>
        <v>0</v>
      </c>
      <c r="T105" s="34" t="b">
        <f t="shared" si="12"/>
        <v>0</v>
      </c>
      <c r="U105" s="34" t="b">
        <f t="shared" si="13"/>
        <v>0</v>
      </c>
    </row>
    <row r="106" spans="1:21" x14ac:dyDescent="0.3">
      <c r="A106" s="1">
        <v>45750</v>
      </c>
      <c r="B106" s="3">
        <f>Data!B106</f>
        <v>225.10583496093699</v>
      </c>
      <c r="C106" s="3">
        <f>Data!H106</f>
        <v>105.688758850097</v>
      </c>
      <c r="D106" s="3">
        <f>Data!N106</f>
        <v>36.797275543212798</v>
      </c>
      <c r="F106" s="1">
        <v>45750</v>
      </c>
      <c r="G106" s="4">
        <f t="shared" si="14"/>
        <v>-6.9685186397365095E-2</v>
      </c>
      <c r="H106" s="4">
        <f t="shared" si="17"/>
        <v>-9.507837825267762E-2</v>
      </c>
      <c r="I106" s="4">
        <f t="shared" si="18"/>
        <v>-0.11063314219289166</v>
      </c>
      <c r="P106" s="1">
        <v>45750</v>
      </c>
      <c r="Q106" s="4">
        <f t="shared" si="15"/>
        <v>-9.2126849878148065E-2</v>
      </c>
      <c r="R106" s="34">
        <f t="shared" si="16"/>
        <v>-92126.849878148059</v>
      </c>
      <c r="S106" s="34" t="b">
        <f t="shared" si="11"/>
        <v>1</v>
      </c>
      <c r="T106" s="34" t="b">
        <f t="shared" si="12"/>
        <v>1</v>
      </c>
      <c r="U106" s="34" t="b">
        <f t="shared" si="13"/>
        <v>1</v>
      </c>
    </row>
    <row r="107" spans="1:21" x14ac:dyDescent="0.3">
      <c r="A107" s="1">
        <v>45751</v>
      </c>
      <c r="B107" s="3">
        <f>Data!B107</f>
        <v>208.25930786132801</v>
      </c>
      <c r="C107" s="3">
        <f>Data!H107</f>
        <v>97.7569580078125</v>
      </c>
      <c r="D107" s="3">
        <f>Data!N107</f>
        <v>33.999412536621001</v>
      </c>
      <c r="F107" s="1">
        <v>45751</v>
      </c>
      <c r="G107" s="4">
        <f t="shared" si="14"/>
        <v>-7.4838251538581368E-2</v>
      </c>
      <c r="H107" s="4">
        <f t="shared" si="17"/>
        <v>-7.5048670535856399E-2</v>
      </c>
      <c r="I107" s="4">
        <f t="shared" si="18"/>
        <v>-7.6034515199532415E-2</v>
      </c>
      <c r="P107" s="1">
        <v>45751</v>
      </c>
      <c r="Q107" s="4">
        <f t="shared" si="15"/>
        <v>-7.5281298235776686E-2</v>
      </c>
      <c r="R107" s="34">
        <f t="shared" si="16"/>
        <v>-75281.298235776689</v>
      </c>
      <c r="S107" s="34" t="b">
        <f t="shared" si="11"/>
        <v>1</v>
      </c>
      <c r="T107" s="34" t="b">
        <f t="shared" si="12"/>
        <v>1</v>
      </c>
      <c r="U107" s="34" t="b">
        <f t="shared" si="13"/>
        <v>1</v>
      </c>
    </row>
    <row r="108" spans="1:21" x14ac:dyDescent="0.3">
      <c r="A108" s="1">
        <v>45754</v>
      </c>
      <c r="B108" s="3">
        <f>Data!B108</f>
        <v>212.37933349609301</v>
      </c>
      <c r="C108" s="3">
        <f>Data!H108</f>
        <v>98.824325561523395</v>
      </c>
      <c r="D108" s="3">
        <f>Data!N108</f>
        <v>35.1759033203125</v>
      </c>
      <c r="F108" s="1">
        <v>45754</v>
      </c>
      <c r="G108" s="4">
        <f t="shared" si="14"/>
        <v>1.9783152441418705E-2</v>
      </c>
      <c r="H108" s="4">
        <f t="shared" si="17"/>
        <v>1.0918583960290551E-2</v>
      </c>
      <c r="I108" s="4">
        <f t="shared" si="18"/>
        <v>3.4603267995418907E-2</v>
      </c>
      <c r="P108" s="1">
        <v>45754</v>
      </c>
      <c r="Q108" s="4">
        <f t="shared" si="15"/>
        <v>2.0683359715167503E-2</v>
      </c>
      <c r="R108" s="34">
        <f t="shared" si="16"/>
        <v>20683.359715167502</v>
      </c>
      <c r="S108" s="34" t="b">
        <f t="shared" si="11"/>
        <v>0</v>
      </c>
      <c r="T108" s="34" t="b">
        <f t="shared" si="12"/>
        <v>0</v>
      </c>
      <c r="U108" s="34" t="b">
        <f t="shared" si="13"/>
        <v>0</v>
      </c>
    </row>
    <row r="109" spans="1:21" x14ac:dyDescent="0.3">
      <c r="A109" s="1">
        <v>45755</v>
      </c>
      <c r="B109" s="3">
        <f>Data!B109</f>
        <v>214.78596496582</v>
      </c>
      <c r="C109" s="3">
        <f>Data!H109</f>
        <v>98.226989746093693</v>
      </c>
      <c r="D109" s="3">
        <f>Data!N109</f>
        <v>34.632144927978501</v>
      </c>
      <c r="F109" s="1">
        <v>45755</v>
      </c>
      <c r="G109" s="4">
        <f t="shared" si="14"/>
        <v>1.1331759216445914E-2</v>
      </c>
      <c r="H109" s="4">
        <f t="shared" si="17"/>
        <v>-6.0444208653650522E-3</v>
      </c>
      <c r="I109" s="4">
        <f t="shared" si="18"/>
        <v>-1.5458263783093895E-2</v>
      </c>
      <c r="P109" s="1">
        <v>45755</v>
      </c>
      <c r="Q109" s="4">
        <f t="shared" si="15"/>
        <v>-3.6557197161404152E-3</v>
      </c>
      <c r="R109" s="34">
        <f t="shared" si="16"/>
        <v>-3655.7197161404151</v>
      </c>
      <c r="S109" s="34" t="b">
        <f t="shared" si="11"/>
        <v>0</v>
      </c>
      <c r="T109" s="34" t="b">
        <f t="shared" si="12"/>
        <v>0</v>
      </c>
      <c r="U109" s="34" t="b">
        <f t="shared" si="13"/>
        <v>0</v>
      </c>
    </row>
    <row r="110" spans="1:21" x14ac:dyDescent="0.3">
      <c r="A110" s="1">
        <v>45756</v>
      </c>
      <c r="B110" s="3">
        <f>Data!B110</f>
        <v>232.08808898925699</v>
      </c>
      <c r="C110" s="3">
        <f>Data!H110</f>
        <v>109.380470275878</v>
      </c>
      <c r="D110" s="3">
        <f>Data!N110</f>
        <v>36.728069305419901</v>
      </c>
      <c r="F110" s="1">
        <v>45756</v>
      </c>
      <c r="G110" s="4">
        <f t="shared" si="14"/>
        <v>8.0555189098088231E-2</v>
      </c>
      <c r="H110" s="4">
        <f t="shared" si="17"/>
        <v>0.11354802339575776</v>
      </c>
      <c r="I110" s="4">
        <f t="shared" si="18"/>
        <v>6.0519623656002608E-2</v>
      </c>
      <c r="P110" s="1">
        <v>45756</v>
      </c>
      <c r="Q110" s="4">
        <f t="shared" si="15"/>
        <v>8.7741653184530352E-2</v>
      </c>
      <c r="R110" s="34">
        <f t="shared" si="16"/>
        <v>87741.653184530354</v>
      </c>
      <c r="S110" s="34" t="b">
        <f t="shared" si="11"/>
        <v>0</v>
      </c>
      <c r="T110" s="34" t="b">
        <f t="shared" si="12"/>
        <v>0</v>
      </c>
      <c r="U110" s="34" t="b">
        <f t="shared" si="13"/>
        <v>0</v>
      </c>
    </row>
    <row r="111" spans="1:21" x14ac:dyDescent="0.3">
      <c r="A111" s="1">
        <v>45757</v>
      </c>
      <c r="B111" s="3">
        <f>Data!B111</f>
        <v>224.92756652832</v>
      </c>
      <c r="C111" s="3">
        <f>Data!H111</f>
        <v>104.36679077148401</v>
      </c>
      <c r="D111" s="3">
        <f>Data!N111</f>
        <v>35.44282913208</v>
      </c>
      <c r="F111" s="1">
        <v>45757</v>
      </c>
      <c r="G111" s="4">
        <f t="shared" si="14"/>
        <v>-3.0852606405270655E-2</v>
      </c>
      <c r="H111" s="4">
        <f t="shared" si="17"/>
        <v>-4.5837062976128662E-2</v>
      </c>
      <c r="I111" s="4">
        <f t="shared" si="18"/>
        <v>-3.4993404163236042E-2</v>
      </c>
      <c r="P111" s="1">
        <v>45757</v>
      </c>
      <c r="Q111" s="4">
        <f t="shared" si="15"/>
        <v>-3.8088628361003476E-2</v>
      </c>
      <c r="R111" s="34">
        <f t="shared" si="16"/>
        <v>-38088.628361003473</v>
      </c>
      <c r="S111" s="34" t="b">
        <f t="shared" si="11"/>
        <v>0</v>
      </c>
      <c r="T111" s="34" t="b">
        <f t="shared" si="12"/>
        <v>0</v>
      </c>
      <c r="U111" s="34" t="b">
        <f t="shared" si="13"/>
        <v>1</v>
      </c>
    </row>
    <row r="112" spans="1:21" x14ac:dyDescent="0.3">
      <c r="A112" s="1">
        <v>45758</v>
      </c>
      <c r="B112" s="3">
        <f>Data!B112</f>
        <v>233.93022155761699</v>
      </c>
      <c r="C112" s="3">
        <f>Data!H112</f>
        <v>105.87480926513599</v>
      </c>
      <c r="D112" s="3">
        <f>Data!N112</f>
        <v>35.541698455810497</v>
      </c>
      <c r="F112" s="1">
        <v>45758</v>
      </c>
      <c r="G112" s="4">
        <f t="shared" si="14"/>
        <v>4.0024685138642102E-2</v>
      </c>
      <c r="H112" s="4">
        <f t="shared" si="17"/>
        <v>1.4449217825944993E-2</v>
      </c>
      <c r="I112" s="4">
        <f t="shared" si="18"/>
        <v>2.7895437850644633E-3</v>
      </c>
      <c r="P112" s="1">
        <v>45758</v>
      </c>
      <c r="Q112" s="4">
        <f t="shared" si="15"/>
        <v>1.8623955807489968E-2</v>
      </c>
      <c r="R112" s="34">
        <f t="shared" si="16"/>
        <v>18623.955807489969</v>
      </c>
      <c r="S112" s="34" t="b">
        <f t="shared" si="11"/>
        <v>0</v>
      </c>
      <c r="T112" s="34" t="b">
        <f t="shared" si="12"/>
        <v>0</v>
      </c>
      <c r="U112" s="34" t="b">
        <f t="shared" si="13"/>
        <v>0</v>
      </c>
    </row>
    <row r="113" spans="1:21" x14ac:dyDescent="0.3">
      <c r="A113" s="1">
        <v>45761</v>
      </c>
      <c r="B113" s="3">
        <f>Data!B113</f>
        <v>232.464431762695</v>
      </c>
      <c r="C113" s="3">
        <f>Data!H113</f>
        <v>106.84425354003901</v>
      </c>
      <c r="D113" s="3">
        <f>Data!N113</f>
        <v>36.253517150878899</v>
      </c>
      <c r="F113" s="1">
        <v>45761</v>
      </c>
      <c r="G113" s="4">
        <f t="shared" si="14"/>
        <v>-6.2659274426454248E-3</v>
      </c>
      <c r="H113" s="4">
        <f t="shared" si="17"/>
        <v>9.1565149598078488E-3</v>
      </c>
      <c r="I113" s="4">
        <f t="shared" si="18"/>
        <v>2.0027706215374419E-2</v>
      </c>
      <c r="P113" s="1">
        <v>45761</v>
      </c>
      <c r="Q113" s="4">
        <f t="shared" si="15"/>
        <v>7.7911396157418385E-3</v>
      </c>
      <c r="R113" s="34">
        <f t="shared" si="16"/>
        <v>7791.1396157418385</v>
      </c>
      <c r="S113" s="34" t="b">
        <f t="shared" si="11"/>
        <v>0</v>
      </c>
      <c r="T113" s="34" t="b">
        <f t="shared" si="12"/>
        <v>0</v>
      </c>
      <c r="U113" s="34" t="b">
        <f t="shared" si="13"/>
        <v>0</v>
      </c>
    </row>
    <row r="114" spans="1:21" x14ac:dyDescent="0.3">
      <c r="A114" s="1">
        <v>45762</v>
      </c>
      <c r="B114" s="3">
        <f>Data!B114</f>
        <v>230.88973999023401</v>
      </c>
      <c r="C114" s="3">
        <f>Data!H114</f>
        <v>108.14663696289</v>
      </c>
      <c r="D114" s="3">
        <f>Data!N114</f>
        <v>37.558528900146399</v>
      </c>
      <c r="F114" s="1">
        <v>45762</v>
      </c>
      <c r="G114" s="4">
        <f t="shared" si="14"/>
        <v>-6.7739041216785534E-3</v>
      </c>
      <c r="H114" s="4">
        <f t="shared" si="17"/>
        <v>1.2189550487738066E-2</v>
      </c>
      <c r="I114" s="4">
        <f t="shared" si="18"/>
        <v>3.599683153047839E-2</v>
      </c>
      <c r="P114" s="1">
        <v>45762</v>
      </c>
      <c r="Q114" s="4">
        <f t="shared" si="15"/>
        <v>1.3642698417735178E-2</v>
      </c>
      <c r="R114" s="34">
        <f t="shared" si="16"/>
        <v>13642.698417735179</v>
      </c>
      <c r="S114" s="34" t="b">
        <f t="shared" si="11"/>
        <v>0</v>
      </c>
      <c r="T114" s="34" t="b">
        <f t="shared" si="12"/>
        <v>0</v>
      </c>
      <c r="U114" s="34" t="b">
        <f t="shared" si="13"/>
        <v>0</v>
      </c>
    </row>
    <row r="115" spans="1:21" x14ac:dyDescent="0.3">
      <c r="A115" s="1">
        <v>45763</v>
      </c>
      <c r="B115" s="3">
        <f>Data!B115</f>
        <v>227.403549194335</v>
      </c>
      <c r="C115" s="3">
        <f>Data!H115</f>
        <v>105.620216369628</v>
      </c>
      <c r="D115" s="3">
        <f>Data!N115</f>
        <v>36.9060249328613</v>
      </c>
      <c r="F115" s="1">
        <v>45763</v>
      </c>
      <c r="G115" s="4">
        <f t="shared" si="14"/>
        <v>-1.509894201468831E-2</v>
      </c>
      <c r="H115" s="4">
        <f t="shared" si="17"/>
        <v>-2.3361064793248509E-2</v>
      </c>
      <c r="I115" s="4">
        <f t="shared" si="18"/>
        <v>-1.737299054017416E-2</v>
      </c>
      <c r="P115" s="1">
        <v>45763</v>
      </c>
      <c r="Q115" s="4">
        <f t="shared" si="15"/>
        <v>-1.9086005683758143E-2</v>
      </c>
      <c r="R115" s="34">
        <f t="shared" si="16"/>
        <v>-19086.005683758143</v>
      </c>
      <c r="S115" s="34" t="b">
        <f t="shared" si="11"/>
        <v>0</v>
      </c>
      <c r="T115" s="34" t="b">
        <f t="shared" si="12"/>
        <v>0</v>
      </c>
      <c r="U115" s="34" t="b">
        <f t="shared" si="13"/>
        <v>0</v>
      </c>
    </row>
    <row r="116" spans="1:21" x14ac:dyDescent="0.3">
      <c r="A116" s="1">
        <v>45764</v>
      </c>
      <c r="B116" s="3">
        <f>Data!B116</f>
        <v>229.73097229003901</v>
      </c>
      <c r="C116" s="3">
        <f>Data!H116</f>
        <v>106.912803649902</v>
      </c>
      <c r="D116" s="3">
        <f>Data!N116</f>
        <v>36.985115051269503</v>
      </c>
      <c r="F116" s="1">
        <v>45764</v>
      </c>
      <c r="G116" s="4">
        <f t="shared" si="14"/>
        <v>1.0234770318888087E-2</v>
      </c>
      <c r="H116" s="4">
        <f t="shared" si="17"/>
        <v>1.2238066960121197E-2</v>
      </c>
      <c r="I116" s="4">
        <f t="shared" si="18"/>
        <v>2.1430137369733426E-3</v>
      </c>
      <c r="P116" s="1">
        <v>45764</v>
      </c>
      <c r="Q116" s="4">
        <f t="shared" si="15"/>
        <v>8.6085620008069068E-3</v>
      </c>
      <c r="R116" s="34">
        <f t="shared" si="16"/>
        <v>8608.5620008069072</v>
      </c>
      <c r="S116" s="34" t="b">
        <f t="shared" si="11"/>
        <v>0</v>
      </c>
      <c r="T116" s="34" t="b">
        <f t="shared" si="12"/>
        <v>0</v>
      </c>
      <c r="U116" s="34" t="b">
        <f t="shared" si="13"/>
        <v>0</v>
      </c>
    </row>
    <row r="117" spans="1:21" x14ac:dyDescent="0.3">
      <c r="A117" s="1">
        <v>45768</v>
      </c>
      <c r="B117" s="3">
        <f>Data!B117</f>
        <v>226.78950500488199</v>
      </c>
      <c r="C117" s="3">
        <f>Data!H117</f>
        <v>104.09261322021401</v>
      </c>
      <c r="D117" s="3">
        <f>Data!N117</f>
        <v>36.500679016113203</v>
      </c>
      <c r="F117" s="1">
        <v>45768</v>
      </c>
      <c r="G117" s="4">
        <f t="shared" si="14"/>
        <v>-1.2803964810819579E-2</v>
      </c>
      <c r="H117" s="4">
        <f t="shared" si="17"/>
        <v>-2.6378416180376507E-2</v>
      </c>
      <c r="I117" s="4">
        <f t="shared" si="18"/>
        <v>-1.3098135141252465E-2</v>
      </c>
      <c r="P117" s="1">
        <v>45768</v>
      </c>
      <c r="Q117" s="4">
        <f t="shared" si="15"/>
        <v>-1.8321996457772216E-2</v>
      </c>
      <c r="R117" s="34">
        <f t="shared" si="16"/>
        <v>-18321.996457772217</v>
      </c>
      <c r="S117" s="34" t="b">
        <f t="shared" si="11"/>
        <v>0</v>
      </c>
      <c r="T117" s="34" t="b">
        <f t="shared" si="12"/>
        <v>0</v>
      </c>
      <c r="U117" s="34" t="b">
        <f t="shared" si="13"/>
        <v>0</v>
      </c>
    </row>
    <row r="118" spans="1:21" x14ac:dyDescent="0.3">
      <c r="A118" s="1">
        <v>45769</v>
      </c>
      <c r="B118" s="3">
        <f>Data!B118</f>
        <v>233.326080322265</v>
      </c>
      <c r="C118" s="3">
        <f>Data!H118</f>
        <v>108.087882995605</v>
      </c>
      <c r="D118" s="3">
        <f>Data!N118</f>
        <v>37.884780883788999</v>
      </c>
      <c r="F118" s="1">
        <v>45769</v>
      </c>
      <c r="G118" s="4">
        <f t="shared" si="14"/>
        <v>2.8822212550101423E-2</v>
      </c>
      <c r="H118" s="4">
        <f t="shared" si="17"/>
        <v>3.8381876021680528E-2</v>
      </c>
      <c r="I118" s="4">
        <f t="shared" si="18"/>
        <v>3.7919893683752592E-2</v>
      </c>
      <c r="P118" s="1">
        <v>45769</v>
      </c>
      <c r="Q118" s="4">
        <f t="shared" si="15"/>
        <v>3.5375382278828416E-2</v>
      </c>
      <c r="R118" s="34">
        <f t="shared" si="16"/>
        <v>35375.382278828416</v>
      </c>
      <c r="S118" s="34" t="b">
        <f t="shared" si="11"/>
        <v>0</v>
      </c>
      <c r="T118" s="34" t="b">
        <f t="shared" si="12"/>
        <v>0</v>
      </c>
      <c r="U118" s="34" t="b">
        <f t="shared" si="13"/>
        <v>0</v>
      </c>
    </row>
    <row r="119" spans="1:21" x14ac:dyDescent="0.3">
      <c r="A119" s="1">
        <v>45770</v>
      </c>
      <c r="B119" s="3">
        <f>Data!B119</f>
        <v>238.56524658203099</v>
      </c>
      <c r="C119" s="3">
        <f>Data!H119</f>
        <v>109.97779846191401</v>
      </c>
      <c r="D119" s="3">
        <f>Data!N119</f>
        <v>38.3098945617675</v>
      </c>
      <c r="F119" s="1">
        <v>45770</v>
      </c>
      <c r="G119" s="4">
        <f t="shared" si="14"/>
        <v>2.2454267660648064E-2</v>
      </c>
      <c r="H119" s="4">
        <f t="shared" si="17"/>
        <v>1.7484989195188927E-2</v>
      </c>
      <c r="I119" s="4">
        <f t="shared" si="18"/>
        <v>1.1221225728677897E-2</v>
      </c>
      <c r="P119" s="1">
        <v>45770</v>
      </c>
      <c r="Q119" s="4">
        <f t="shared" si="15"/>
        <v>1.7096643694873358E-2</v>
      </c>
      <c r="R119" s="34">
        <f t="shared" si="16"/>
        <v>17096.643694873357</v>
      </c>
      <c r="S119" s="34" t="b">
        <f t="shared" si="11"/>
        <v>0</v>
      </c>
      <c r="T119" s="34" t="b">
        <f t="shared" si="12"/>
        <v>0</v>
      </c>
      <c r="U119" s="34" t="b">
        <f t="shared" si="13"/>
        <v>0</v>
      </c>
    </row>
    <row r="120" spans="1:21" x14ac:dyDescent="0.3">
      <c r="A120" s="1">
        <v>45771</v>
      </c>
      <c r="B120" s="3">
        <f>Data!B120</f>
        <v>242.28910827636699</v>
      </c>
      <c r="C120" s="3">
        <f>Data!H120</f>
        <v>113.199485778808</v>
      </c>
      <c r="D120" s="3">
        <f>Data!N120</f>
        <v>39.130474090576101</v>
      </c>
      <c r="F120" s="1">
        <v>45771</v>
      </c>
      <c r="G120" s="4">
        <f t="shared" si="14"/>
        <v>1.5609405593180359E-2</v>
      </c>
      <c r="H120" s="4">
        <f t="shared" si="17"/>
        <v>2.9293978984400892E-2</v>
      </c>
      <c r="I120" s="4">
        <f t="shared" si="18"/>
        <v>2.1419519374702878E-2</v>
      </c>
      <c r="P120" s="1">
        <v>45771</v>
      </c>
      <c r="Q120" s="4">
        <f t="shared" si="15"/>
        <v>2.2826269084125328E-2</v>
      </c>
      <c r="R120" s="34">
        <f t="shared" si="16"/>
        <v>22826.269084125328</v>
      </c>
      <c r="S120" s="34" t="b">
        <f t="shared" si="11"/>
        <v>0</v>
      </c>
      <c r="T120" s="34" t="b">
        <f t="shared" si="12"/>
        <v>0</v>
      </c>
      <c r="U120" s="34" t="b">
        <f t="shared" si="13"/>
        <v>0</v>
      </c>
    </row>
    <row r="121" spans="1:21" x14ac:dyDescent="0.3">
      <c r="A121" s="1">
        <v>45772</v>
      </c>
      <c r="B121" s="3">
        <f>Data!B121</f>
        <v>241.20959472656199</v>
      </c>
      <c r="C121" s="3">
        <f>Data!H121</f>
        <v>113.600982666015</v>
      </c>
      <c r="D121" s="3">
        <f>Data!N121</f>
        <v>39.239219665527301</v>
      </c>
      <c r="F121" s="1">
        <v>45772</v>
      </c>
      <c r="G121" s="4">
        <f t="shared" si="14"/>
        <v>-4.4554770021839607E-3</v>
      </c>
      <c r="H121" s="4">
        <f t="shared" si="17"/>
        <v>3.5468084015111145E-3</v>
      </c>
      <c r="I121" s="4">
        <f t="shared" si="18"/>
        <v>2.7790507904270623E-3</v>
      </c>
      <c r="P121" s="1">
        <v>45772</v>
      </c>
      <c r="Q121" s="4">
        <f t="shared" si="15"/>
        <v>9.1579549707737629E-4</v>
      </c>
      <c r="R121" s="34">
        <f t="shared" si="16"/>
        <v>915.79549707737624</v>
      </c>
      <c r="S121" s="34" t="b">
        <f t="shared" si="11"/>
        <v>0</v>
      </c>
      <c r="T121" s="34" t="b">
        <f t="shared" si="12"/>
        <v>0</v>
      </c>
      <c r="U121" s="34" t="b">
        <f t="shared" si="13"/>
        <v>0</v>
      </c>
    </row>
    <row r="122" spans="1:21" x14ac:dyDescent="0.3">
      <c r="A122" s="1">
        <v>45775</v>
      </c>
      <c r="B122" s="3">
        <f>Data!B122</f>
        <v>240.88275146484301</v>
      </c>
      <c r="C122" s="3">
        <f>Data!H122</f>
        <v>113.42470550537099</v>
      </c>
      <c r="D122" s="3">
        <f>Data!N122</f>
        <v>39.328197479247997</v>
      </c>
      <c r="F122" s="1">
        <v>45775</v>
      </c>
      <c r="G122" s="4">
        <f t="shared" si="14"/>
        <v>-1.3550176645729106E-3</v>
      </c>
      <c r="H122" s="4">
        <f t="shared" si="17"/>
        <v>-1.5517221462973962E-3</v>
      </c>
      <c r="I122" s="4">
        <f t="shared" si="18"/>
        <v>2.2675734756996135E-3</v>
      </c>
      <c r="P122" s="1">
        <v>45775</v>
      </c>
      <c r="Q122" s="4">
        <f t="shared" si="15"/>
        <v>-3.4692211518094762E-4</v>
      </c>
      <c r="R122" s="34">
        <f t="shared" si="16"/>
        <v>-346.92211518094763</v>
      </c>
      <c r="S122" s="34" t="b">
        <f t="shared" si="11"/>
        <v>0</v>
      </c>
      <c r="T122" s="34" t="b">
        <f t="shared" si="12"/>
        <v>0</v>
      </c>
      <c r="U122" s="34" t="b">
        <f t="shared" si="13"/>
        <v>0</v>
      </c>
    </row>
    <row r="123" spans="1:21" x14ac:dyDescent="0.3">
      <c r="A123" s="1">
        <v>45776</v>
      </c>
      <c r="B123" s="3">
        <f>Data!B123</f>
        <v>242.26930236816401</v>
      </c>
      <c r="C123" s="3">
        <f>Data!H123</f>
        <v>113.796813964843</v>
      </c>
      <c r="D123" s="3">
        <f>Data!N123</f>
        <v>39.535812377929602</v>
      </c>
      <c r="F123" s="1">
        <v>45776</v>
      </c>
      <c r="G123" s="4">
        <f t="shared" si="14"/>
        <v>5.7561236530601079E-3</v>
      </c>
      <c r="H123" s="4">
        <f t="shared" si="17"/>
        <v>3.2806649822367806E-3</v>
      </c>
      <c r="I123" s="4">
        <f t="shared" si="18"/>
        <v>5.2790341787507522E-3</v>
      </c>
      <c r="P123" s="1">
        <v>45776</v>
      </c>
      <c r="Q123" s="4">
        <f t="shared" si="15"/>
        <v>4.6228133424379703E-3</v>
      </c>
      <c r="R123" s="34">
        <f t="shared" si="16"/>
        <v>4622.8133424379703</v>
      </c>
      <c r="S123" s="34" t="b">
        <f t="shared" si="11"/>
        <v>0</v>
      </c>
      <c r="T123" s="34" t="b">
        <f t="shared" si="12"/>
        <v>0</v>
      </c>
      <c r="U123" s="34" t="b">
        <f t="shared" si="13"/>
        <v>0</v>
      </c>
    </row>
    <row r="124" spans="1:21" x14ac:dyDescent="0.3">
      <c r="A124" s="1">
        <v>45777</v>
      </c>
      <c r="B124" s="3">
        <f>Data!B124</f>
        <v>242.26930236816401</v>
      </c>
      <c r="C124" s="3">
        <f>Data!H124</f>
        <v>113.93007659912099</v>
      </c>
      <c r="D124" s="3">
        <f>Data!N124</f>
        <v>39.4270629882812</v>
      </c>
      <c r="F124" s="1">
        <v>45777</v>
      </c>
      <c r="G124" s="4">
        <f t="shared" si="14"/>
        <v>0</v>
      </c>
      <c r="H124" s="4">
        <f t="shared" si="17"/>
        <v>1.1710576916430515E-3</v>
      </c>
      <c r="I124" s="4">
        <f t="shared" si="18"/>
        <v>-2.7506552441327603E-3</v>
      </c>
      <c r="P124" s="1">
        <v>45777</v>
      </c>
      <c r="Q124" s="4">
        <f t="shared" si="15"/>
        <v>-3.567734965826074E-4</v>
      </c>
      <c r="R124" s="34">
        <f t="shared" si="16"/>
        <v>-356.77349658260738</v>
      </c>
      <c r="S124" s="34" t="b">
        <f t="shared" si="11"/>
        <v>0</v>
      </c>
      <c r="T124" s="34" t="b">
        <f t="shared" si="12"/>
        <v>0</v>
      </c>
      <c r="U124" s="34" t="b">
        <f t="shared" si="13"/>
        <v>0</v>
      </c>
    </row>
    <row r="125" spans="1:21" x14ac:dyDescent="0.3">
      <c r="A125" s="1">
        <v>45778</v>
      </c>
      <c r="B125" s="3">
        <f>Data!B125</f>
        <v>244.51750183105401</v>
      </c>
      <c r="C125" s="3">
        <f>Data!H125</f>
        <v>115.25277709960901</v>
      </c>
      <c r="D125" s="3">
        <f>Data!N125</f>
        <v>39.713768005371001</v>
      </c>
      <c r="F125" s="1">
        <v>45778</v>
      </c>
      <c r="G125" s="4">
        <f t="shared" si="14"/>
        <v>9.279753732371443E-3</v>
      </c>
      <c r="H125" s="4">
        <f t="shared" si="17"/>
        <v>1.1609756966477924E-2</v>
      </c>
      <c r="I125" s="4">
        <f t="shared" si="18"/>
        <v>7.2717822571521928E-3</v>
      </c>
      <c r="P125" s="1">
        <v>45778</v>
      </c>
      <c r="Q125" s="4">
        <f t="shared" si="15"/>
        <v>9.6093635834482612E-3</v>
      </c>
      <c r="R125" s="34">
        <f t="shared" si="16"/>
        <v>9609.3635834482611</v>
      </c>
      <c r="S125" s="34" t="b">
        <f t="shared" si="11"/>
        <v>0</v>
      </c>
      <c r="T125" s="34" t="b">
        <f t="shared" si="12"/>
        <v>0</v>
      </c>
      <c r="U125" s="34" t="b">
        <f t="shared" si="13"/>
        <v>0</v>
      </c>
    </row>
    <row r="126" spans="1:21" x14ac:dyDescent="0.3">
      <c r="A126" s="1">
        <v>45779</v>
      </c>
      <c r="B126" s="3">
        <f>Data!B126</f>
        <v>250.08348083496</v>
      </c>
      <c r="C126" s="3">
        <f>Data!H126</f>
        <v>118.66811370849599</v>
      </c>
      <c r="D126" s="3">
        <f>Data!N126</f>
        <v>40.603546142578097</v>
      </c>
      <c r="F126" s="1">
        <v>45779</v>
      </c>
      <c r="G126" s="4">
        <f t="shared" si="14"/>
        <v>2.2763110870287484E-2</v>
      </c>
      <c r="H126" s="4">
        <f t="shared" si="17"/>
        <v>2.9633443070401944E-2</v>
      </c>
      <c r="I126" s="4">
        <f t="shared" si="18"/>
        <v>2.2404777534248632E-2</v>
      </c>
      <c r="P126" s="1">
        <v>45779</v>
      </c>
      <c r="Q126" s="4">
        <f t="shared" si="15"/>
        <v>2.5403743749521614E-2</v>
      </c>
      <c r="R126" s="34">
        <f t="shared" si="16"/>
        <v>25403.743749521615</v>
      </c>
      <c r="S126" s="34" t="b">
        <f t="shared" si="11"/>
        <v>0</v>
      </c>
      <c r="T126" s="34" t="b">
        <f t="shared" si="12"/>
        <v>0</v>
      </c>
      <c r="U126" s="34" t="b">
        <f t="shared" si="13"/>
        <v>0</v>
      </c>
    </row>
    <row r="127" spans="1:21" x14ac:dyDescent="0.3">
      <c r="A127" s="1">
        <v>45782</v>
      </c>
      <c r="B127" s="3">
        <f>Data!B127</f>
        <v>250.13301086425699</v>
      </c>
      <c r="C127" s="3">
        <f>Data!H127</f>
        <v>118.056114196777</v>
      </c>
      <c r="D127" s="3">
        <f>Data!N127</f>
        <v>40.652980804443303</v>
      </c>
      <c r="F127" s="1">
        <v>45782</v>
      </c>
      <c r="G127" s="4">
        <f t="shared" si="14"/>
        <v>1.9805398234074012E-4</v>
      </c>
      <c r="H127" s="4">
        <f t="shared" si="17"/>
        <v>-5.1572363678279443E-3</v>
      </c>
      <c r="I127" s="4">
        <f t="shared" si="18"/>
        <v>1.2174961687241304E-3</v>
      </c>
      <c r="P127" s="1">
        <v>45782</v>
      </c>
      <c r="Q127" s="4">
        <f t="shared" si="15"/>
        <v>-1.6382295018117167E-3</v>
      </c>
      <c r="R127" s="34">
        <f t="shared" si="16"/>
        <v>-1638.2295018117168</v>
      </c>
      <c r="S127" s="34" t="b">
        <f t="shared" si="11"/>
        <v>0</v>
      </c>
      <c r="T127" s="34" t="b">
        <f t="shared" si="12"/>
        <v>0</v>
      </c>
      <c r="U127" s="34" t="b">
        <f t="shared" si="13"/>
        <v>0</v>
      </c>
    </row>
    <row r="128" spans="1:21" x14ac:dyDescent="0.3">
      <c r="A128" s="1">
        <v>45783</v>
      </c>
      <c r="B128" s="3">
        <f>Data!B128</f>
        <v>246.85481262207</v>
      </c>
      <c r="C128" s="3">
        <f>Data!H128</f>
        <v>116.802513122558</v>
      </c>
      <c r="D128" s="3">
        <f>Data!N128</f>
        <v>40.3761596679687</v>
      </c>
      <c r="F128" s="1">
        <v>45783</v>
      </c>
      <c r="G128" s="4">
        <f t="shared" si="14"/>
        <v>-1.3105820102913168E-2</v>
      </c>
      <c r="H128" s="4">
        <f t="shared" si="17"/>
        <v>-1.0618688263188902E-2</v>
      </c>
      <c r="I128" s="4">
        <f t="shared" si="18"/>
        <v>-6.8093687350067045E-3</v>
      </c>
      <c r="P128" s="1">
        <v>45783</v>
      </c>
      <c r="Q128" s="4">
        <f t="shared" si="15"/>
        <v>-1.0222031956651523E-2</v>
      </c>
      <c r="R128" s="34">
        <f t="shared" si="16"/>
        <v>-10222.031956651523</v>
      </c>
      <c r="S128" s="34" t="b">
        <f t="shared" si="11"/>
        <v>0</v>
      </c>
      <c r="T128" s="34" t="b">
        <f t="shared" si="12"/>
        <v>0</v>
      </c>
      <c r="U128" s="34" t="b">
        <f t="shared" si="13"/>
        <v>0</v>
      </c>
    </row>
    <row r="129" spans="1:21" x14ac:dyDescent="0.3">
      <c r="A129" s="1">
        <v>45784</v>
      </c>
      <c r="B129" s="3">
        <f>Data!B129</f>
        <v>246.99346923828099</v>
      </c>
      <c r="C129" s="3">
        <f>Data!H129</f>
        <v>117.56256866455</v>
      </c>
      <c r="D129" s="3">
        <f>Data!N129</f>
        <v>40.465137481689403</v>
      </c>
      <c r="F129" s="1">
        <v>45784</v>
      </c>
      <c r="G129" s="4">
        <f t="shared" si="14"/>
        <v>5.616929835727813E-4</v>
      </c>
      <c r="H129" s="4">
        <f t="shared" si="17"/>
        <v>6.5071848342381777E-3</v>
      </c>
      <c r="I129" s="4">
        <f t="shared" si="18"/>
        <v>2.2037215637249474E-3</v>
      </c>
      <c r="P129" s="1">
        <v>45784</v>
      </c>
      <c r="Q129" s="4">
        <f t="shared" si="15"/>
        <v>3.4324982978845898E-3</v>
      </c>
      <c r="R129" s="34">
        <f t="shared" si="16"/>
        <v>3432.4982978845896</v>
      </c>
      <c r="S129" s="34" t="b">
        <f t="shared" si="11"/>
        <v>0</v>
      </c>
      <c r="T129" s="34" t="b">
        <f t="shared" si="12"/>
        <v>0</v>
      </c>
      <c r="U129" s="34" t="b">
        <f t="shared" si="13"/>
        <v>0</v>
      </c>
    </row>
    <row r="130" spans="1:21" x14ac:dyDescent="0.3">
      <c r="A130" s="1">
        <v>45785</v>
      </c>
      <c r="B130" s="3">
        <f>Data!B130</f>
        <v>251.034255981445</v>
      </c>
      <c r="C130" s="3">
        <f>Data!H130</f>
        <v>120.306678771972</v>
      </c>
      <c r="D130" s="3">
        <f>Data!N130</f>
        <v>41.127529144287102</v>
      </c>
      <c r="F130" s="1">
        <v>45785</v>
      </c>
      <c r="G130" s="4">
        <f t="shared" si="14"/>
        <v>1.6359893059624708E-2</v>
      </c>
      <c r="H130" s="4">
        <f t="shared" si="17"/>
        <v>2.3341699135989158E-2</v>
      </c>
      <c r="I130" s="4">
        <f t="shared" si="18"/>
        <v>1.6369440556020187E-2</v>
      </c>
      <c r="P130" s="1">
        <v>45785</v>
      </c>
      <c r="Q130" s="4">
        <f t="shared" si="15"/>
        <v>1.915547973908913E-2</v>
      </c>
      <c r="R130" s="34">
        <f t="shared" si="16"/>
        <v>19155.479739089129</v>
      </c>
      <c r="S130" s="34" t="b">
        <f t="shared" si="11"/>
        <v>0</v>
      </c>
      <c r="T130" s="34" t="b">
        <f t="shared" si="12"/>
        <v>0</v>
      </c>
      <c r="U130" s="34" t="b">
        <f t="shared" si="13"/>
        <v>0</v>
      </c>
    </row>
    <row r="131" spans="1:21" x14ac:dyDescent="0.3">
      <c r="A131" s="1">
        <v>45786</v>
      </c>
      <c r="B131" s="3">
        <f>Data!B131</f>
        <v>250.64801025390599</v>
      </c>
      <c r="C131" s="3">
        <f>Data!H131</f>
        <v>120.129005432128</v>
      </c>
      <c r="D131" s="3">
        <f>Data!N131</f>
        <v>41.3153686523437</v>
      </c>
      <c r="F131" s="1">
        <v>45786</v>
      </c>
      <c r="G131" s="4">
        <f t="shared" si="14"/>
        <v>-1.5386176122813566E-3</v>
      </c>
      <c r="H131" s="4">
        <f t="shared" si="17"/>
        <v>-1.4768368776996166E-3</v>
      </c>
      <c r="I131" s="4">
        <f t="shared" si="18"/>
        <v>4.5672451509937151E-3</v>
      </c>
      <c r="P131" s="1">
        <v>45786</v>
      </c>
      <c r="Q131" s="4">
        <f t="shared" si="15"/>
        <v>3.1785351053386095E-4</v>
      </c>
      <c r="R131" s="34">
        <f t="shared" si="16"/>
        <v>317.85351053386097</v>
      </c>
      <c r="S131" s="34" t="b">
        <f t="shared" si="11"/>
        <v>0</v>
      </c>
      <c r="T131" s="34" t="b">
        <f t="shared" si="12"/>
        <v>0</v>
      </c>
      <c r="U131" s="34" t="b">
        <f t="shared" si="13"/>
        <v>0</v>
      </c>
    </row>
    <row r="132" spans="1:21" x14ac:dyDescent="0.3">
      <c r="A132" s="1">
        <v>45789</v>
      </c>
      <c r="B132" s="3">
        <f>Data!B132</f>
        <v>257.551025390625</v>
      </c>
      <c r="C132" s="3">
        <f>Data!H132</f>
        <v>125.41981506347599</v>
      </c>
      <c r="D132" s="3">
        <f>Data!N132</f>
        <v>42.867542266845703</v>
      </c>
      <c r="F132" s="1">
        <v>45789</v>
      </c>
      <c r="G132" s="4">
        <f t="shared" si="14"/>
        <v>2.754067399029525E-2</v>
      </c>
      <c r="H132" s="4">
        <f t="shared" si="17"/>
        <v>4.4042732330263679E-2</v>
      </c>
      <c r="I132" s="4">
        <f t="shared" si="18"/>
        <v>3.7568916002252761E-2</v>
      </c>
      <c r="P132" s="1">
        <v>45789</v>
      </c>
      <c r="Q132" s="4">
        <f t="shared" si="15"/>
        <v>3.7149969929869874E-2</v>
      </c>
      <c r="R132" s="34">
        <f t="shared" si="16"/>
        <v>37149.969929869876</v>
      </c>
      <c r="S132" s="34" t="b">
        <f t="shared" ref="S132:S195" si="19">$L$9&gt;R132</f>
        <v>0</v>
      </c>
      <c r="T132" s="34" t="b">
        <f t="shared" ref="T132:T195" si="20">$L$10&gt;R132</f>
        <v>0</v>
      </c>
      <c r="U132" s="34" t="b">
        <f t="shared" ref="U132:U195" si="21">$L$11&gt;R132</f>
        <v>0</v>
      </c>
    </row>
    <row r="133" spans="1:21" x14ac:dyDescent="0.3">
      <c r="A133" s="1">
        <v>45790</v>
      </c>
      <c r="B133" s="3">
        <f>Data!B133</f>
        <v>260.48260498046801</v>
      </c>
      <c r="C133" s="3">
        <f>Data!H133</f>
        <v>127.68026733398401</v>
      </c>
      <c r="D133" s="3">
        <f>Data!N133</f>
        <v>43.777088165283203</v>
      </c>
      <c r="F133" s="1">
        <v>45790</v>
      </c>
      <c r="G133" s="4">
        <f t="shared" ref="G133:G196" si="22">B133/B132-1</f>
        <v>1.1382519581883743E-2</v>
      </c>
      <c r="H133" s="4">
        <f t="shared" si="17"/>
        <v>1.8023087255901071E-2</v>
      </c>
      <c r="I133" s="4">
        <f t="shared" si="18"/>
        <v>2.1217589120824165E-2</v>
      </c>
      <c r="P133" s="1">
        <v>45790</v>
      </c>
      <c r="Q133" s="4">
        <f t="shared" ref="Q133:Q196" si="23">SUMPRODUCT(G133:I133,$L$3:$N$3)</f>
        <v>1.6989267513172802E-2</v>
      </c>
      <c r="R133" s="34">
        <f t="shared" ref="R133:R196" si="24">Q133*1000000</f>
        <v>16989.267513172803</v>
      </c>
      <c r="S133" s="34" t="b">
        <f t="shared" si="19"/>
        <v>0</v>
      </c>
      <c r="T133" s="34" t="b">
        <f t="shared" si="20"/>
        <v>0</v>
      </c>
      <c r="U133" s="34" t="b">
        <f t="shared" si="21"/>
        <v>0</v>
      </c>
    </row>
    <row r="134" spans="1:21" x14ac:dyDescent="0.3">
      <c r="A134" s="1">
        <v>45791</v>
      </c>
      <c r="B134" s="3">
        <f>Data!B134</f>
        <v>263.08734130859301</v>
      </c>
      <c r="C134" s="3">
        <f>Data!H134</f>
        <v>129.34841918945301</v>
      </c>
      <c r="D134" s="3">
        <f>Data!N134</f>
        <v>44.231868743896399</v>
      </c>
      <c r="F134" s="1">
        <v>45791</v>
      </c>
      <c r="G134" s="4">
        <f t="shared" si="22"/>
        <v>9.9996555559642708E-3</v>
      </c>
      <c r="H134" s="4">
        <f t="shared" si="17"/>
        <v>1.3065071763246561E-2</v>
      </c>
      <c r="I134" s="4">
        <f t="shared" si="18"/>
        <v>1.038855249796744E-2</v>
      </c>
      <c r="P134" s="1">
        <v>45791</v>
      </c>
      <c r="Q134" s="4">
        <f t="shared" si="23"/>
        <v>1.1342491121478138E-2</v>
      </c>
      <c r="R134" s="34">
        <f t="shared" si="24"/>
        <v>11342.491121478139</v>
      </c>
      <c r="S134" s="34" t="b">
        <f t="shared" si="19"/>
        <v>0</v>
      </c>
      <c r="T134" s="34" t="b">
        <f t="shared" si="20"/>
        <v>0</v>
      </c>
      <c r="U134" s="34" t="b">
        <f t="shared" si="21"/>
        <v>0</v>
      </c>
    </row>
    <row r="135" spans="1:21" x14ac:dyDescent="0.3">
      <c r="A135" s="1">
        <v>45792</v>
      </c>
      <c r="B135" s="3">
        <f>Data!B135</f>
        <v>264.91952514648398</v>
      </c>
      <c r="C135" s="3">
        <f>Data!H135</f>
        <v>130.79946899414</v>
      </c>
      <c r="D135" s="3">
        <f>Data!N135</f>
        <v>43.875957489013601</v>
      </c>
      <c r="F135" s="1">
        <v>45792</v>
      </c>
      <c r="G135" s="4">
        <f t="shared" si="22"/>
        <v>6.9641656978922661E-3</v>
      </c>
      <c r="H135" s="4">
        <f t="shared" si="17"/>
        <v>1.1218148731772848E-2</v>
      </c>
      <c r="I135" s="4">
        <f t="shared" si="18"/>
        <v>-8.0464892167123603E-3</v>
      </c>
      <c r="P135" s="1">
        <v>45792</v>
      </c>
      <c r="Q135" s="4">
        <f t="shared" si="23"/>
        <v>4.1625624370631113E-3</v>
      </c>
      <c r="R135" s="34">
        <f t="shared" si="24"/>
        <v>4162.5624370631112</v>
      </c>
      <c r="S135" s="34" t="b">
        <f t="shared" si="19"/>
        <v>0</v>
      </c>
      <c r="T135" s="34" t="b">
        <f t="shared" si="20"/>
        <v>0</v>
      </c>
      <c r="U135" s="34" t="b">
        <f t="shared" si="21"/>
        <v>0</v>
      </c>
    </row>
    <row r="136" spans="1:21" x14ac:dyDescent="0.3">
      <c r="A136" s="1">
        <v>45793</v>
      </c>
      <c r="B136" s="3">
        <f>Data!B136</f>
        <v>264.98886108398398</v>
      </c>
      <c r="C136" s="3">
        <f>Data!H136</f>
        <v>130.473709106445</v>
      </c>
      <c r="D136" s="3">
        <f>Data!N136</f>
        <v>44.182430267333899</v>
      </c>
      <c r="F136" s="1">
        <v>45793</v>
      </c>
      <c r="G136" s="4">
        <f t="shared" si="22"/>
        <v>2.617245273319746E-4</v>
      </c>
      <c r="H136" s="4">
        <f t="shared" si="17"/>
        <v>-2.4905291298208398E-3</v>
      </c>
      <c r="I136" s="4">
        <f t="shared" si="18"/>
        <v>6.9849821145677726E-3</v>
      </c>
      <c r="P136" s="1">
        <v>45793</v>
      </c>
      <c r="Q136" s="4">
        <f t="shared" si="23"/>
        <v>1.177800340641588E-3</v>
      </c>
      <c r="R136" s="34">
        <f t="shared" si="24"/>
        <v>1177.800340641588</v>
      </c>
      <c r="S136" s="34" t="b">
        <f t="shared" si="19"/>
        <v>0</v>
      </c>
      <c r="T136" s="34" t="b">
        <f t="shared" si="20"/>
        <v>0</v>
      </c>
      <c r="U136" s="34" t="b">
        <f t="shared" si="21"/>
        <v>0</v>
      </c>
    </row>
    <row r="137" spans="1:21" x14ac:dyDescent="0.3">
      <c r="A137" s="1">
        <v>45796</v>
      </c>
      <c r="B137" s="3">
        <f>Data!B137</f>
        <v>262.33462524414</v>
      </c>
      <c r="C137" s="3">
        <f>Data!H137</f>
        <v>129.15101623535099</v>
      </c>
      <c r="D137" s="3">
        <f>Data!N137</f>
        <v>44.261524200439403</v>
      </c>
      <c r="F137" s="1">
        <v>45796</v>
      </c>
      <c r="G137" s="4">
        <f t="shared" si="22"/>
        <v>-1.0016405327327171E-2</v>
      </c>
      <c r="H137" s="4">
        <f t="shared" si="17"/>
        <v>-1.0137619909424855E-2</v>
      </c>
      <c r="I137" s="4">
        <f t="shared" si="18"/>
        <v>1.7901671009705744E-3</v>
      </c>
      <c r="P137" s="1">
        <v>45796</v>
      </c>
      <c r="Q137" s="4">
        <f t="shared" si="23"/>
        <v>-6.5229194316769211E-3</v>
      </c>
      <c r="R137" s="34">
        <f t="shared" si="24"/>
        <v>-6522.9194316769208</v>
      </c>
      <c r="S137" s="34" t="b">
        <f t="shared" si="19"/>
        <v>0</v>
      </c>
      <c r="T137" s="34" t="b">
        <f t="shared" si="20"/>
        <v>0</v>
      </c>
      <c r="U137" s="34" t="b">
        <f t="shared" si="21"/>
        <v>0</v>
      </c>
    </row>
    <row r="138" spans="1:21" x14ac:dyDescent="0.3">
      <c r="A138" s="1">
        <v>45797</v>
      </c>
      <c r="B138" s="3">
        <f>Data!B138</f>
        <v>263.12692260742102</v>
      </c>
      <c r="C138" s="3">
        <f>Data!H138</f>
        <v>127.46310424804599</v>
      </c>
      <c r="D138" s="3">
        <f>Data!N138</f>
        <v>44.182430267333899</v>
      </c>
      <c r="F138" s="1">
        <v>45797</v>
      </c>
      <c r="G138" s="4">
        <f t="shared" si="22"/>
        <v>3.0201783792118686E-3</v>
      </c>
      <c r="H138" s="4">
        <f t="shared" si="17"/>
        <v>-1.3069289243757276E-2</v>
      </c>
      <c r="I138" s="4">
        <f t="shared" si="18"/>
        <v>-1.7869681294147011E-3</v>
      </c>
      <c r="P138" s="1">
        <v>45797</v>
      </c>
      <c r="Q138" s="4">
        <f t="shared" si="23"/>
        <v>-4.85775262256376E-3</v>
      </c>
      <c r="R138" s="34">
        <f t="shared" si="24"/>
        <v>-4857.7526225637603</v>
      </c>
      <c r="S138" s="34" t="b">
        <f t="shared" si="19"/>
        <v>0</v>
      </c>
      <c r="T138" s="34" t="b">
        <f t="shared" si="20"/>
        <v>0</v>
      </c>
      <c r="U138" s="34" t="b">
        <f t="shared" si="21"/>
        <v>0</v>
      </c>
    </row>
    <row r="139" spans="1:21" x14ac:dyDescent="0.3">
      <c r="A139" s="1">
        <v>45798</v>
      </c>
      <c r="B139" s="3">
        <f>Data!B139</f>
        <v>258.53152465820301</v>
      </c>
      <c r="C139" s="3">
        <f>Data!H139</f>
        <v>123.68253326416</v>
      </c>
      <c r="D139" s="3">
        <f>Data!N139</f>
        <v>42.7587890625</v>
      </c>
      <c r="F139" s="1">
        <v>45798</v>
      </c>
      <c r="G139" s="4">
        <f t="shared" si="22"/>
        <v>-1.7464567683460608E-2</v>
      </c>
      <c r="H139" s="4">
        <f t="shared" si="17"/>
        <v>-2.9660120128009115E-2</v>
      </c>
      <c r="I139" s="4">
        <f t="shared" si="18"/>
        <v>-3.2221885401502282E-2</v>
      </c>
      <c r="P139" s="1">
        <v>45798</v>
      </c>
      <c r="Q139" s="4">
        <f t="shared" si="23"/>
        <v>-2.6769983976692516E-2</v>
      </c>
      <c r="R139" s="34">
        <f t="shared" si="24"/>
        <v>-26769.983976692514</v>
      </c>
      <c r="S139" s="34" t="b">
        <f t="shared" si="19"/>
        <v>0</v>
      </c>
      <c r="T139" s="34" t="b">
        <f t="shared" si="20"/>
        <v>0</v>
      </c>
      <c r="U139" s="34" t="b">
        <f t="shared" si="21"/>
        <v>0</v>
      </c>
    </row>
    <row r="140" spans="1:21" x14ac:dyDescent="0.3">
      <c r="A140" s="1">
        <v>45799</v>
      </c>
      <c r="B140" s="3">
        <f>Data!B140</f>
        <v>258.16510009765602</v>
      </c>
      <c r="C140" s="3">
        <f>Data!H140</f>
        <v>124.63014221191401</v>
      </c>
      <c r="D140" s="3">
        <f>Data!N140</f>
        <v>42.818107604980398</v>
      </c>
      <c r="F140" s="1">
        <v>45799</v>
      </c>
      <c r="G140" s="4">
        <f t="shared" si="22"/>
        <v>-1.4173302889518569E-3</v>
      </c>
      <c r="H140" s="4">
        <f t="shared" si="17"/>
        <v>7.6616230501207472E-3</v>
      </c>
      <c r="I140" s="4">
        <f t="shared" si="18"/>
        <v>1.3872830307166684E-3</v>
      </c>
      <c r="P140" s="1">
        <v>45799</v>
      </c>
      <c r="Q140" s="4">
        <f t="shared" si="23"/>
        <v>3.0556350425777427E-3</v>
      </c>
      <c r="R140" s="34">
        <f t="shared" si="24"/>
        <v>3055.6350425777428</v>
      </c>
      <c r="S140" s="34" t="b">
        <f t="shared" si="19"/>
        <v>0</v>
      </c>
      <c r="T140" s="34" t="b">
        <f t="shared" si="20"/>
        <v>0</v>
      </c>
      <c r="U140" s="34" t="b">
        <f t="shared" si="21"/>
        <v>0</v>
      </c>
    </row>
    <row r="141" spans="1:21" x14ac:dyDescent="0.3">
      <c r="A141" s="1">
        <v>45800</v>
      </c>
      <c r="B141" s="3">
        <f>Data!B141</f>
        <v>258.20468139648398</v>
      </c>
      <c r="C141" s="3">
        <f>Data!H141</f>
        <v>124.44259643554599</v>
      </c>
      <c r="D141" s="3">
        <f>Data!N141</f>
        <v>42.709358215332003</v>
      </c>
      <c r="F141" s="1">
        <v>45800</v>
      </c>
      <c r="G141" s="4">
        <f t="shared" si="22"/>
        <v>1.533177753809678E-4</v>
      </c>
      <c r="H141" s="4">
        <f t="shared" si="17"/>
        <v>-1.504818762455673E-3</v>
      </c>
      <c r="I141" s="4">
        <f t="shared" si="18"/>
        <v>-2.5397990647243462E-3</v>
      </c>
      <c r="P141" s="1">
        <v>45800</v>
      </c>
      <c r="Q141" s="4">
        <f t="shared" si="23"/>
        <v>-1.3178718917852827E-3</v>
      </c>
      <c r="R141" s="34">
        <f t="shared" si="24"/>
        <v>-1317.8718917852827</v>
      </c>
      <c r="S141" s="34" t="b">
        <f t="shared" si="19"/>
        <v>0</v>
      </c>
      <c r="T141" s="34" t="b">
        <f t="shared" si="20"/>
        <v>0</v>
      </c>
      <c r="U141" s="34" t="b">
        <f t="shared" si="21"/>
        <v>0</v>
      </c>
    </row>
    <row r="142" spans="1:21" x14ac:dyDescent="0.3">
      <c r="A142" s="1">
        <v>45804</v>
      </c>
      <c r="B142" s="3">
        <f>Data!B142</f>
        <v>262.74069213867102</v>
      </c>
      <c r="C142" s="3">
        <f>Data!H142</f>
        <v>127.542068481445</v>
      </c>
      <c r="D142" s="3">
        <f>Data!N142</f>
        <v>43.7177734375</v>
      </c>
      <c r="F142" s="1">
        <v>45804</v>
      </c>
      <c r="G142" s="4">
        <f t="shared" si="22"/>
        <v>1.7567500006794301E-2</v>
      </c>
      <c r="H142" s="4">
        <f t="shared" si="17"/>
        <v>2.4906841665782498E-2</v>
      </c>
      <c r="I142" s="4">
        <f t="shared" si="18"/>
        <v>2.3611106893336453E-2</v>
      </c>
      <c r="P142" s="1">
        <v>45804</v>
      </c>
      <c r="Q142" s="4">
        <f t="shared" si="23"/>
        <v>2.2316318736352224E-2</v>
      </c>
      <c r="R142" s="34">
        <f t="shared" si="24"/>
        <v>22316.318736352223</v>
      </c>
      <c r="S142" s="34" t="b">
        <f t="shared" si="19"/>
        <v>0</v>
      </c>
      <c r="T142" s="34" t="b">
        <f t="shared" si="20"/>
        <v>0</v>
      </c>
      <c r="U142" s="34" t="b">
        <f t="shared" si="21"/>
        <v>0</v>
      </c>
    </row>
    <row r="143" spans="1:21" x14ac:dyDescent="0.3">
      <c r="A143" s="1">
        <v>45805</v>
      </c>
      <c r="B143" s="3">
        <f>Data!B143</f>
        <v>260.95797729492102</v>
      </c>
      <c r="C143" s="3">
        <f>Data!H143</f>
        <v>125.864013671875</v>
      </c>
      <c r="D143" s="3">
        <f>Data!N143</f>
        <v>43.5595893859863</v>
      </c>
      <c r="F143" s="1">
        <v>45805</v>
      </c>
      <c r="G143" s="4">
        <f t="shared" si="22"/>
        <v>-6.7850732569780803E-3</v>
      </c>
      <c r="H143" s="4">
        <f t="shared" si="17"/>
        <v>-1.3156873097241006E-2</v>
      </c>
      <c r="I143" s="4">
        <f t="shared" si="18"/>
        <v>-3.6183007293325575E-3</v>
      </c>
      <c r="P143" s="1">
        <v>45805</v>
      </c>
      <c r="Q143" s="4">
        <f t="shared" si="23"/>
        <v>-8.3837614347895949E-3</v>
      </c>
      <c r="R143" s="34">
        <f t="shared" si="24"/>
        <v>-8383.7614347895942</v>
      </c>
      <c r="S143" s="34" t="b">
        <f t="shared" si="19"/>
        <v>0</v>
      </c>
      <c r="T143" s="34" t="b">
        <f t="shared" si="20"/>
        <v>0</v>
      </c>
      <c r="U143" s="34" t="b">
        <f t="shared" si="21"/>
        <v>0</v>
      </c>
    </row>
    <row r="144" spans="1:21" x14ac:dyDescent="0.3">
      <c r="A144" s="1">
        <v>45806</v>
      </c>
      <c r="B144" s="3">
        <f>Data!B144</f>
        <v>261.829498291015</v>
      </c>
      <c r="C144" s="3">
        <f>Data!H144</f>
        <v>126.50562286376901</v>
      </c>
      <c r="D144" s="3">
        <f>Data!N144</f>
        <v>43.737548828125</v>
      </c>
      <c r="F144" s="1">
        <v>45806</v>
      </c>
      <c r="G144" s="4">
        <f t="shared" si="22"/>
        <v>3.3396986178699795E-3</v>
      </c>
      <c r="H144" s="4">
        <f t="shared" si="17"/>
        <v>5.0976381030296558E-3</v>
      </c>
      <c r="I144" s="4">
        <f t="shared" si="18"/>
        <v>4.0854251531570185E-3</v>
      </c>
      <c r="P144" s="1">
        <v>45806</v>
      </c>
      <c r="Q144" s="4">
        <f t="shared" si="23"/>
        <v>4.2665923725199615E-3</v>
      </c>
      <c r="R144" s="34">
        <f t="shared" si="24"/>
        <v>4266.5923725199618</v>
      </c>
      <c r="S144" s="34" t="b">
        <f t="shared" si="19"/>
        <v>0</v>
      </c>
      <c r="T144" s="34" t="b">
        <f t="shared" si="20"/>
        <v>0</v>
      </c>
      <c r="U144" s="34" t="b">
        <f t="shared" si="21"/>
        <v>0</v>
      </c>
    </row>
    <row r="145" spans="1:21" x14ac:dyDescent="0.3">
      <c r="A145" s="1">
        <v>45807</v>
      </c>
      <c r="B145" s="3">
        <f>Data!B145</f>
        <v>261.46307373046801</v>
      </c>
      <c r="C145" s="3">
        <f>Data!H145</f>
        <v>126.37728881835901</v>
      </c>
      <c r="D145" s="3">
        <f>Data!N145</f>
        <v>43.628795623779297</v>
      </c>
      <c r="F145" s="1">
        <v>45807</v>
      </c>
      <c r="G145" s="4">
        <f t="shared" si="22"/>
        <v>-1.3994777629666721E-3</v>
      </c>
      <c r="H145" s="4">
        <f t="shared" si="17"/>
        <v>-1.0144532907300219E-3</v>
      </c>
      <c r="I145" s="4">
        <f t="shared" si="18"/>
        <v>-2.4864951799898893E-3</v>
      </c>
      <c r="P145" s="1">
        <v>45807</v>
      </c>
      <c r="Q145" s="4">
        <f t="shared" si="23"/>
        <v>-1.5715731991789773E-3</v>
      </c>
      <c r="R145" s="34">
        <f t="shared" si="24"/>
        <v>-1571.5731991789773</v>
      </c>
      <c r="S145" s="34" t="b">
        <f t="shared" si="19"/>
        <v>0</v>
      </c>
      <c r="T145" s="34" t="b">
        <f t="shared" si="20"/>
        <v>0</v>
      </c>
      <c r="U145" s="34" t="b">
        <f t="shared" si="21"/>
        <v>0</v>
      </c>
    </row>
    <row r="146" spans="1:21" x14ac:dyDescent="0.3">
      <c r="A146" s="1">
        <v>45810</v>
      </c>
      <c r="B146" s="3">
        <f>Data!B146</f>
        <v>262.11672973632801</v>
      </c>
      <c r="C146" s="3">
        <f>Data!H146</f>
        <v>126.74251556396401</v>
      </c>
      <c r="D146" s="3">
        <f>Data!N146</f>
        <v>43.5793647766113</v>
      </c>
      <c r="F146" s="1">
        <v>45810</v>
      </c>
      <c r="G146" s="4">
        <f t="shared" si="22"/>
        <v>2.499993580484805E-3</v>
      </c>
      <c r="H146" s="4">
        <f t="shared" si="17"/>
        <v>2.8899713628920409E-3</v>
      </c>
      <c r="I146" s="4">
        <f t="shared" si="18"/>
        <v>-1.1329867455945886E-3</v>
      </c>
      <c r="P146" s="1">
        <v>45810</v>
      </c>
      <c r="Q146" s="4">
        <f t="shared" si="23"/>
        <v>1.5660905956238814E-3</v>
      </c>
      <c r="R146" s="34">
        <f t="shared" si="24"/>
        <v>1566.0905956238814</v>
      </c>
      <c r="S146" s="34" t="b">
        <f t="shared" si="19"/>
        <v>0</v>
      </c>
      <c r="T146" s="34" t="b">
        <f t="shared" si="20"/>
        <v>0</v>
      </c>
      <c r="U146" s="34" t="b">
        <f t="shared" si="21"/>
        <v>0</v>
      </c>
    </row>
    <row r="147" spans="1:21" x14ac:dyDescent="0.3">
      <c r="A147" s="1">
        <v>45811</v>
      </c>
      <c r="B147" s="3">
        <f>Data!B147</f>
        <v>263.71124267578102</v>
      </c>
      <c r="C147" s="3">
        <f>Data!H147</f>
        <v>127.018898010253</v>
      </c>
      <c r="D147" s="3">
        <f>Data!N147</f>
        <v>44.142887115478501</v>
      </c>
      <c r="F147" s="1">
        <v>45811</v>
      </c>
      <c r="G147" s="4">
        <f t="shared" si="22"/>
        <v>6.0832169738154196E-3</v>
      </c>
      <c r="H147" s="4">
        <f t="shared" si="17"/>
        <v>2.1806608860426291E-3</v>
      </c>
      <c r="I147" s="4">
        <f t="shared" si="18"/>
        <v>1.293094430714703E-2</v>
      </c>
      <c r="P147" s="1">
        <v>45811</v>
      </c>
      <c r="Q147" s="4">
        <f t="shared" si="23"/>
        <v>6.5765127387057854E-3</v>
      </c>
      <c r="R147" s="34">
        <f t="shared" si="24"/>
        <v>6576.5127387057855</v>
      </c>
      <c r="S147" s="34" t="b">
        <f t="shared" si="19"/>
        <v>0</v>
      </c>
      <c r="T147" s="34" t="b">
        <f t="shared" si="20"/>
        <v>0</v>
      </c>
      <c r="U147" s="34" t="b">
        <f t="shared" si="21"/>
        <v>0</v>
      </c>
    </row>
    <row r="148" spans="1:21" x14ac:dyDescent="0.3">
      <c r="A148" s="1">
        <v>45812</v>
      </c>
      <c r="B148" s="3">
        <f>Data!B148</f>
        <v>261.68096923828102</v>
      </c>
      <c r="C148" s="3">
        <f>Data!H148</f>
        <v>126.50562286376901</v>
      </c>
      <c r="D148" s="3">
        <f>Data!N148</f>
        <v>43.856182098388601</v>
      </c>
      <c r="F148" s="1">
        <v>45812</v>
      </c>
      <c r="G148" s="4">
        <f t="shared" si="22"/>
        <v>-7.698850518846112E-3</v>
      </c>
      <c r="H148" s="4">
        <f t="shared" ref="H148:H211" si="25">C148/C147-1</f>
        <v>-4.0409352822645683E-3</v>
      </c>
      <c r="I148" s="4">
        <f t="shared" ref="I148:I211" si="26">D148/D147-1</f>
        <v>-6.4949312522281089E-3</v>
      </c>
      <c r="P148" s="1">
        <v>45812</v>
      </c>
      <c r="Q148" s="4">
        <f t="shared" si="23"/>
        <v>-5.8745086442280933E-3</v>
      </c>
      <c r="R148" s="34">
        <f t="shared" si="24"/>
        <v>-5874.5086442280935</v>
      </c>
      <c r="S148" s="34" t="b">
        <f t="shared" si="19"/>
        <v>0</v>
      </c>
      <c r="T148" s="34" t="b">
        <f t="shared" si="20"/>
        <v>0</v>
      </c>
      <c r="U148" s="34" t="b">
        <f t="shared" si="21"/>
        <v>0</v>
      </c>
    </row>
    <row r="149" spans="1:21" x14ac:dyDescent="0.3">
      <c r="A149" s="1">
        <v>45813</v>
      </c>
      <c r="B149" s="3">
        <f>Data!B149</f>
        <v>259.43280029296801</v>
      </c>
      <c r="C149" s="3">
        <f>Data!H149</f>
        <v>128.93385314941401</v>
      </c>
      <c r="D149" s="3">
        <f>Data!N149</f>
        <v>43.875957489013601</v>
      </c>
      <c r="F149" s="1">
        <v>45813</v>
      </c>
      <c r="G149" s="4">
        <f t="shared" si="22"/>
        <v>-8.591258859431572E-3</v>
      </c>
      <c r="H149" s="4">
        <f t="shared" si="25"/>
        <v>1.919464313661301E-2</v>
      </c>
      <c r="I149" s="4">
        <f t="shared" si="26"/>
        <v>4.5091455021406546E-4</v>
      </c>
      <c r="P149" s="1">
        <v>45813</v>
      </c>
      <c r="Q149" s="4">
        <f t="shared" si="23"/>
        <v>5.2357539618799517E-3</v>
      </c>
      <c r="R149" s="34">
        <f t="shared" si="24"/>
        <v>5235.7539618799519</v>
      </c>
      <c r="S149" s="34" t="b">
        <f t="shared" si="19"/>
        <v>0</v>
      </c>
      <c r="T149" s="34" t="b">
        <f t="shared" si="20"/>
        <v>0</v>
      </c>
      <c r="U149" s="34" t="b">
        <f t="shared" si="21"/>
        <v>0</v>
      </c>
    </row>
    <row r="150" spans="1:21" x14ac:dyDescent="0.3">
      <c r="A150" s="1">
        <v>45814</v>
      </c>
      <c r="B150" s="3">
        <f>Data!B150</f>
        <v>263.17645263671801</v>
      </c>
      <c r="C150" s="3">
        <f>Data!H150</f>
        <v>130.11837768554599</v>
      </c>
      <c r="D150" s="3">
        <f>Data!N150</f>
        <v>44.7212524414062</v>
      </c>
      <c r="F150" s="1">
        <v>45814</v>
      </c>
      <c r="G150" s="4">
        <f t="shared" si="22"/>
        <v>1.443014275574428E-2</v>
      </c>
      <c r="H150" s="4">
        <f t="shared" si="25"/>
        <v>9.1870715657531576E-3</v>
      </c>
      <c r="I150" s="4">
        <f t="shared" si="26"/>
        <v>1.9265561386421215E-2</v>
      </c>
      <c r="P150" s="1">
        <v>45814</v>
      </c>
      <c r="Q150" s="4">
        <f t="shared" si="23"/>
        <v>1.3783539868950912E-2</v>
      </c>
      <c r="R150" s="34">
        <f t="shared" si="24"/>
        <v>13783.539868950913</v>
      </c>
      <c r="S150" s="34" t="b">
        <f t="shared" si="19"/>
        <v>0</v>
      </c>
      <c r="T150" s="34" t="b">
        <f t="shared" si="20"/>
        <v>0</v>
      </c>
      <c r="U150" s="34" t="b">
        <f t="shared" si="21"/>
        <v>0</v>
      </c>
    </row>
    <row r="151" spans="1:21" x14ac:dyDescent="0.3">
      <c r="A151" s="1">
        <v>45817</v>
      </c>
      <c r="B151" s="3">
        <f>Data!B151</f>
        <v>264.17672729492102</v>
      </c>
      <c r="C151" s="3">
        <f>Data!H151</f>
        <v>130.24668884277301</v>
      </c>
      <c r="D151" s="3">
        <f>Data!N151</f>
        <v>44.621803283691399</v>
      </c>
      <c r="F151" s="1">
        <v>45817</v>
      </c>
      <c r="G151" s="4">
        <f t="shared" si="22"/>
        <v>3.8007756703970497E-3</v>
      </c>
      <c r="H151" s="4">
        <f t="shared" si="25"/>
        <v>9.8611095149903072E-4</v>
      </c>
      <c r="I151" s="4">
        <f t="shared" si="26"/>
        <v>-2.2237560954961877E-3</v>
      </c>
      <c r="P151" s="1">
        <v>45817</v>
      </c>
      <c r="Q151" s="4">
        <f t="shared" si="23"/>
        <v>8.6755025306987086E-4</v>
      </c>
      <c r="R151" s="34">
        <f t="shared" si="24"/>
        <v>867.55025306987091</v>
      </c>
      <c r="S151" s="34" t="b">
        <f t="shared" si="19"/>
        <v>0</v>
      </c>
      <c r="T151" s="34" t="b">
        <f t="shared" si="20"/>
        <v>0</v>
      </c>
      <c r="U151" s="34" t="b">
        <f t="shared" si="21"/>
        <v>0</v>
      </c>
    </row>
    <row r="152" spans="1:21" x14ac:dyDescent="0.3">
      <c r="A152" s="1">
        <v>45818</v>
      </c>
      <c r="B152" s="3">
        <f>Data!B152</f>
        <v>266.01885986328102</v>
      </c>
      <c r="C152" s="3">
        <f>Data!H152</f>
        <v>130.11837768554599</v>
      </c>
      <c r="D152" s="3">
        <f>Data!N152</f>
        <v>44.840587615966797</v>
      </c>
      <c r="F152" s="1">
        <v>45818</v>
      </c>
      <c r="G152" s="4">
        <f t="shared" si="22"/>
        <v>6.9731069319496353E-3</v>
      </c>
      <c r="H152" s="4">
        <f t="shared" si="25"/>
        <v>-9.8513949465472983E-4</v>
      </c>
      <c r="I152" s="4">
        <f t="shared" si="26"/>
        <v>4.9030813677437557E-3</v>
      </c>
      <c r="P152" s="1">
        <v>45818</v>
      </c>
      <c r="Q152" s="4">
        <f t="shared" si="23"/>
        <v>3.1688006920461255E-3</v>
      </c>
      <c r="R152" s="34">
        <f t="shared" si="24"/>
        <v>3168.8006920461257</v>
      </c>
      <c r="S152" s="34" t="b">
        <f t="shared" si="19"/>
        <v>0</v>
      </c>
      <c r="T152" s="34" t="b">
        <f t="shared" si="20"/>
        <v>0</v>
      </c>
      <c r="U152" s="34" t="b">
        <f t="shared" si="21"/>
        <v>0</v>
      </c>
    </row>
    <row r="153" spans="1:21" x14ac:dyDescent="0.3">
      <c r="A153" s="1">
        <v>45819</v>
      </c>
      <c r="B153" s="3">
        <f>Data!B153</f>
        <v>265.57318115234301</v>
      </c>
      <c r="C153" s="3">
        <f>Data!H153</f>
        <v>130.10848999023401</v>
      </c>
      <c r="D153" s="3">
        <f>Data!N153</f>
        <v>44.482578277587798</v>
      </c>
      <c r="F153" s="1">
        <v>45819</v>
      </c>
      <c r="G153" s="4">
        <f t="shared" si="22"/>
        <v>-1.675365089404024E-3</v>
      </c>
      <c r="H153" s="4">
        <f t="shared" si="25"/>
        <v>-7.5989998398862113E-5</v>
      </c>
      <c r="I153" s="4">
        <f t="shared" si="26"/>
        <v>-7.9840465393794524E-3</v>
      </c>
      <c r="P153" s="1">
        <v>45819</v>
      </c>
      <c r="Q153" s="4">
        <f t="shared" si="23"/>
        <v>-2.928219487994588E-3</v>
      </c>
      <c r="R153" s="34">
        <f t="shared" si="24"/>
        <v>-2928.2194879945882</v>
      </c>
      <c r="S153" s="34" t="b">
        <f t="shared" si="19"/>
        <v>0</v>
      </c>
      <c r="T153" s="34" t="b">
        <f t="shared" si="20"/>
        <v>0</v>
      </c>
      <c r="U153" s="34" t="b">
        <f t="shared" si="21"/>
        <v>0</v>
      </c>
    </row>
    <row r="154" spans="1:21" x14ac:dyDescent="0.3">
      <c r="A154" s="1">
        <v>45820</v>
      </c>
      <c r="B154" s="3">
        <f>Data!B154</f>
        <v>265.66229248046801</v>
      </c>
      <c r="C154" s="3">
        <f>Data!H154</f>
        <v>130.21707153320301</v>
      </c>
      <c r="D154" s="3">
        <f>Data!N154</f>
        <v>44.3731880187988</v>
      </c>
      <c r="F154" s="1">
        <v>45820</v>
      </c>
      <c r="G154" s="4">
        <f t="shared" si="22"/>
        <v>3.3554339989572135E-4</v>
      </c>
      <c r="H154" s="4">
        <f t="shared" si="25"/>
        <v>8.3454617740286174E-4</v>
      </c>
      <c r="I154" s="4">
        <f t="shared" si="26"/>
        <v>-2.4591708265281342E-3</v>
      </c>
      <c r="P154" s="1">
        <v>45820</v>
      </c>
      <c r="Q154" s="4">
        <f t="shared" si="23"/>
        <v>-3.0326975702857915E-4</v>
      </c>
      <c r="R154" s="34">
        <f t="shared" si="24"/>
        <v>-303.26975702857914</v>
      </c>
      <c r="S154" s="34" t="b">
        <f t="shared" si="19"/>
        <v>0</v>
      </c>
      <c r="T154" s="34" t="b">
        <f t="shared" si="20"/>
        <v>0</v>
      </c>
      <c r="U154" s="34" t="b">
        <f t="shared" si="21"/>
        <v>0</v>
      </c>
    </row>
    <row r="155" spans="1:21" x14ac:dyDescent="0.3">
      <c r="A155" s="1">
        <v>45821</v>
      </c>
      <c r="B155" s="3">
        <f>Data!B155</f>
        <v>262.40396118164</v>
      </c>
      <c r="C155" s="3">
        <f>Data!H155</f>
        <v>127.81845092773401</v>
      </c>
      <c r="D155" s="3">
        <f>Data!N155</f>
        <v>43.846118927001903</v>
      </c>
      <c r="F155" s="1">
        <v>45821</v>
      </c>
      <c r="G155" s="4">
        <f t="shared" si="22"/>
        <v>-1.2264937068807269E-2</v>
      </c>
      <c r="H155" s="4">
        <f t="shared" si="25"/>
        <v>-1.8420170083900289E-2</v>
      </c>
      <c r="I155" s="4">
        <f t="shared" si="26"/>
        <v>-1.1878098359162315E-2</v>
      </c>
      <c r="P155" s="1">
        <v>45821</v>
      </c>
      <c r="Q155" s="4">
        <f t="shared" si="23"/>
        <v>-1.4610978661950991E-2</v>
      </c>
      <c r="R155" s="34">
        <f t="shared" si="24"/>
        <v>-14610.97866195099</v>
      </c>
      <c r="S155" s="34" t="b">
        <f t="shared" si="19"/>
        <v>0</v>
      </c>
      <c r="T155" s="34" t="b">
        <f t="shared" si="20"/>
        <v>0</v>
      </c>
      <c r="U155" s="34" t="b">
        <f t="shared" si="21"/>
        <v>0</v>
      </c>
    </row>
    <row r="156" spans="1:21" x14ac:dyDescent="0.3">
      <c r="A156" s="1">
        <v>45824</v>
      </c>
      <c r="B156" s="3">
        <f>Data!B156</f>
        <v>267.76193237304602</v>
      </c>
      <c r="C156" s="3">
        <f>Data!H156</f>
        <v>129.21023559570301</v>
      </c>
      <c r="D156" s="3">
        <f>Data!N156</f>
        <v>44.164348602294901</v>
      </c>
      <c r="F156" s="1">
        <v>45824</v>
      </c>
      <c r="G156" s="4">
        <f t="shared" si="22"/>
        <v>2.0418789286862804E-2</v>
      </c>
      <c r="H156" s="4">
        <f t="shared" si="25"/>
        <v>1.0888761816992165E-2</v>
      </c>
      <c r="I156" s="4">
        <f t="shared" si="26"/>
        <v>7.257875567568739E-3</v>
      </c>
      <c r="P156" s="1">
        <v>45824</v>
      </c>
      <c r="Q156" s="4">
        <f t="shared" si="23"/>
        <v>1.2658504183126328E-2</v>
      </c>
      <c r="R156" s="34">
        <f t="shared" si="24"/>
        <v>12658.504183126328</v>
      </c>
      <c r="S156" s="34" t="b">
        <f t="shared" si="19"/>
        <v>0</v>
      </c>
      <c r="T156" s="34" t="b">
        <f t="shared" si="20"/>
        <v>0</v>
      </c>
      <c r="U156" s="34" t="b">
        <f t="shared" si="21"/>
        <v>0</v>
      </c>
    </row>
    <row r="157" spans="1:21" x14ac:dyDescent="0.3">
      <c r="A157" s="1">
        <v>45825</v>
      </c>
      <c r="B157" s="3">
        <f>Data!B157</f>
        <v>266.93002319335898</v>
      </c>
      <c r="C157" s="3">
        <f>Data!H157</f>
        <v>128.41069030761699</v>
      </c>
      <c r="D157" s="3">
        <f>Data!N157</f>
        <v>43.985343933105398</v>
      </c>
      <c r="F157" s="1">
        <v>45825</v>
      </c>
      <c r="G157" s="4">
        <f t="shared" si="22"/>
        <v>-3.1068986256345132E-3</v>
      </c>
      <c r="H157" s="4">
        <f t="shared" si="25"/>
        <v>-6.1879407958653765E-3</v>
      </c>
      <c r="I157" s="4">
        <f t="shared" si="26"/>
        <v>-4.0531486335609879E-3</v>
      </c>
      <c r="P157" s="1">
        <v>45825</v>
      </c>
      <c r="Q157" s="4">
        <f t="shared" si="23"/>
        <v>-4.6231904961048006E-3</v>
      </c>
      <c r="R157" s="34">
        <f t="shared" si="24"/>
        <v>-4623.1904961048003</v>
      </c>
      <c r="S157" s="34" t="b">
        <f t="shared" si="19"/>
        <v>0</v>
      </c>
      <c r="T157" s="34" t="b">
        <f t="shared" si="20"/>
        <v>0</v>
      </c>
      <c r="U157" s="34" t="b">
        <f t="shared" si="21"/>
        <v>0</v>
      </c>
    </row>
    <row r="158" spans="1:21" x14ac:dyDescent="0.3">
      <c r="A158" s="1">
        <v>45826</v>
      </c>
      <c r="B158" s="3">
        <f>Data!B158</f>
        <v>271.32736206054602</v>
      </c>
      <c r="C158" s="3">
        <f>Data!H158</f>
        <v>130.80934143066401</v>
      </c>
      <c r="D158" s="3">
        <f>Data!N158</f>
        <v>44.810756683349602</v>
      </c>
      <c r="F158" s="1">
        <v>45826</v>
      </c>
      <c r="G158" s="4">
        <f t="shared" si="22"/>
        <v>1.6473751489549437E-2</v>
      </c>
      <c r="H158" s="4">
        <f t="shared" si="25"/>
        <v>1.8679528295509229E-2</v>
      </c>
      <c r="I158" s="4">
        <f t="shared" si="26"/>
        <v>1.8765631377113401E-2</v>
      </c>
      <c r="P158" s="1">
        <v>45826</v>
      </c>
      <c r="Q158" s="4">
        <f t="shared" si="23"/>
        <v>1.8043626178202543E-2</v>
      </c>
      <c r="R158" s="34">
        <f t="shared" si="24"/>
        <v>18043.626178202543</v>
      </c>
      <c r="S158" s="34" t="b">
        <f t="shared" si="19"/>
        <v>0</v>
      </c>
      <c r="T158" s="34" t="b">
        <f t="shared" si="20"/>
        <v>0</v>
      </c>
      <c r="U158" s="34" t="b">
        <f t="shared" si="21"/>
        <v>0</v>
      </c>
    </row>
    <row r="159" spans="1:21" x14ac:dyDescent="0.3">
      <c r="A159" s="1">
        <v>45828</v>
      </c>
      <c r="B159" s="3">
        <f>Data!B159</f>
        <v>272.35736083984301</v>
      </c>
      <c r="C159" s="3">
        <f>Data!H159</f>
        <v>130.99688720703099</v>
      </c>
      <c r="D159" s="3">
        <f>Data!N159</f>
        <v>45.248321533203097</v>
      </c>
      <c r="F159" s="1">
        <v>45828</v>
      </c>
      <c r="G159" s="4">
        <f t="shared" si="22"/>
        <v>3.7961478395500681E-3</v>
      </c>
      <c r="H159" s="4">
        <f t="shared" si="25"/>
        <v>1.433733816834426E-3</v>
      </c>
      <c r="I159" s="4">
        <f t="shared" si="26"/>
        <v>9.7647279858605884E-3</v>
      </c>
      <c r="P159" s="1">
        <v>45828</v>
      </c>
      <c r="Q159" s="4">
        <f t="shared" si="23"/>
        <v>4.6417562743569672E-3</v>
      </c>
      <c r="R159" s="34">
        <f t="shared" si="24"/>
        <v>4641.756274356967</v>
      </c>
      <c r="S159" s="34" t="b">
        <f t="shared" si="19"/>
        <v>0</v>
      </c>
      <c r="T159" s="34" t="b">
        <f t="shared" si="20"/>
        <v>0</v>
      </c>
      <c r="U159" s="34" t="b">
        <f t="shared" si="21"/>
        <v>0</v>
      </c>
    </row>
    <row r="160" spans="1:21" x14ac:dyDescent="0.3">
      <c r="A160" s="1">
        <v>45831</v>
      </c>
      <c r="B160" s="3">
        <f>Data!B160</f>
        <v>275.59591674804602</v>
      </c>
      <c r="C160" s="3">
        <f>Data!H160</f>
        <v>132.27023315429599</v>
      </c>
      <c r="D160" s="3">
        <f>Data!N160</f>
        <v>46.043895721435497</v>
      </c>
      <c r="F160" s="1">
        <v>45831</v>
      </c>
      <c r="G160" s="4">
        <f t="shared" si="22"/>
        <v>1.1890833051901195E-2</v>
      </c>
      <c r="H160" s="4">
        <f t="shared" si="25"/>
        <v>9.7204290454060427E-3</v>
      </c>
      <c r="I160" s="4">
        <f t="shared" si="26"/>
        <v>1.7582402203551561E-2</v>
      </c>
      <c r="P160" s="1">
        <v>45831</v>
      </c>
      <c r="Q160" s="4">
        <f t="shared" si="23"/>
        <v>1.2730142194798243E-2</v>
      </c>
      <c r="R160" s="34">
        <f t="shared" si="24"/>
        <v>12730.142194798244</v>
      </c>
      <c r="S160" s="34" t="b">
        <f t="shared" si="19"/>
        <v>0</v>
      </c>
      <c r="T160" s="34" t="b">
        <f t="shared" si="20"/>
        <v>0</v>
      </c>
      <c r="U160" s="34" t="b">
        <f t="shared" si="21"/>
        <v>0</v>
      </c>
    </row>
    <row r="161" spans="1:21" x14ac:dyDescent="0.3">
      <c r="A161" s="1">
        <v>45832</v>
      </c>
      <c r="B161" s="3">
        <f>Data!B161</f>
        <v>278.55722045898398</v>
      </c>
      <c r="C161" s="3">
        <f>Data!H161</f>
        <v>134.14569091796801</v>
      </c>
      <c r="D161" s="3">
        <f>Data!N161</f>
        <v>46.401905059814403</v>
      </c>
      <c r="F161" s="1">
        <v>45832</v>
      </c>
      <c r="G161" s="4">
        <f t="shared" si="22"/>
        <v>1.0745092836935033E-2</v>
      </c>
      <c r="H161" s="4">
        <f t="shared" si="25"/>
        <v>1.4178985845471725E-2</v>
      </c>
      <c r="I161" s="4">
        <f t="shared" si="26"/>
        <v>7.7753919986451869E-3</v>
      </c>
      <c r="P161" s="1">
        <v>45832</v>
      </c>
      <c r="Q161" s="4">
        <f t="shared" si="23"/>
        <v>1.1227739788862757E-2</v>
      </c>
      <c r="R161" s="34">
        <f t="shared" si="24"/>
        <v>11227.739788862757</v>
      </c>
      <c r="S161" s="34" t="b">
        <f t="shared" si="19"/>
        <v>0</v>
      </c>
      <c r="T161" s="34" t="b">
        <f t="shared" si="20"/>
        <v>0</v>
      </c>
      <c r="U161" s="34" t="b">
        <f t="shared" si="21"/>
        <v>0</v>
      </c>
    </row>
    <row r="162" spans="1:21" x14ac:dyDescent="0.3">
      <c r="A162" s="1">
        <v>45833</v>
      </c>
      <c r="B162" s="3">
        <f>Data!B162</f>
        <v>281.33029174804602</v>
      </c>
      <c r="C162" s="3">
        <f>Data!H162</f>
        <v>135.94219970703099</v>
      </c>
      <c r="D162" s="3">
        <f>Data!N162</f>
        <v>46.590850830078097</v>
      </c>
      <c r="F162" s="1">
        <v>45833</v>
      </c>
      <c r="G162" s="4">
        <f t="shared" si="22"/>
        <v>9.9551226297160955E-3</v>
      </c>
      <c r="H162" s="4">
        <f t="shared" si="25"/>
        <v>1.3392221373413893E-2</v>
      </c>
      <c r="I162" s="4">
        <f t="shared" si="26"/>
        <v>4.0719399347963758E-3</v>
      </c>
      <c r="P162" s="1">
        <v>45833</v>
      </c>
      <c r="Q162" s="4">
        <f t="shared" si="23"/>
        <v>9.5650073187192996E-3</v>
      </c>
      <c r="R162" s="34">
        <f t="shared" si="24"/>
        <v>9565.0073187192993</v>
      </c>
      <c r="S162" s="34" t="b">
        <f t="shared" si="19"/>
        <v>0</v>
      </c>
      <c r="T162" s="34" t="b">
        <f t="shared" si="20"/>
        <v>0</v>
      </c>
      <c r="U162" s="34" t="b">
        <f t="shared" si="21"/>
        <v>0</v>
      </c>
    </row>
    <row r="163" spans="1:21" x14ac:dyDescent="0.3">
      <c r="A163" s="1">
        <v>45834</v>
      </c>
      <c r="B163" s="3">
        <f>Data!B163</f>
        <v>285.97525024414</v>
      </c>
      <c r="C163" s="3">
        <f>Data!H163</f>
        <v>137.94599914550699</v>
      </c>
      <c r="D163" s="3">
        <f>Data!N163</f>
        <v>47.197479248046797</v>
      </c>
      <c r="F163" s="1">
        <v>45834</v>
      </c>
      <c r="G163" s="4">
        <f t="shared" si="22"/>
        <v>1.6510694483813149E-2</v>
      </c>
      <c r="H163" s="4">
        <f t="shared" si="25"/>
        <v>1.4740083967998086E-2</v>
      </c>
      <c r="I163" s="4">
        <f t="shared" si="26"/>
        <v>1.3020333545337825E-2</v>
      </c>
      <c r="P163" s="1">
        <v>45834</v>
      </c>
      <c r="Q163" s="4">
        <f t="shared" si="23"/>
        <v>1.4755341995944526E-2</v>
      </c>
      <c r="R163" s="34">
        <f t="shared" si="24"/>
        <v>14755.341995944527</v>
      </c>
      <c r="S163" s="34" t="b">
        <f t="shared" si="19"/>
        <v>0</v>
      </c>
      <c r="T163" s="34" t="b">
        <f t="shared" si="20"/>
        <v>0</v>
      </c>
      <c r="U163" s="34" t="b">
        <f t="shared" si="21"/>
        <v>0</v>
      </c>
    </row>
    <row r="164" spans="1:21" x14ac:dyDescent="0.3">
      <c r="A164" s="1">
        <v>45835</v>
      </c>
      <c r="B164" s="3">
        <f>Data!B164</f>
        <v>284.350982666015</v>
      </c>
      <c r="C164" s="3">
        <f>Data!H164</f>
        <v>138.87388610839801</v>
      </c>
      <c r="D164" s="3">
        <f>Data!N164</f>
        <v>46.859359741210902</v>
      </c>
      <c r="F164" s="1">
        <v>45835</v>
      </c>
      <c r="G164" s="4">
        <f t="shared" si="22"/>
        <v>-5.6797487780441136E-3</v>
      </c>
      <c r="H164" s="4">
        <f t="shared" si="25"/>
        <v>6.7264507027295917E-3</v>
      </c>
      <c r="I164" s="4">
        <f t="shared" si="26"/>
        <v>-7.1639314688588529E-3</v>
      </c>
      <c r="P164" s="1">
        <v>45835</v>
      </c>
      <c r="Q164" s="4">
        <f t="shared" si="23"/>
        <v>-1.162523792979053E-3</v>
      </c>
      <c r="R164" s="34">
        <f t="shared" si="24"/>
        <v>-1162.523792979053</v>
      </c>
      <c r="S164" s="34" t="b">
        <f t="shared" si="19"/>
        <v>0</v>
      </c>
      <c r="T164" s="34" t="b">
        <f t="shared" si="20"/>
        <v>0</v>
      </c>
      <c r="U164" s="34" t="b">
        <f t="shared" si="21"/>
        <v>0</v>
      </c>
    </row>
    <row r="165" spans="1:21" x14ac:dyDescent="0.3">
      <c r="A165" s="1">
        <v>45838</v>
      </c>
      <c r="B165" s="3">
        <f>Data!B165</f>
        <v>287.12408447265602</v>
      </c>
      <c r="C165" s="3">
        <f>Data!H165</f>
        <v>139.04167175292901</v>
      </c>
      <c r="D165" s="3">
        <f>Data!N165</f>
        <v>47.058254241943303</v>
      </c>
      <c r="F165" s="1">
        <v>45838</v>
      </c>
      <c r="G165" s="4">
        <f t="shared" si="22"/>
        <v>9.7523904459235755E-3</v>
      </c>
      <c r="H165" s="4">
        <f t="shared" si="25"/>
        <v>1.2081871490225993E-3</v>
      </c>
      <c r="I165" s="4">
        <f t="shared" si="26"/>
        <v>4.2444988969296826E-3</v>
      </c>
      <c r="P165" s="1">
        <v>45838</v>
      </c>
      <c r="Q165" s="4">
        <f t="shared" si="23"/>
        <v>4.6823416624650173E-3</v>
      </c>
      <c r="R165" s="34">
        <f t="shared" si="24"/>
        <v>4682.3416624650172</v>
      </c>
      <c r="S165" s="34" t="b">
        <f t="shared" si="19"/>
        <v>0</v>
      </c>
      <c r="T165" s="34" t="b">
        <f t="shared" si="20"/>
        <v>0</v>
      </c>
      <c r="U165" s="34" t="b">
        <f t="shared" si="21"/>
        <v>0</v>
      </c>
    </row>
    <row r="166" spans="1:21" x14ac:dyDescent="0.3">
      <c r="A166" s="1">
        <v>45839</v>
      </c>
      <c r="B166" s="3">
        <f>Data!B166</f>
        <v>287.61929321289</v>
      </c>
      <c r="C166" s="3">
        <f>Data!H166</f>
        <v>139.24897766113199</v>
      </c>
      <c r="D166" s="3">
        <f>Data!N166</f>
        <v>47.883663177490199</v>
      </c>
      <c r="F166" s="1">
        <v>45839</v>
      </c>
      <c r="G166" s="4">
        <f t="shared" si="22"/>
        <v>1.7247203108841092E-3</v>
      </c>
      <c r="H166" s="4">
        <f t="shared" si="25"/>
        <v>1.4909624257923859E-3</v>
      </c>
      <c r="I166" s="4">
        <f t="shared" si="26"/>
        <v>1.7540152069882797E-2</v>
      </c>
      <c r="P166" s="1">
        <v>45839</v>
      </c>
      <c r="Q166" s="4">
        <f t="shared" si="23"/>
        <v>6.375846684547026E-3</v>
      </c>
      <c r="R166" s="34">
        <f t="shared" si="24"/>
        <v>6375.8466845470257</v>
      </c>
      <c r="S166" s="34" t="b">
        <f t="shared" si="19"/>
        <v>0</v>
      </c>
      <c r="T166" s="34" t="b">
        <f t="shared" si="20"/>
        <v>0</v>
      </c>
      <c r="U166" s="34" t="b">
        <f t="shared" si="21"/>
        <v>0</v>
      </c>
    </row>
    <row r="167" spans="1:21" x14ac:dyDescent="0.3">
      <c r="A167" s="1">
        <v>45840</v>
      </c>
      <c r="B167" s="3">
        <f>Data!B167</f>
        <v>289.19403076171801</v>
      </c>
      <c r="C167" s="3">
        <f>Data!H167</f>
        <v>141.015853881835</v>
      </c>
      <c r="D167" s="3">
        <f>Data!N167</f>
        <v>48.440563201904297</v>
      </c>
      <c r="F167" s="1">
        <v>45840</v>
      </c>
      <c r="G167" s="4">
        <f t="shared" si="22"/>
        <v>5.4750762065964853E-3</v>
      </c>
      <c r="H167" s="4">
        <f t="shared" si="25"/>
        <v>1.2688611797228244E-2</v>
      </c>
      <c r="I167" s="4">
        <f t="shared" si="26"/>
        <v>1.1630271943686488E-2</v>
      </c>
      <c r="P167" s="1">
        <v>45840</v>
      </c>
      <c r="Q167" s="4">
        <f t="shared" si="23"/>
        <v>1.020704916397619E-2</v>
      </c>
      <c r="R167" s="34">
        <f t="shared" si="24"/>
        <v>10207.049163976189</v>
      </c>
      <c r="S167" s="34" t="b">
        <f t="shared" si="19"/>
        <v>0</v>
      </c>
      <c r="T167" s="34" t="b">
        <f t="shared" si="20"/>
        <v>0</v>
      </c>
      <c r="U167" s="34" t="b">
        <f t="shared" si="21"/>
        <v>0</v>
      </c>
    </row>
    <row r="168" spans="1:21" x14ac:dyDescent="0.3">
      <c r="A168" s="1">
        <v>45841</v>
      </c>
      <c r="B168" s="3">
        <f>Data!B168</f>
        <v>294.56787109375</v>
      </c>
      <c r="C168" s="3">
        <f>Data!H168</f>
        <v>142.27932739257801</v>
      </c>
      <c r="D168" s="3">
        <f>Data!N168</f>
        <v>48.659347534179602</v>
      </c>
      <c r="F168" s="1">
        <v>45841</v>
      </c>
      <c r="G168" s="4">
        <f t="shared" si="22"/>
        <v>1.8582127431460593E-2</v>
      </c>
      <c r="H168" s="4">
        <f t="shared" si="25"/>
        <v>8.9597976111377431E-3</v>
      </c>
      <c r="I168" s="4">
        <f t="shared" si="26"/>
        <v>4.5165521995149671E-3</v>
      </c>
      <c r="P168" s="1">
        <v>45841</v>
      </c>
      <c r="Q168" s="4">
        <f t="shared" si="23"/>
        <v>1.0513522933747764E-2</v>
      </c>
      <c r="R168" s="34">
        <f t="shared" si="24"/>
        <v>10513.522933747763</v>
      </c>
      <c r="S168" s="34" t="b">
        <f t="shared" si="19"/>
        <v>0</v>
      </c>
      <c r="T168" s="34" t="b">
        <f t="shared" si="20"/>
        <v>0</v>
      </c>
      <c r="U168" s="34" t="b">
        <f t="shared" si="21"/>
        <v>0</v>
      </c>
    </row>
    <row r="169" spans="1:21" x14ac:dyDescent="0.3">
      <c r="A169" s="1">
        <v>45845</v>
      </c>
      <c r="B169" s="3">
        <f>Data!B169</f>
        <v>290.557373046875</v>
      </c>
      <c r="C169" s="3">
        <f>Data!H169</f>
        <v>141.884506225585</v>
      </c>
      <c r="D169" s="3">
        <f>Data!N169</f>
        <v>48.390838623046797</v>
      </c>
      <c r="F169" s="1">
        <v>45845</v>
      </c>
      <c r="G169" s="4">
        <f t="shared" si="22"/>
        <v>-1.36148522647217E-2</v>
      </c>
      <c r="H169" s="4">
        <f t="shared" si="25"/>
        <v>-2.774972121590169E-3</v>
      </c>
      <c r="I169" s="4">
        <f t="shared" si="26"/>
        <v>-5.5181362829453962E-3</v>
      </c>
      <c r="P169" s="1">
        <v>45845</v>
      </c>
      <c r="Q169" s="4">
        <f t="shared" si="23"/>
        <v>-6.8498854129361965E-3</v>
      </c>
      <c r="R169" s="34">
        <f t="shared" si="24"/>
        <v>-6849.8854129361962</v>
      </c>
      <c r="S169" s="34" t="b">
        <f t="shared" si="19"/>
        <v>0</v>
      </c>
      <c r="T169" s="34" t="b">
        <f t="shared" si="20"/>
        <v>0</v>
      </c>
      <c r="U169" s="34" t="b">
        <f t="shared" si="21"/>
        <v>0</v>
      </c>
    </row>
    <row r="170" spans="1:21" x14ac:dyDescent="0.3">
      <c r="A170" s="1">
        <v>45846</v>
      </c>
      <c r="B170" s="3">
        <f>Data!B170</f>
        <v>281.41183471679602</v>
      </c>
      <c r="C170" s="3">
        <f>Data!H170</f>
        <v>139.30819702148401</v>
      </c>
      <c r="D170" s="3">
        <f>Data!N170</f>
        <v>46.889194488525298</v>
      </c>
      <c r="F170" s="1">
        <v>45846</v>
      </c>
      <c r="G170" s="4">
        <f t="shared" si="22"/>
        <v>-3.1475843253179314E-2</v>
      </c>
      <c r="H170" s="4">
        <f t="shared" si="25"/>
        <v>-1.8157790957138542E-2</v>
      </c>
      <c r="I170" s="4">
        <f t="shared" si="26"/>
        <v>-3.1031579060221581E-2</v>
      </c>
      <c r="P170" s="1">
        <v>45846</v>
      </c>
      <c r="Q170" s="4">
        <f t="shared" si="23"/>
        <v>-2.6015343076875683E-2</v>
      </c>
      <c r="R170" s="34">
        <f t="shared" si="24"/>
        <v>-26015.343076875684</v>
      </c>
      <c r="S170" s="34" t="b">
        <f t="shared" si="19"/>
        <v>0</v>
      </c>
      <c r="T170" s="34" t="b">
        <f t="shared" si="20"/>
        <v>0</v>
      </c>
      <c r="U170" s="34" t="b">
        <f t="shared" si="21"/>
        <v>0</v>
      </c>
    </row>
    <row r="171" spans="1:21" x14ac:dyDescent="0.3">
      <c r="A171" s="1">
        <v>45847</v>
      </c>
      <c r="B171" s="3">
        <f>Data!B171</f>
        <v>281.79000854492102</v>
      </c>
      <c r="C171" s="3">
        <f>Data!H171</f>
        <v>139.72277832031199</v>
      </c>
      <c r="D171" s="3">
        <f>Data!N171</f>
        <v>46.580909729003899</v>
      </c>
      <c r="F171" s="1">
        <v>45847</v>
      </c>
      <c r="G171" s="4">
        <f t="shared" si="22"/>
        <v>1.3438447906981565E-3</v>
      </c>
      <c r="H171" s="4">
        <f t="shared" si="25"/>
        <v>2.9760007500783114E-3</v>
      </c>
      <c r="I171" s="4">
        <f t="shared" si="26"/>
        <v>-6.5747505983887455E-3</v>
      </c>
      <c r="P171" s="1">
        <v>45847</v>
      </c>
      <c r="Q171" s="4">
        <f t="shared" si="23"/>
        <v>-3.7887144227585203E-4</v>
      </c>
      <c r="R171" s="34">
        <f t="shared" si="24"/>
        <v>-378.87144227585202</v>
      </c>
      <c r="S171" s="34" t="b">
        <f t="shared" si="19"/>
        <v>0</v>
      </c>
      <c r="T171" s="34" t="b">
        <f t="shared" si="20"/>
        <v>0</v>
      </c>
      <c r="U171" s="34" t="b">
        <f t="shared" si="21"/>
        <v>0</v>
      </c>
    </row>
    <row r="172" spans="1:21" x14ac:dyDescent="0.3">
      <c r="A172" s="1">
        <v>45848</v>
      </c>
      <c r="B172" s="3">
        <f>Data!B172</f>
        <v>286.79568481445301</v>
      </c>
      <c r="C172" s="3">
        <f>Data!H172</f>
        <v>141.24288940429599</v>
      </c>
      <c r="D172" s="3">
        <f>Data!N172</f>
        <v>46.710189819335902</v>
      </c>
      <c r="F172" s="1">
        <v>45848</v>
      </c>
      <c r="G172" s="4">
        <f t="shared" si="22"/>
        <v>1.776385293211713E-2</v>
      </c>
      <c r="H172" s="4">
        <f t="shared" si="25"/>
        <v>1.0879479368061107E-2</v>
      </c>
      <c r="I172" s="4">
        <f t="shared" si="26"/>
        <v>2.7753878377241303E-3</v>
      </c>
      <c r="P172" s="1">
        <v>45848</v>
      </c>
      <c r="Q172" s="4">
        <f t="shared" si="23"/>
        <v>1.0513563978176819E-2</v>
      </c>
      <c r="R172" s="34">
        <f t="shared" si="24"/>
        <v>10513.563978176819</v>
      </c>
      <c r="S172" s="34" t="b">
        <f t="shared" si="19"/>
        <v>0</v>
      </c>
      <c r="T172" s="34" t="b">
        <f t="shared" si="20"/>
        <v>0</v>
      </c>
      <c r="U172" s="34" t="b">
        <f t="shared" si="21"/>
        <v>0</v>
      </c>
    </row>
    <row r="173" spans="1:21" x14ac:dyDescent="0.3">
      <c r="A173" s="1">
        <v>45849</v>
      </c>
      <c r="B173" s="3">
        <f>Data!B173</f>
        <v>285.472076416015</v>
      </c>
      <c r="C173" s="3">
        <f>Data!H173</f>
        <v>140.44334411621</v>
      </c>
      <c r="D173" s="3">
        <f>Data!N173</f>
        <v>46.4715156555175</v>
      </c>
      <c r="F173" s="1">
        <v>45849</v>
      </c>
      <c r="G173" s="4">
        <f t="shared" si="22"/>
        <v>-4.615161484365915E-3</v>
      </c>
      <c r="H173" s="4">
        <f t="shared" si="25"/>
        <v>-5.6607825813967949E-3</v>
      </c>
      <c r="I173" s="4">
        <f t="shared" si="26"/>
        <v>-5.1096808799436788E-3</v>
      </c>
      <c r="P173" s="1">
        <v>45849</v>
      </c>
      <c r="Q173" s="4">
        <f t="shared" si="23"/>
        <v>-5.1817657418515963E-3</v>
      </c>
      <c r="R173" s="34">
        <f t="shared" si="24"/>
        <v>-5181.7657418515964</v>
      </c>
      <c r="S173" s="34" t="b">
        <f t="shared" si="19"/>
        <v>0</v>
      </c>
      <c r="T173" s="34" t="b">
        <f t="shared" si="20"/>
        <v>0</v>
      </c>
      <c r="U173" s="34" t="b">
        <f t="shared" si="21"/>
        <v>0</v>
      </c>
    </row>
    <row r="174" spans="1:21" x14ac:dyDescent="0.3">
      <c r="A174" s="1">
        <v>45852</v>
      </c>
      <c r="B174" s="3">
        <f>Data!B174</f>
        <v>287.30322265625</v>
      </c>
      <c r="C174" s="3">
        <f>Data!H174</f>
        <v>142.11152648925699</v>
      </c>
      <c r="D174" s="3">
        <f>Data!N174</f>
        <v>46.809635162353501</v>
      </c>
      <c r="F174" s="1">
        <v>45852</v>
      </c>
      <c r="G174" s="4">
        <f t="shared" si="22"/>
        <v>6.4144495784816957E-3</v>
      </c>
      <c r="H174" s="4">
        <f t="shared" si="25"/>
        <v>1.1877973880105364E-2</v>
      </c>
      <c r="I174" s="4">
        <f t="shared" si="26"/>
        <v>7.2758441825397924E-3</v>
      </c>
      <c r="P174" s="1">
        <v>45852</v>
      </c>
      <c r="Q174" s="4">
        <f t="shared" si="23"/>
        <v>8.8582776803485929E-3</v>
      </c>
      <c r="R174" s="34">
        <f t="shared" si="24"/>
        <v>8858.2776803485922</v>
      </c>
      <c r="S174" s="34" t="b">
        <f t="shared" si="19"/>
        <v>0</v>
      </c>
      <c r="T174" s="34" t="b">
        <f t="shared" si="20"/>
        <v>0</v>
      </c>
      <c r="U174" s="34" t="b">
        <f t="shared" si="21"/>
        <v>0</v>
      </c>
    </row>
    <row r="175" spans="1:21" x14ac:dyDescent="0.3">
      <c r="A175" s="1">
        <v>45853</v>
      </c>
      <c r="B175" s="3">
        <f>Data!B175</f>
        <v>285.16360473632801</v>
      </c>
      <c r="C175" s="3">
        <f>Data!H175</f>
        <v>139.76225280761699</v>
      </c>
      <c r="D175" s="3">
        <f>Data!N175</f>
        <v>45.894725799560497</v>
      </c>
      <c r="F175" s="1">
        <v>45853</v>
      </c>
      <c r="G175" s="4">
        <f t="shared" si="22"/>
        <v>-7.4472465019370659E-3</v>
      </c>
      <c r="H175" s="4">
        <f t="shared" si="25"/>
        <v>-1.65311972904435E-2</v>
      </c>
      <c r="I175" s="4">
        <f t="shared" si="26"/>
        <v>-1.9545321377100078E-2</v>
      </c>
      <c r="P175" s="1">
        <v>45853</v>
      </c>
      <c r="Q175" s="4">
        <f t="shared" si="23"/>
        <v>-1.4710249279888541E-2</v>
      </c>
      <c r="R175" s="34">
        <f t="shared" si="24"/>
        <v>-14710.249279888541</v>
      </c>
      <c r="S175" s="34" t="b">
        <f t="shared" si="19"/>
        <v>0</v>
      </c>
      <c r="T175" s="34" t="b">
        <f t="shared" si="20"/>
        <v>0</v>
      </c>
      <c r="U175" s="34" t="b">
        <f t="shared" si="21"/>
        <v>0</v>
      </c>
    </row>
    <row r="176" spans="1:21" x14ac:dyDescent="0.3">
      <c r="A176" s="1">
        <v>45854</v>
      </c>
      <c r="B176" s="3">
        <f>Data!B176</f>
        <v>284.43713378906199</v>
      </c>
      <c r="C176" s="3">
        <f>Data!H176</f>
        <v>137.98548889160099</v>
      </c>
      <c r="D176" s="3">
        <f>Data!N176</f>
        <v>45.775386810302699</v>
      </c>
      <c r="F176" s="1">
        <v>45854</v>
      </c>
      <c r="G176" s="4">
        <f t="shared" si="22"/>
        <v>-2.5475584373318982E-3</v>
      </c>
      <c r="H176" s="4">
        <f t="shared" si="25"/>
        <v>-1.2712759563640597E-2</v>
      </c>
      <c r="I176" s="4">
        <f t="shared" si="26"/>
        <v>-2.6002767677270056E-3</v>
      </c>
      <c r="P176" s="1">
        <v>45854</v>
      </c>
      <c r="Q176" s="4">
        <f t="shared" si="23"/>
        <v>-6.6294543869739094E-3</v>
      </c>
      <c r="R176" s="34">
        <f t="shared" si="24"/>
        <v>-6629.4543869739091</v>
      </c>
      <c r="S176" s="34" t="b">
        <f t="shared" si="19"/>
        <v>0</v>
      </c>
      <c r="T176" s="34" t="b">
        <f t="shared" si="20"/>
        <v>0</v>
      </c>
      <c r="U176" s="34" t="b">
        <f t="shared" si="21"/>
        <v>0</v>
      </c>
    </row>
    <row r="177" spans="1:21" x14ac:dyDescent="0.3">
      <c r="A177" s="1">
        <v>45855</v>
      </c>
      <c r="B177" s="3">
        <f>Data!B177</f>
        <v>288.49740600585898</v>
      </c>
      <c r="C177" s="3">
        <f>Data!H177</f>
        <v>139.08114624023401</v>
      </c>
      <c r="D177" s="3">
        <f>Data!N177</f>
        <v>46.759914398193303</v>
      </c>
      <c r="F177" s="1">
        <v>45855</v>
      </c>
      <c r="G177" s="4">
        <f t="shared" si="22"/>
        <v>1.427476139528272E-2</v>
      </c>
      <c r="H177" s="4">
        <f t="shared" si="25"/>
        <v>7.9403809591438446E-3</v>
      </c>
      <c r="I177" s="4">
        <f t="shared" si="26"/>
        <v>2.1507793958586818E-2</v>
      </c>
      <c r="P177" s="1">
        <v>45855</v>
      </c>
      <c r="Q177" s="4">
        <f t="shared" si="23"/>
        <v>1.3910918989818399E-2</v>
      </c>
      <c r="R177" s="34">
        <f t="shared" si="24"/>
        <v>13910.918989818399</v>
      </c>
      <c r="S177" s="34" t="b">
        <f t="shared" si="19"/>
        <v>0</v>
      </c>
      <c r="T177" s="34" t="b">
        <f t="shared" si="20"/>
        <v>0</v>
      </c>
      <c r="U177" s="34" t="b">
        <f t="shared" si="21"/>
        <v>0</v>
      </c>
    </row>
    <row r="178" spans="1:21" x14ac:dyDescent="0.3">
      <c r="A178" s="1">
        <v>45856</v>
      </c>
      <c r="B178" s="3">
        <f>Data!B178</f>
        <v>289.860748291015</v>
      </c>
      <c r="C178" s="3">
        <f>Data!H178</f>
        <v>139.01206970214801</v>
      </c>
      <c r="D178" s="3">
        <f>Data!N178</f>
        <v>47.058254241943303</v>
      </c>
      <c r="F178" s="1">
        <v>45856</v>
      </c>
      <c r="G178" s="4">
        <f t="shared" si="22"/>
        <v>4.7256656620626725E-3</v>
      </c>
      <c r="H178" s="4">
        <f t="shared" si="25"/>
        <v>-4.9666356622257712E-4</v>
      </c>
      <c r="I178" s="4">
        <f t="shared" si="26"/>
        <v>6.38024785951119E-3</v>
      </c>
      <c r="P178" s="1">
        <v>45856</v>
      </c>
      <c r="Q178" s="4">
        <f t="shared" si="23"/>
        <v>3.1331086299831276E-3</v>
      </c>
      <c r="R178" s="34">
        <f t="shared" si="24"/>
        <v>3133.1086299831277</v>
      </c>
      <c r="S178" s="34" t="b">
        <f t="shared" si="19"/>
        <v>0</v>
      </c>
      <c r="T178" s="34" t="b">
        <f t="shared" si="20"/>
        <v>0</v>
      </c>
      <c r="U178" s="34" t="b">
        <f t="shared" si="21"/>
        <v>0</v>
      </c>
    </row>
    <row r="179" spans="1:21" x14ac:dyDescent="0.3">
      <c r="A179" s="1">
        <v>45859</v>
      </c>
      <c r="B179" s="3">
        <f>Data!B179</f>
        <v>289.56222534179602</v>
      </c>
      <c r="C179" s="3">
        <f>Data!H179</f>
        <v>138.65670776367099</v>
      </c>
      <c r="D179" s="3">
        <f>Data!N179</f>
        <v>47.217369079589801</v>
      </c>
      <c r="F179" s="1">
        <v>45859</v>
      </c>
      <c r="G179" s="4">
        <f t="shared" si="22"/>
        <v>-1.0298840080246174E-3</v>
      </c>
      <c r="H179" s="4">
        <f t="shared" si="25"/>
        <v>-2.5563387354667899E-3</v>
      </c>
      <c r="I179" s="4">
        <f t="shared" si="26"/>
        <v>3.3812312039547265E-3</v>
      </c>
      <c r="P179" s="1">
        <v>45859</v>
      </c>
      <c r="Q179" s="4">
        <f t="shared" si="23"/>
        <v>-3.1713133540768319E-4</v>
      </c>
      <c r="R179" s="34">
        <f t="shared" si="24"/>
        <v>-317.1313354076832</v>
      </c>
      <c r="S179" s="34" t="b">
        <f t="shared" si="19"/>
        <v>0</v>
      </c>
      <c r="T179" s="34" t="b">
        <f t="shared" si="20"/>
        <v>0</v>
      </c>
      <c r="U179" s="34" t="b">
        <f t="shared" si="21"/>
        <v>0</v>
      </c>
    </row>
    <row r="180" spans="1:21" x14ac:dyDescent="0.3">
      <c r="A180" s="1">
        <v>45860</v>
      </c>
      <c r="B180" s="3">
        <f>Data!B180</f>
        <v>290.01998901367102</v>
      </c>
      <c r="C180" s="3">
        <f>Data!H180</f>
        <v>138.23225402832</v>
      </c>
      <c r="D180" s="3">
        <f>Data!N180</f>
        <v>47.505764007568303</v>
      </c>
      <c r="F180" s="1">
        <v>45860</v>
      </c>
      <c r="G180" s="4">
        <f t="shared" si="22"/>
        <v>1.5808818686022796E-3</v>
      </c>
      <c r="H180" s="4">
        <f t="shared" si="25"/>
        <v>-3.0611842888584873E-3</v>
      </c>
      <c r="I180" s="4">
        <f t="shared" si="26"/>
        <v>6.1078144250770183E-3</v>
      </c>
      <c r="P180" s="1">
        <v>45860</v>
      </c>
      <c r="Q180" s="4">
        <f t="shared" si="23"/>
        <v>1.0821351725603945E-3</v>
      </c>
      <c r="R180" s="34">
        <f t="shared" si="24"/>
        <v>1082.1351725603945</v>
      </c>
      <c r="S180" s="34" t="b">
        <f t="shared" si="19"/>
        <v>0</v>
      </c>
      <c r="T180" s="34" t="b">
        <f t="shared" si="20"/>
        <v>0</v>
      </c>
      <c r="U180" s="34" t="b">
        <f t="shared" si="21"/>
        <v>0</v>
      </c>
    </row>
    <row r="181" spans="1:21" x14ac:dyDescent="0.3">
      <c r="A181" s="1">
        <v>45861</v>
      </c>
      <c r="B181" s="3">
        <f>Data!B181</f>
        <v>295.32421875</v>
      </c>
      <c r="C181" s="3">
        <f>Data!H181</f>
        <v>140.374252319335</v>
      </c>
      <c r="D181" s="3">
        <f>Data!N181</f>
        <v>47.873714447021399</v>
      </c>
      <c r="F181" s="1">
        <v>45861</v>
      </c>
      <c r="G181" s="4">
        <f t="shared" si="22"/>
        <v>1.8289186736293983E-2</v>
      </c>
      <c r="H181" s="4">
        <f t="shared" si="25"/>
        <v>1.549564756844779E-2</v>
      </c>
      <c r="I181" s="4">
        <f t="shared" si="26"/>
        <v>7.7453851577773403E-3</v>
      </c>
      <c r="P181" s="1">
        <v>45861</v>
      </c>
      <c r="Q181" s="4">
        <f t="shared" si="23"/>
        <v>1.4008630595600513E-2</v>
      </c>
      <c r="R181" s="34">
        <f t="shared" si="24"/>
        <v>14008.630595600513</v>
      </c>
      <c r="S181" s="34" t="b">
        <f t="shared" si="19"/>
        <v>0</v>
      </c>
      <c r="T181" s="34" t="b">
        <f t="shared" si="20"/>
        <v>0</v>
      </c>
      <c r="U181" s="34" t="b">
        <f t="shared" si="21"/>
        <v>0</v>
      </c>
    </row>
    <row r="182" spans="1:21" x14ac:dyDescent="0.3">
      <c r="A182" s="1">
        <v>45862</v>
      </c>
      <c r="B182" s="3">
        <f>Data!B182</f>
        <v>295.11520385742102</v>
      </c>
      <c r="C182" s="3">
        <f>Data!H182</f>
        <v>140.66050720214801</v>
      </c>
      <c r="D182" s="3">
        <f>Data!N182</f>
        <v>48.1223335266113</v>
      </c>
      <c r="F182" s="1">
        <v>45862</v>
      </c>
      <c r="G182" s="4">
        <f t="shared" si="22"/>
        <v>-7.0774721241506633E-4</v>
      </c>
      <c r="H182" s="4">
        <f t="shared" si="25"/>
        <v>2.0392264114206249E-3</v>
      </c>
      <c r="I182" s="4">
        <f t="shared" si="26"/>
        <v>5.1932272743329122E-3</v>
      </c>
      <c r="P182" s="1">
        <v>45862</v>
      </c>
      <c r="Q182" s="4">
        <f t="shared" si="23"/>
        <v>2.1613345831436037E-3</v>
      </c>
      <c r="R182" s="34">
        <f t="shared" si="24"/>
        <v>2161.3345831436036</v>
      </c>
      <c r="S182" s="34" t="b">
        <f t="shared" si="19"/>
        <v>0</v>
      </c>
      <c r="T182" s="34" t="b">
        <f t="shared" si="20"/>
        <v>0</v>
      </c>
      <c r="U182" s="34" t="b">
        <f t="shared" si="21"/>
        <v>0</v>
      </c>
    </row>
    <row r="183" spans="1:21" x14ac:dyDescent="0.3">
      <c r="A183" s="1">
        <v>45863</v>
      </c>
      <c r="B183" s="3">
        <f>Data!B183</f>
        <v>297.175201416015</v>
      </c>
      <c r="C183" s="3">
        <f>Data!H183</f>
        <v>141.16392517089801</v>
      </c>
      <c r="D183" s="3">
        <f>Data!N183</f>
        <v>48.182003021240199</v>
      </c>
      <c r="F183" s="1">
        <v>45863</v>
      </c>
      <c r="G183" s="4">
        <f t="shared" si="22"/>
        <v>6.9803166074400291E-3</v>
      </c>
      <c r="H183" s="4">
        <f t="shared" si="25"/>
        <v>3.5789574398912283E-3</v>
      </c>
      <c r="I183" s="4">
        <f t="shared" si="26"/>
        <v>1.2399543051233586E-3</v>
      </c>
      <c r="P183" s="1">
        <v>45863</v>
      </c>
      <c r="Q183" s="4">
        <f t="shared" si="23"/>
        <v>3.897664249725508E-3</v>
      </c>
      <c r="R183" s="34">
        <f t="shared" si="24"/>
        <v>3897.6642497255079</v>
      </c>
      <c r="S183" s="34" t="b">
        <f t="shared" si="19"/>
        <v>0</v>
      </c>
      <c r="T183" s="34" t="b">
        <f t="shared" si="20"/>
        <v>0</v>
      </c>
      <c r="U183" s="34" t="b">
        <f t="shared" si="21"/>
        <v>0</v>
      </c>
    </row>
    <row r="184" spans="1:21" x14ac:dyDescent="0.3">
      <c r="A184" s="1">
        <v>45866</v>
      </c>
      <c r="B184" s="3">
        <f>Data!B184</f>
        <v>296.83685302734301</v>
      </c>
      <c r="C184" s="3">
        <f>Data!H184</f>
        <v>140.7197265625</v>
      </c>
      <c r="D184" s="3">
        <f>Data!N184</f>
        <v>47.963218688964801</v>
      </c>
      <c r="F184" s="1">
        <v>45866</v>
      </c>
      <c r="G184" s="4">
        <f t="shared" si="22"/>
        <v>-1.1385485298227582E-3</v>
      </c>
      <c r="H184" s="4">
        <f t="shared" si="25"/>
        <v>-3.1466864346556545E-3</v>
      </c>
      <c r="I184" s="4">
        <f t="shared" si="26"/>
        <v>-4.5407894764970536E-3</v>
      </c>
      <c r="P184" s="1">
        <v>45866</v>
      </c>
      <c r="Q184" s="4">
        <f t="shared" si="23"/>
        <v>-2.9624759757582056E-3</v>
      </c>
      <c r="R184" s="34">
        <f t="shared" si="24"/>
        <v>-2962.4759757582055</v>
      </c>
      <c r="S184" s="34" t="b">
        <f t="shared" si="19"/>
        <v>0</v>
      </c>
      <c r="T184" s="34" t="b">
        <f t="shared" si="20"/>
        <v>0</v>
      </c>
      <c r="U184" s="34" t="b">
        <f t="shared" si="21"/>
        <v>0</v>
      </c>
    </row>
    <row r="185" spans="1:21" x14ac:dyDescent="0.3">
      <c r="A185" s="1">
        <v>45867</v>
      </c>
      <c r="B185" s="3">
        <f>Data!B185</f>
        <v>295.60287475585898</v>
      </c>
      <c r="C185" s="3">
        <f>Data!H185</f>
        <v>141.70681762695301</v>
      </c>
      <c r="D185" s="3">
        <f>Data!N185</f>
        <v>47.684768676757798</v>
      </c>
      <c r="F185" s="1">
        <v>45867</v>
      </c>
      <c r="G185" s="4">
        <f t="shared" si="22"/>
        <v>-4.1570925540379555E-3</v>
      </c>
      <c r="H185" s="4">
        <f t="shared" si="25"/>
        <v>7.014589130931892E-3</v>
      </c>
      <c r="I185" s="4">
        <f t="shared" si="26"/>
        <v>-5.8054905366696774E-3</v>
      </c>
      <c r="P185" s="1">
        <v>45867</v>
      </c>
      <c r="Q185" s="4">
        <f t="shared" si="23"/>
        <v>-1.8293927483953288E-4</v>
      </c>
      <c r="R185" s="34">
        <f t="shared" si="24"/>
        <v>-182.93927483953289</v>
      </c>
      <c r="S185" s="34" t="b">
        <f t="shared" si="19"/>
        <v>0</v>
      </c>
      <c r="T185" s="34" t="b">
        <f t="shared" si="20"/>
        <v>0</v>
      </c>
      <c r="U185" s="34" t="b">
        <f t="shared" si="21"/>
        <v>0</v>
      </c>
    </row>
    <row r="186" spans="1:21" x14ac:dyDescent="0.3">
      <c r="A186" s="1">
        <v>45868</v>
      </c>
      <c r="B186" s="3">
        <f>Data!B186</f>
        <v>298.18032836914</v>
      </c>
      <c r="C186" s="3">
        <f>Data!H186</f>
        <v>143.06900024414</v>
      </c>
      <c r="D186" s="3">
        <f>Data!N186</f>
        <v>47.694713592529297</v>
      </c>
      <c r="F186" s="1">
        <v>45868</v>
      </c>
      <c r="G186" s="4">
        <f t="shared" si="22"/>
        <v>8.7193117300017331E-3</v>
      </c>
      <c r="H186" s="4">
        <f t="shared" si="25"/>
        <v>9.6126822971422943E-3</v>
      </c>
      <c r="I186" s="4">
        <f t="shared" si="26"/>
        <v>2.0855539509723187E-4</v>
      </c>
      <c r="P186" s="1">
        <v>45868</v>
      </c>
      <c r="Q186" s="4">
        <f t="shared" si="23"/>
        <v>6.5234330563866075E-3</v>
      </c>
      <c r="R186" s="34">
        <f t="shared" si="24"/>
        <v>6523.4330563866079</v>
      </c>
      <c r="S186" s="34" t="b">
        <f t="shared" si="19"/>
        <v>0</v>
      </c>
      <c r="T186" s="34" t="b">
        <f t="shared" si="20"/>
        <v>0</v>
      </c>
      <c r="U186" s="34" t="b">
        <f t="shared" si="21"/>
        <v>0</v>
      </c>
    </row>
    <row r="187" spans="1:21" x14ac:dyDescent="0.3">
      <c r="A187" s="1">
        <v>45869</v>
      </c>
      <c r="B187" s="3">
        <f>Data!B187</f>
        <v>294.80670166015602</v>
      </c>
      <c r="C187" s="3">
        <f>Data!H187</f>
        <v>141.59797668457</v>
      </c>
      <c r="D187" s="3">
        <f>Data!N187</f>
        <v>47.008529663085902</v>
      </c>
      <c r="F187" s="1">
        <v>45869</v>
      </c>
      <c r="G187" s="4">
        <f t="shared" si="22"/>
        <v>-1.1314048540477573E-2</v>
      </c>
      <c r="H187" s="4">
        <f t="shared" si="25"/>
        <v>-1.0281916816779146E-2</v>
      </c>
      <c r="I187" s="4">
        <f t="shared" si="26"/>
        <v>-1.438700178190977E-2</v>
      </c>
      <c r="P187" s="1">
        <v>45869</v>
      </c>
      <c r="Q187" s="4">
        <f t="shared" si="23"/>
        <v>-1.1823081823427862E-2</v>
      </c>
      <c r="R187" s="34">
        <f t="shared" si="24"/>
        <v>-11823.081823427861</v>
      </c>
      <c r="S187" s="34" t="b">
        <f t="shared" si="19"/>
        <v>0</v>
      </c>
      <c r="T187" s="34" t="b">
        <f t="shared" si="20"/>
        <v>0</v>
      </c>
      <c r="U187" s="34" t="b">
        <f t="shared" si="21"/>
        <v>0</v>
      </c>
    </row>
    <row r="188" spans="1:21" x14ac:dyDescent="0.3">
      <c r="A188" s="1">
        <v>45870</v>
      </c>
      <c r="B188" s="3">
        <f>Data!B188</f>
        <v>287.969970703125</v>
      </c>
      <c r="C188" s="3">
        <f>Data!H188</f>
        <v>138.24835205078099</v>
      </c>
      <c r="D188" s="3">
        <f>Data!N188</f>
        <v>45.407436370849602</v>
      </c>
      <c r="F188" s="1">
        <v>45870</v>
      </c>
      <c r="G188" s="4">
        <f t="shared" si="22"/>
        <v>-2.3190554755136428E-2</v>
      </c>
      <c r="H188" s="4">
        <f t="shared" si="25"/>
        <v>-2.3655879216768594E-2</v>
      </c>
      <c r="I188" s="4">
        <f t="shared" si="26"/>
        <v>-3.4059633511438703E-2</v>
      </c>
      <c r="P188" s="1">
        <v>45870</v>
      </c>
      <c r="Q188" s="4">
        <f t="shared" si="23"/>
        <v>-2.6637408166679977E-2</v>
      </c>
      <c r="R188" s="34">
        <f t="shared" si="24"/>
        <v>-26637.408166679976</v>
      </c>
      <c r="S188" s="34" t="b">
        <f t="shared" si="19"/>
        <v>0</v>
      </c>
      <c r="T188" s="34" t="b">
        <f t="shared" si="20"/>
        <v>0</v>
      </c>
      <c r="U188" s="34" t="b">
        <f t="shared" si="21"/>
        <v>0</v>
      </c>
    </row>
    <row r="189" spans="1:21" x14ac:dyDescent="0.3">
      <c r="A189" s="1">
        <v>45873</v>
      </c>
      <c r="B189" s="3">
        <f>Data!B189</f>
        <v>292.83630371093699</v>
      </c>
      <c r="C189" s="3">
        <f>Data!H189</f>
        <v>140.504623413085</v>
      </c>
      <c r="D189" s="3">
        <f>Data!N189</f>
        <v>45.596382141113203</v>
      </c>
      <c r="F189" s="1">
        <v>45873</v>
      </c>
      <c r="G189" s="4">
        <f t="shared" si="22"/>
        <v>1.6898751616114982E-2</v>
      </c>
      <c r="H189" s="4">
        <f t="shared" si="25"/>
        <v>1.6320421392619799E-2</v>
      </c>
      <c r="I189" s="4">
        <f t="shared" si="26"/>
        <v>4.1611195294191106E-3</v>
      </c>
      <c r="P189" s="1">
        <v>45873</v>
      </c>
      <c r="Q189" s="4">
        <f t="shared" si="23"/>
        <v>1.2846129900708146E-2</v>
      </c>
      <c r="R189" s="34">
        <f t="shared" si="24"/>
        <v>12846.129900708147</v>
      </c>
      <c r="S189" s="34" t="b">
        <f t="shared" si="19"/>
        <v>0</v>
      </c>
      <c r="T189" s="34" t="b">
        <f t="shared" si="20"/>
        <v>0</v>
      </c>
      <c r="U189" s="34" t="b">
        <f t="shared" si="21"/>
        <v>0</v>
      </c>
    </row>
    <row r="190" spans="1:21" x14ac:dyDescent="0.3">
      <c r="A190" s="1">
        <v>45874</v>
      </c>
      <c r="B190" s="3">
        <f>Data!B190</f>
        <v>289.96026611328102</v>
      </c>
      <c r="C190" s="3">
        <f>Data!H190</f>
        <v>139.61007690429599</v>
      </c>
      <c r="D190" s="3">
        <f>Data!N190</f>
        <v>45.307991027832003</v>
      </c>
      <c r="F190" s="1">
        <v>45874</v>
      </c>
      <c r="G190" s="4">
        <f t="shared" si="22"/>
        <v>-9.8213150528458915E-3</v>
      </c>
      <c r="H190" s="4">
        <f t="shared" si="25"/>
        <v>-6.3666695590438582E-3</v>
      </c>
      <c r="I190" s="4">
        <f t="shared" si="26"/>
        <v>-6.3248683281204032E-3</v>
      </c>
      <c r="P190" s="1">
        <v>45874</v>
      </c>
      <c r="Q190" s="4">
        <f t="shared" si="23"/>
        <v>-7.390522837907431E-3</v>
      </c>
      <c r="R190" s="34">
        <f t="shared" si="24"/>
        <v>-7390.5228379074306</v>
      </c>
      <c r="S190" s="34" t="b">
        <f t="shared" si="19"/>
        <v>0</v>
      </c>
      <c r="T190" s="34" t="b">
        <f t="shared" si="20"/>
        <v>0</v>
      </c>
      <c r="U190" s="34" t="b">
        <f t="shared" si="21"/>
        <v>0</v>
      </c>
    </row>
    <row r="191" spans="1:21" x14ac:dyDescent="0.3">
      <c r="A191" s="1">
        <v>45875</v>
      </c>
      <c r="B191" s="3">
        <f>Data!B191</f>
        <v>289.94039916992102</v>
      </c>
      <c r="C191" s="3">
        <f>Data!H191</f>
        <v>140.44499206542901</v>
      </c>
      <c r="D191" s="3">
        <f>Data!N191</f>
        <v>45.1687622070312</v>
      </c>
      <c r="F191" s="1">
        <v>45875</v>
      </c>
      <c r="G191" s="4">
        <f t="shared" si="22"/>
        <v>-6.8516088863823654E-5</v>
      </c>
      <c r="H191" s="4">
        <f t="shared" si="25"/>
        <v>5.9803359445562698E-3</v>
      </c>
      <c r="I191" s="4">
        <f t="shared" si="26"/>
        <v>-3.072941828634046E-3</v>
      </c>
      <c r="P191" s="1">
        <v>45875</v>
      </c>
      <c r="Q191" s="4">
        <f t="shared" si="23"/>
        <v>1.4496970025731472E-3</v>
      </c>
      <c r="R191" s="34">
        <f t="shared" si="24"/>
        <v>1449.6970025731473</v>
      </c>
      <c r="S191" s="34" t="b">
        <f t="shared" si="19"/>
        <v>0</v>
      </c>
      <c r="T191" s="34" t="b">
        <f t="shared" si="20"/>
        <v>0</v>
      </c>
      <c r="U191" s="34" t="b">
        <f t="shared" si="21"/>
        <v>0</v>
      </c>
    </row>
    <row r="192" spans="1:21" x14ac:dyDescent="0.3">
      <c r="A192" s="1">
        <v>45876</v>
      </c>
      <c r="B192" s="3">
        <f>Data!B192</f>
        <v>285.55172729492102</v>
      </c>
      <c r="C192" s="3">
        <f>Data!H192</f>
        <v>140.06727600097599</v>
      </c>
      <c r="D192" s="3">
        <f>Data!N192</f>
        <v>44.6715278625488</v>
      </c>
      <c r="F192" s="1">
        <v>45876</v>
      </c>
      <c r="G192" s="4">
        <f t="shared" si="22"/>
        <v>-1.5136462140372453E-2</v>
      </c>
      <c r="H192" s="4">
        <f t="shared" si="25"/>
        <v>-2.6894235166252667E-3</v>
      </c>
      <c r="I192" s="4">
        <f t="shared" si="26"/>
        <v>-1.1008367734394064E-2</v>
      </c>
      <c r="P192" s="1">
        <v>45876</v>
      </c>
      <c r="Q192" s="4">
        <f t="shared" si="23"/>
        <v>-8.9192183690800612E-3</v>
      </c>
      <c r="R192" s="34">
        <f t="shared" si="24"/>
        <v>-8919.2183690800612</v>
      </c>
      <c r="S192" s="34" t="b">
        <f t="shared" si="19"/>
        <v>0</v>
      </c>
      <c r="T192" s="34" t="b">
        <f t="shared" si="20"/>
        <v>0</v>
      </c>
      <c r="U192" s="34" t="b">
        <f t="shared" si="21"/>
        <v>0</v>
      </c>
    </row>
    <row r="193" spans="1:21" x14ac:dyDescent="0.3">
      <c r="A193" s="1">
        <v>45877</v>
      </c>
      <c r="B193" s="3">
        <f>Data!B193</f>
        <v>287.36291503906199</v>
      </c>
      <c r="C193" s="3">
        <f>Data!H193</f>
        <v>142.31359863281199</v>
      </c>
      <c r="D193" s="3">
        <f>Data!N193</f>
        <v>45.755496978759702</v>
      </c>
      <c r="F193" s="1">
        <v>45877</v>
      </c>
      <c r="G193" s="4">
        <f t="shared" si="22"/>
        <v>6.3427658494614736E-3</v>
      </c>
      <c r="H193" s="4">
        <f t="shared" si="25"/>
        <v>1.603745497142639E-2</v>
      </c>
      <c r="I193" s="4">
        <f t="shared" si="26"/>
        <v>2.4265324426471446E-2</v>
      </c>
      <c r="P193" s="1">
        <v>45877</v>
      </c>
      <c r="Q193" s="4">
        <f t="shared" si="23"/>
        <v>1.5597409071350432E-2</v>
      </c>
      <c r="R193" s="34">
        <f t="shared" si="24"/>
        <v>15597.409071350432</v>
      </c>
      <c r="S193" s="34" t="b">
        <f t="shared" si="19"/>
        <v>0</v>
      </c>
      <c r="T193" s="34" t="b">
        <f t="shared" si="20"/>
        <v>0</v>
      </c>
      <c r="U193" s="34" t="b">
        <f t="shared" si="21"/>
        <v>0</v>
      </c>
    </row>
    <row r="194" spans="1:21" x14ac:dyDescent="0.3">
      <c r="A194" s="1">
        <v>45880</v>
      </c>
      <c r="B194" s="3">
        <f>Data!B194</f>
        <v>288.15902709960898</v>
      </c>
      <c r="C194" s="3">
        <f>Data!H194</f>
        <v>143.00938415527301</v>
      </c>
      <c r="D194" s="3">
        <f>Data!N194</f>
        <v>45.904670715332003</v>
      </c>
      <c r="F194" s="1">
        <v>45880</v>
      </c>
      <c r="G194" s="4">
        <f t="shared" si="22"/>
        <v>2.7704064055682487E-3</v>
      </c>
      <c r="H194" s="4">
        <f t="shared" si="25"/>
        <v>4.8891007545683873E-3</v>
      </c>
      <c r="I194" s="4">
        <f t="shared" si="26"/>
        <v>3.2602363961109493E-3</v>
      </c>
      <c r="P194" s="1">
        <v>45880</v>
      </c>
      <c r="Q194" s="4">
        <f t="shared" si="23"/>
        <v>3.7648331423311143E-3</v>
      </c>
      <c r="R194" s="34">
        <f t="shared" si="24"/>
        <v>3764.8331423311142</v>
      </c>
      <c r="S194" s="34" t="b">
        <f t="shared" si="19"/>
        <v>0</v>
      </c>
      <c r="T194" s="34" t="b">
        <f t="shared" si="20"/>
        <v>0</v>
      </c>
      <c r="U194" s="34" t="b">
        <f t="shared" si="21"/>
        <v>0</v>
      </c>
    </row>
    <row r="195" spans="1:21" x14ac:dyDescent="0.3">
      <c r="A195" s="1">
        <v>45881</v>
      </c>
      <c r="B195" s="3">
        <f>Data!B195</f>
        <v>291.43313598632801</v>
      </c>
      <c r="C195" s="3">
        <f>Data!H195</f>
        <v>146.39872741699199</v>
      </c>
      <c r="D195" s="3">
        <f>Data!N195</f>
        <v>47.237258911132798</v>
      </c>
      <c r="F195" s="1">
        <v>45881</v>
      </c>
      <c r="G195" s="4">
        <f t="shared" si="22"/>
        <v>1.1362159706304276E-2</v>
      </c>
      <c r="H195" s="4">
        <f t="shared" si="25"/>
        <v>2.3700145845247267E-2</v>
      </c>
      <c r="I195" s="4">
        <f t="shared" si="26"/>
        <v>2.9029468571173389E-2</v>
      </c>
      <c r="P195" s="1">
        <v>45881</v>
      </c>
      <c r="Q195" s="4">
        <f t="shared" si="23"/>
        <v>2.1597546821342205E-2</v>
      </c>
      <c r="R195" s="34">
        <f t="shared" si="24"/>
        <v>21597.546821342206</v>
      </c>
      <c r="S195" s="34" t="b">
        <f t="shared" si="19"/>
        <v>0</v>
      </c>
      <c r="T195" s="34" t="b">
        <f t="shared" si="20"/>
        <v>0</v>
      </c>
      <c r="U195" s="34" t="b">
        <f t="shared" si="21"/>
        <v>0</v>
      </c>
    </row>
    <row r="196" spans="1:21" x14ac:dyDescent="0.3">
      <c r="A196" s="1">
        <v>45882</v>
      </c>
      <c r="B196" s="3">
        <f>Data!B196</f>
        <v>289.12435913085898</v>
      </c>
      <c r="C196" s="3">
        <f>Data!H196</f>
        <v>146.86589050292901</v>
      </c>
      <c r="D196" s="3">
        <f>Data!N196</f>
        <v>46.9786987304687</v>
      </c>
      <c r="F196" s="1">
        <v>45882</v>
      </c>
      <c r="G196" s="4">
        <f t="shared" si="22"/>
        <v>-7.9221494414325466E-3</v>
      </c>
      <c r="H196" s="4">
        <f t="shared" si="25"/>
        <v>3.1910324234334375E-3</v>
      </c>
      <c r="I196" s="4">
        <f t="shared" si="26"/>
        <v>-5.4736491198722481E-3</v>
      </c>
      <c r="P196" s="1">
        <v>45882</v>
      </c>
      <c r="Q196" s="4">
        <f t="shared" si="23"/>
        <v>-2.7423265990180632E-3</v>
      </c>
      <c r="R196" s="34">
        <f t="shared" si="24"/>
        <v>-2742.3265990180635</v>
      </c>
      <c r="S196" s="34" t="b">
        <f t="shared" ref="S196:S251" si="27">$L$9&gt;R196</f>
        <v>0</v>
      </c>
      <c r="T196" s="34" t="b">
        <f t="shared" ref="T196:T251" si="28">$L$10&gt;R196</f>
        <v>0</v>
      </c>
      <c r="U196" s="34" t="b">
        <f t="shared" ref="U196:U251" si="29">$L$11&gt;R196</f>
        <v>0</v>
      </c>
    </row>
    <row r="197" spans="1:21" x14ac:dyDescent="0.3">
      <c r="A197" s="1">
        <v>45883</v>
      </c>
      <c r="B197" s="3">
        <f>Data!B197</f>
        <v>292.73678588867102</v>
      </c>
      <c r="C197" s="3">
        <f>Data!H197</f>
        <v>147.61135864257801</v>
      </c>
      <c r="D197" s="3">
        <f>Data!N197</f>
        <v>47.446094512939403</v>
      </c>
      <c r="F197" s="1">
        <v>45883</v>
      </c>
      <c r="G197" s="4">
        <f t="shared" ref="G197:G251" si="30">B197/B196-1</f>
        <v>1.2494370134261246E-2</v>
      </c>
      <c r="H197" s="4">
        <f t="shared" si="25"/>
        <v>5.075842573767142E-3</v>
      </c>
      <c r="I197" s="4">
        <f t="shared" si="26"/>
        <v>9.9491002326883571E-3</v>
      </c>
      <c r="P197" s="1">
        <v>45883</v>
      </c>
      <c r="Q197" s="4">
        <f t="shared" ref="Q197:Q251" si="31">SUMPRODUCT(G197:I197,$L$3:$N$3)</f>
        <v>8.763378139591738E-3</v>
      </c>
      <c r="R197" s="34">
        <f t="shared" ref="R197:R251" si="32">Q197*1000000</f>
        <v>8763.3781395917376</v>
      </c>
      <c r="S197" s="34" t="b">
        <f t="shared" si="27"/>
        <v>0</v>
      </c>
      <c r="T197" s="34" t="b">
        <f t="shared" si="28"/>
        <v>0</v>
      </c>
      <c r="U197" s="34" t="b">
        <f t="shared" si="29"/>
        <v>0</v>
      </c>
    </row>
    <row r="198" spans="1:21" x14ac:dyDescent="0.3">
      <c r="A198" s="1">
        <v>45884</v>
      </c>
      <c r="B198" s="3">
        <f>Data!B198</f>
        <v>289.08453369140602</v>
      </c>
      <c r="C198" s="3">
        <f>Data!H198</f>
        <v>143.75483703613199</v>
      </c>
      <c r="D198" s="3">
        <f>Data!N198</f>
        <v>46.680355072021399</v>
      </c>
      <c r="F198" s="1">
        <v>45884</v>
      </c>
      <c r="G198" s="4">
        <f t="shared" si="30"/>
        <v>-1.2476232483655036E-2</v>
      </c>
      <c r="H198" s="4">
        <f t="shared" si="25"/>
        <v>-2.6126184610115954E-2</v>
      </c>
      <c r="I198" s="4">
        <f t="shared" si="26"/>
        <v>-1.6139145882896111E-2</v>
      </c>
      <c r="P198" s="1">
        <v>45884</v>
      </c>
      <c r="Q198" s="4">
        <f t="shared" si="31"/>
        <v>-1.9035087354011729E-2</v>
      </c>
      <c r="R198" s="34">
        <f t="shared" si="32"/>
        <v>-19035.087354011728</v>
      </c>
      <c r="S198" s="34" t="b">
        <f t="shared" si="27"/>
        <v>0</v>
      </c>
      <c r="T198" s="34" t="b">
        <f t="shared" si="28"/>
        <v>0</v>
      </c>
      <c r="U198" s="34" t="b">
        <f t="shared" si="29"/>
        <v>0</v>
      </c>
    </row>
    <row r="199" spans="1:21" x14ac:dyDescent="0.3">
      <c r="A199" s="1">
        <v>45887</v>
      </c>
      <c r="B199" s="3">
        <f>Data!B199</f>
        <v>290.11950683593699</v>
      </c>
      <c r="C199" s="3">
        <f>Data!H199</f>
        <v>143.90393066406199</v>
      </c>
      <c r="D199" s="3">
        <f>Data!N199</f>
        <v>47.654933929443303</v>
      </c>
      <c r="F199" s="1">
        <v>45887</v>
      </c>
      <c r="G199" s="4">
        <f t="shared" si="30"/>
        <v>3.5801747375243664E-3</v>
      </c>
      <c r="H199" s="4">
        <f t="shared" si="25"/>
        <v>1.0371381652536371E-3</v>
      </c>
      <c r="I199" s="4">
        <f t="shared" si="26"/>
        <v>2.0877708747464752E-2</v>
      </c>
      <c r="P199" s="1">
        <v>45887</v>
      </c>
      <c r="Q199" s="4">
        <f t="shared" si="31"/>
        <v>7.7522203115981897E-3</v>
      </c>
      <c r="R199" s="34">
        <f t="shared" si="32"/>
        <v>7752.2203115981902</v>
      </c>
      <c r="S199" s="34" t="b">
        <f t="shared" si="27"/>
        <v>0</v>
      </c>
      <c r="T199" s="34" t="b">
        <f t="shared" si="28"/>
        <v>0</v>
      </c>
      <c r="U199" s="34" t="b">
        <f t="shared" si="29"/>
        <v>0</v>
      </c>
    </row>
    <row r="200" spans="1:21" x14ac:dyDescent="0.3">
      <c r="A200" s="1">
        <v>45888</v>
      </c>
      <c r="B200" s="3">
        <f>Data!B200</f>
        <v>289.25372314453102</v>
      </c>
      <c r="C200" s="3">
        <f>Data!H200</f>
        <v>143.19822692871</v>
      </c>
      <c r="D200" s="3">
        <f>Data!N200</f>
        <v>47.814048767089801</v>
      </c>
      <c r="F200" s="1">
        <v>45888</v>
      </c>
      <c r="G200" s="4">
        <f t="shared" si="30"/>
        <v>-2.9842312254293457E-3</v>
      </c>
      <c r="H200" s="4">
        <f t="shared" si="25"/>
        <v>-4.9039920737080633E-3</v>
      </c>
      <c r="I200" s="4">
        <f t="shared" si="26"/>
        <v>3.3388953572379698E-3</v>
      </c>
      <c r="P200" s="1">
        <v>45888</v>
      </c>
      <c r="Q200" s="4">
        <f t="shared" si="31"/>
        <v>-1.8551975899406385E-3</v>
      </c>
      <c r="R200" s="34">
        <f t="shared" si="32"/>
        <v>-1855.1975899406384</v>
      </c>
      <c r="S200" s="34" t="b">
        <f t="shared" si="27"/>
        <v>0</v>
      </c>
      <c r="T200" s="34" t="b">
        <f t="shared" si="28"/>
        <v>0</v>
      </c>
      <c r="U200" s="34" t="b">
        <f t="shared" si="29"/>
        <v>0</v>
      </c>
    </row>
    <row r="201" spans="1:21" x14ac:dyDescent="0.3">
      <c r="A201" s="1">
        <v>45889</v>
      </c>
      <c r="B201" s="3">
        <f>Data!B201</f>
        <v>290.826080322265</v>
      </c>
      <c r="C201" s="3">
        <f>Data!H201</f>
        <v>143.24790954589801</v>
      </c>
      <c r="D201" s="3">
        <f>Data!N201</f>
        <v>48.082553863525298</v>
      </c>
      <c r="F201" s="1">
        <v>45889</v>
      </c>
      <c r="G201" s="4">
        <f t="shared" si="30"/>
        <v>5.4359099016620949E-3</v>
      </c>
      <c r="H201" s="4">
        <f t="shared" si="25"/>
        <v>3.4694994661310652E-4</v>
      </c>
      <c r="I201" s="4">
        <f t="shared" si="26"/>
        <v>5.6156109628664463E-3</v>
      </c>
      <c r="P201" s="1">
        <v>45889</v>
      </c>
      <c r="Q201" s="4">
        <f t="shared" si="31"/>
        <v>3.4542362380038049E-3</v>
      </c>
      <c r="R201" s="34">
        <f t="shared" si="32"/>
        <v>3454.2362380038048</v>
      </c>
      <c r="S201" s="34" t="b">
        <f t="shared" si="27"/>
        <v>0</v>
      </c>
      <c r="T201" s="34" t="b">
        <f t="shared" si="28"/>
        <v>0</v>
      </c>
      <c r="U201" s="34" t="b">
        <f t="shared" si="29"/>
        <v>0</v>
      </c>
    </row>
    <row r="202" spans="1:21" x14ac:dyDescent="0.3">
      <c r="A202" s="1">
        <v>45890</v>
      </c>
      <c r="B202" s="3">
        <f>Data!B202</f>
        <v>290.059814453125</v>
      </c>
      <c r="C202" s="3">
        <f>Data!H202</f>
        <v>143.16839599609301</v>
      </c>
      <c r="D202" s="3">
        <f>Data!N202</f>
        <v>47.993049621582003</v>
      </c>
      <c r="F202" s="1">
        <v>45890</v>
      </c>
      <c r="G202" s="4">
        <f t="shared" si="30"/>
        <v>-2.6347907597932263E-3</v>
      </c>
      <c r="H202" s="4">
        <f t="shared" si="25"/>
        <v>-5.5507651076414088E-4</v>
      </c>
      <c r="I202" s="4">
        <f t="shared" si="26"/>
        <v>-1.8614702163561869E-3</v>
      </c>
      <c r="P202" s="1">
        <v>45890</v>
      </c>
      <c r="Q202" s="4">
        <f t="shared" si="31"/>
        <v>-1.5709088971504804E-3</v>
      </c>
      <c r="R202" s="34">
        <f t="shared" si="32"/>
        <v>-1570.9088971504805</v>
      </c>
      <c r="S202" s="34" t="b">
        <f t="shared" si="27"/>
        <v>0</v>
      </c>
      <c r="T202" s="34" t="b">
        <f t="shared" si="28"/>
        <v>0</v>
      </c>
      <c r="U202" s="34" t="b">
        <f t="shared" si="29"/>
        <v>0</v>
      </c>
    </row>
    <row r="203" spans="1:21" x14ac:dyDescent="0.3">
      <c r="A203" s="1">
        <v>45891</v>
      </c>
      <c r="B203" s="3">
        <f>Data!B203</f>
        <v>294.80670166015602</v>
      </c>
      <c r="C203" s="3">
        <f>Data!H203</f>
        <v>147.12432861328099</v>
      </c>
      <c r="D203" s="3">
        <f>Data!N203</f>
        <v>49.206302642822202</v>
      </c>
      <c r="F203" s="1">
        <v>45891</v>
      </c>
      <c r="G203" s="4">
        <f t="shared" si="30"/>
        <v>1.6365201143015096E-2</v>
      </c>
      <c r="H203" s="4">
        <f t="shared" si="25"/>
        <v>2.7631325961743336E-2</v>
      </c>
      <c r="I203" s="4">
        <f t="shared" si="26"/>
        <v>2.5279765107792063E-2</v>
      </c>
      <c r="P203" s="1">
        <v>45891</v>
      </c>
      <c r="Q203" s="4">
        <f t="shared" si="31"/>
        <v>2.3546020259939481E-2</v>
      </c>
      <c r="R203" s="34">
        <f t="shared" si="32"/>
        <v>23546.02025993948</v>
      </c>
      <c r="S203" s="34" t="b">
        <f t="shared" si="27"/>
        <v>0</v>
      </c>
      <c r="T203" s="34" t="b">
        <f t="shared" si="28"/>
        <v>0</v>
      </c>
      <c r="U203" s="34" t="b">
        <f t="shared" si="29"/>
        <v>0</v>
      </c>
    </row>
    <row r="204" spans="1:21" x14ac:dyDescent="0.3">
      <c r="A204" s="1">
        <v>45894</v>
      </c>
      <c r="B204" s="3">
        <f>Data!B204</f>
        <v>293.47320556640602</v>
      </c>
      <c r="C204" s="3">
        <f>Data!H204</f>
        <v>146.75656127929599</v>
      </c>
      <c r="D204" s="3">
        <f>Data!N204</f>
        <v>49.206302642822202</v>
      </c>
      <c r="F204" s="1">
        <v>45894</v>
      </c>
      <c r="G204" s="4">
        <f t="shared" si="30"/>
        <v>-4.523289620760429E-3</v>
      </c>
      <c r="H204" s="4">
        <f t="shared" si="25"/>
        <v>-2.4997044163354021E-3</v>
      </c>
      <c r="I204" s="4">
        <f t="shared" si="26"/>
        <v>0</v>
      </c>
      <c r="P204" s="1">
        <v>45894</v>
      </c>
      <c r="Q204" s="4">
        <f t="shared" si="31"/>
        <v>-2.3568686527622893E-3</v>
      </c>
      <c r="R204" s="34">
        <f t="shared" si="32"/>
        <v>-2356.8686527622895</v>
      </c>
      <c r="S204" s="34" t="b">
        <f t="shared" si="27"/>
        <v>0</v>
      </c>
      <c r="T204" s="34" t="b">
        <f t="shared" si="28"/>
        <v>0</v>
      </c>
      <c r="U204" s="34" t="b">
        <f t="shared" si="29"/>
        <v>0</v>
      </c>
    </row>
    <row r="205" spans="1:21" x14ac:dyDescent="0.3">
      <c r="A205" s="1">
        <v>45895</v>
      </c>
      <c r="B205" s="3">
        <f>Data!B205</f>
        <v>297.12545776367102</v>
      </c>
      <c r="C205" s="3">
        <f>Data!H205</f>
        <v>148.06857299804599</v>
      </c>
      <c r="D205" s="3">
        <f>Data!N205</f>
        <v>49.9720458984375</v>
      </c>
      <c r="F205" s="1">
        <v>45895</v>
      </c>
      <c r="G205" s="4">
        <f t="shared" si="30"/>
        <v>1.2444925560465059E-2</v>
      </c>
      <c r="H205" s="4">
        <f t="shared" si="25"/>
        <v>8.9400549271052565E-3</v>
      </c>
      <c r="I205" s="4">
        <f t="shared" si="26"/>
        <v>1.5561893791810721E-2</v>
      </c>
      <c r="P205" s="1">
        <v>45895</v>
      </c>
      <c r="Q205" s="4">
        <f t="shared" si="31"/>
        <v>1.1978067776524836E-2</v>
      </c>
      <c r="R205" s="34">
        <f t="shared" si="32"/>
        <v>11978.067776524837</v>
      </c>
      <c r="S205" s="34" t="b">
        <f t="shared" si="27"/>
        <v>0</v>
      </c>
      <c r="T205" s="34" t="b">
        <f t="shared" si="28"/>
        <v>0</v>
      </c>
      <c r="U205" s="34" t="b">
        <f t="shared" si="29"/>
        <v>0</v>
      </c>
    </row>
    <row r="206" spans="1:21" x14ac:dyDescent="0.3">
      <c r="A206" s="1">
        <v>45896</v>
      </c>
      <c r="B206" s="3">
        <f>Data!B206</f>
        <v>297.83200073242102</v>
      </c>
      <c r="C206" s="3">
        <f>Data!H206</f>
        <v>148.47608947753901</v>
      </c>
      <c r="D206" s="3">
        <f>Data!N206</f>
        <v>50.101325988769503</v>
      </c>
      <c r="F206" s="1">
        <v>45896</v>
      </c>
      <c r="G206" s="4">
        <f t="shared" si="30"/>
        <v>2.3779280781519585E-3</v>
      </c>
      <c r="H206" s="4">
        <f t="shared" si="25"/>
        <v>2.7522145398024556E-3</v>
      </c>
      <c r="I206" s="4">
        <f t="shared" si="26"/>
        <v>2.5870481787908517E-3</v>
      </c>
      <c r="P206" s="1">
        <v>45896</v>
      </c>
      <c r="Q206" s="4">
        <f t="shared" si="31"/>
        <v>2.5903786930038253E-3</v>
      </c>
      <c r="R206" s="34">
        <f t="shared" si="32"/>
        <v>2590.3786930038254</v>
      </c>
      <c r="S206" s="34" t="b">
        <f t="shared" si="27"/>
        <v>0</v>
      </c>
      <c r="T206" s="34" t="b">
        <f t="shared" si="28"/>
        <v>0</v>
      </c>
      <c r="U206" s="34" t="b">
        <f t="shared" si="29"/>
        <v>0</v>
      </c>
    </row>
    <row r="207" spans="1:21" x14ac:dyDescent="0.3">
      <c r="A207" s="1">
        <v>45897</v>
      </c>
      <c r="B207" s="3">
        <f>Data!B207</f>
        <v>299.61337280273398</v>
      </c>
      <c r="C207" s="3">
        <f>Data!H207</f>
        <v>149.271240234375</v>
      </c>
      <c r="D207" s="3">
        <f>Data!N207</f>
        <v>50.210720062255803</v>
      </c>
      <c r="F207" s="1">
        <v>45897</v>
      </c>
      <c r="G207" s="4">
        <f t="shared" si="30"/>
        <v>5.981130523020628E-3</v>
      </c>
      <c r="H207" s="4">
        <f t="shared" si="25"/>
        <v>5.355412845489127E-3</v>
      </c>
      <c r="I207" s="4">
        <f t="shared" si="26"/>
        <v>2.1834566516427678E-3</v>
      </c>
      <c r="P207" s="1">
        <v>45897</v>
      </c>
      <c r="Q207" s="4">
        <f t="shared" si="31"/>
        <v>4.5915412905946692E-3</v>
      </c>
      <c r="R207" s="34">
        <f t="shared" si="32"/>
        <v>4591.5412905946696</v>
      </c>
      <c r="S207" s="34" t="b">
        <f t="shared" si="27"/>
        <v>0</v>
      </c>
      <c r="T207" s="34" t="b">
        <f t="shared" si="28"/>
        <v>0</v>
      </c>
      <c r="U207" s="34" t="b">
        <f t="shared" si="29"/>
        <v>0</v>
      </c>
    </row>
    <row r="208" spans="1:21" x14ac:dyDescent="0.3">
      <c r="A208" s="1">
        <v>45898</v>
      </c>
      <c r="B208" s="3">
        <f>Data!B208</f>
        <v>299.961669921875</v>
      </c>
      <c r="C208" s="3">
        <f>Data!H208</f>
        <v>149.56942749023401</v>
      </c>
      <c r="D208" s="3">
        <f>Data!N208</f>
        <v>50.459335327148402</v>
      </c>
      <c r="F208" s="1">
        <v>45898</v>
      </c>
      <c r="G208" s="4">
        <f t="shared" si="30"/>
        <v>1.1624885627863346E-3</v>
      </c>
      <c r="H208" s="4">
        <f t="shared" si="25"/>
        <v>1.9976202742792992E-3</v>
      </c>
      <c r="I208" s="4">
        <f t="shared" si="26"/>
        <v>4.9514379515838147E-3</v>
      </c>
      <c r="P208" s="1">
        <v>45898</v>
      </c>
      <c r="Q208" s="4">
        <f t="shared" si="31"/>
        <v>2.6332260640227643E-3</v>
      </c>
      <c r="R208" s="34">
        <f t="shared" si="32"/>
        <v>2633.2260640227641</v>
      </c>
      <c r="S208" s="34" t="b">
        <f t="shared" si="27"/>
        <v>0</v>
      </c>
      <c r="T208" s="34" t="b">
        <f t="shared" si="28"/>
        <v>0</v>
      </c>
      <c r="U208" s="34" t="b">
        <f t="shared" si="29"/>
        <v>0</v>
      </c>
    </row>
    <row r="209" spans="1:21" x14ac:dyDescent="0.3">
      <c r="A209" s="1">
        <v>45902</v>
      </c>
      <c r="B209" s="3">
        <f>Data!B209</f>
        <v>298.25</v>
      </c>
      <c r="C209" s="3">
        <f>Data!H209</f>
        <v>147.94931030273401</v>
      </c>
      <c r="D209" s="3">
        <f>Data!N209</f>
        <v>50.141101837158203</v>
      </c>
      <c r="F209" s="1">
        <v>45902</v>
      </c>
      <c r="G209" s="4">
        <f t="shared" si="30"/>
        <v>-5.7062954820887857E-3</v>
      </c>
      <c r="H209" s="4">
        <f t="shared" si="25"/>
        <v>-1.0831873964388783E-2</v>
      </c>
      <c r="I209" s="4">
        <f t="shared" si="26"/>
        <v>-6.3067317063723038E-3</v>
      </c>
      <c r="P209" s="1">
        <v>45902</v>
      </c>
      <c r="Q209" s="4">
        <f t="shared" si="31"/>
        <v>-7.9366577422938407E-3</v>
      </c>
      <c r="R209" s="34">
        <f t="shared" si="32"/>
        <v>-7936.6577422938408</v>
      </c>
      <c r="S209" s="34" t="b">
        <f t="shared" si="27"/>
        <v>0</v>
      </c>
      <c r="T209" s="34" t="b">
        <f t="shared" si="28"/>
        <v>0</v>
      </c>
      <c r="U209" s="34" t="b">
        <f t="shared" si="29"/>
        <v>0</v>
      </c>
    </row>
    <row r="210" spans="1:21" x14ac:dyDescent="0.3">
      <c r="A210" s="1">
        <v>45903</v>
      </c>
      <c r="B210" s="3">
        <f>Data!B210</f>
        <v>298.06091308593699</v>
      </c>
      <c r="C210" s="3">
        <f>Data!H210</f>
        <v>147.63124084472599</v>
      </c>
      <c r="D210" s="3">
        <f>Data!N210</f>
        <v>49.783096313476499</v>
      </c>
      <c r="F210" s="1">
        <v>45903</v>
      </c>
      <c r="G210" s="4">
        <f t="shared" si="30"/>
        <v>-6.3398797674107943E-4</v>
      </c>
      <c r="H210" s="4">
        <f t="shared" si="25"/>
        <v>-2.1498542802070864E-3</v>
      </c>
      <c r="I210" s="4">
        <f t="shared" si="26"/>
        <v>-7.1399612406681801E-3</v>
      </c>
      <c r="P210" s="1">
        <v>45903</v>
      </c>
      <c r="Q210" s="4">
        <f t="shared" si="31"/>
        <v>-3.1921264773056126E-3</v>
      </c>
      <c r="R210" s="34">
        <f t="shared" si="32"/>
        <v>-3192.1264773056128</v>
      </c>
      <c r="S210" s="34" t="b">
        <f t="shared" si="27"/>
        <v>0</v>
      </c>
      <c r="T210" s="34" t="b">
        <f t="shared" si="28"/>
        <v>0</v>
      </c>
      <c r="U210" s="34" t="b">
        <f t="shared" si="29"/>
        <v>0</v>
      </c>
    </row>
    <row r="211" spans="1:21" x14ac:dyDescent="0.3">
      <c r="A211" s="1">
        <v>45904</v>
      </c>
      <c r="B211" s="3">
        <f>Data!B211</f>
        <v>302.35006713867102</v>
      </c>
      <c r="C211" s="3">
        <f>Data!H211</f>
        <v>149.61912536621</v>
      </c>
      <c r="D211" s="3">
        <f>Data!N211</f>
        <v>50.339996337890597</v>
      </c>
      <c r="F211" s="1">
        <v>45904</v>
      </c>
      <c r="G211" s="4">
        <f t="shared" si="30"/>
        <v>1.4390192958636527E-2</v>
      </c>
      <c r="H211" s="4">
        <f t="shared" si="25"/>
        <v>1.3465202284486555E-2</v>
      </c>
      <c r="I211" s="4">
        <f t="shared" si="26"/>
        <v>1.1186528473588364E-2</v>
      </c>
      <c r="P211" s="1">
        <v>45904</v>
      </c>
      <c r="Q211" s="4">
        <f t="shared" si="31"/>
        <v>1.3059097343462089E-2</v>
      </c>
      <c r="R211" s="34">
        <f t="shared" si="32"/>
        <v>13059.097343462088</v>
      </c>
      <c r="S211" s="34" t="b">
        <f t="shared" si="27"/>
        <v>0</v>
      </c>
      <c r="T211" s="34" t="b">
        <f t="shared" si="28"/>
        <v>0</v>
      </c>
      <c r="U211" s="34" t="b">
        <f t="shared" si="29"/>
        <v>0</v>
      </c>
    </row>
    <row r="212" spans="1:21" x14ac:dyDescent="0.3">
      <c r="A212" s="1">
        <v>45905</v>
      </c>
      <c r="B212" s="3">
        <f>Data!B212</f>
        <v>292.95571899414</v>
      </c>
      <c r="C212" s="3">
        <f>Data!H212</f>
        <v>147.19389343261699</v>
      </c>
      <c r="D212" s="3">
        <f>Data!N212</f>
        <v>49.770000457763601</v>
      </c>
      <c r="F212" s="1">
        <v>45905</v>
      </c>
      <c r="G212" s="4">
        <f t="shared" si="30"/>
        <v>-3.1071096604792126E-2</v>
      </c>
      <c r="H212" s="4">
        <f t="shared" ref="H212:H251" si="33">C212/C211-1</f>
        <v>-1.6209371145947893E-2</v>
      </c>
      <c r="I212" s="4">
        <f t="shared" ref="I212:I251" si="34">D212/D211-1</f>
        <v>-1.1322922558458015E-2</v>
      </c>
      <c r="P212" s="1">
        <v>45905</v>
      </c>
      <c r="Q212" s="4">
        <f t="shared" si="31"/>
        <v>-1.92019542073542E-2</v>
      </c>
      <c r="R212" s="34">
        <f t="shared" si="32"/>
        <v>-19201.9542073542</v>
      </c>
      <c r="S212" s="34" t="b">
        <f t="shared" si="27"/>
        <v>0</v>
      </c>
      <c r="T212" s="34" t="b">
        <f t="shared" si="28"/>
        <v>0</v>
      </c>
      <c r="U212" s="34" t="b">
        <f t="shared" si="29"/>
        <v>0</v>
      </c>
    </row>
    <row r="213" spans="1:21" x14ac:dyDescent="0.3">
      <c r="A213" s="1">
        <v>45908</v>
      </c>
      <c r="B213" s="3">
        <f>Data!B213</f>
        <v>291.49282836914</v>
      </c>
      <c r="C213" s="3">
        <f>Data!H213</f>
        <v>147.8896484375</v>
      </c>
      <c r="D213" s="3">
        <f>Data!N213</f>
        <v>49.459999084472599</v>
      </c>
      <c r="F213" s="1">
        <v>45908</v>
      </c>
      <c r="G213" s="4">
        <f t="shared" si="30"/>
        <v>-4.9935554425181161E-3</v>
      </c>
      <c r="H213" s="4">
        <f t="shared" si="33"/>
        <v>4.7267925907641395E-3</v>
      </c>
      <c r="I213" s="4">
        <f t="shared" si="34"/>
        <v>-6.2286793337299473E-3</v>
      </c>
      <c r="P213" s="1">
        <v>45908</v>
      </c>
      <c r="Q213" s="4">
        <f t="shared" si="31"/>
        <v>-1.475953396568763E-3</v>
      </c>
      <c r="R213" s="34">
        <f t="shared" si="32"/>
        <v>-1475.9533965687631</v>
      </c>
      <c r="S213" s="34" t="b">
        <f t="shared" si="27"/>
        <v>0</v>
      </c>
      <c r="T213" s="34" t="b">
        <f t="shared" si="28"/>
        <v>0</v>
      </c>
      <c r="U213" s="34" t="b">
        <f t="shared" si="29"/>
        <v>0</v>
      </c>
    </row>
    <row r="214" spans="1:21" x14ac:dyDescent="0.3">
      <c r="A214" s="1">
        <v>45909</v>
      </c>
      <c r="B214" s="3">
        <f>Data!B214</f>
        <v>296.408935546875</v>
      </c>
      <c r="C214" s="3">
        <f>Data!H214</f>
        <v>151.298904418945</v>
      </c>
      <c r="D214" s="3">
        <f>Data!N214</f>
        <v>50.290000915527301</v>
      </c>
      <c r="F214" s="1">
        <v>45909</v>
      </c>
      <c r="G214" s="4">
        <f t="shared" si="30"/>
        <v>1.686527660128001E-2</v>
      </c>
      <c r="H214" s="4">
        <f t="shared" si="33"/>
        <v>2.3052701912979368E-2</v>
      </c>
      <c r="I214" s="4">
        <f t="shared" si="34"/>
        <v>1.6781274695075288E-2</v>
      </c>
      <c r="P214" s="1">
        <v>45909</v>
      </c>
      <c r="Q214" s="4">
        <f t="shared" si="31"/>
        <v>1.9315046154098337E-2</v>
      </c>
      <c r="R214" s="34">
        <f t="shared" si="32"/>
        <v>19315.046154098338</v>
      </c>
      <c r="S214" s="34" t="b">
        <f t="shared" si="27"/>
        <v>0</v>
      </c>
      <c r="T214" s="34" t="b">
        <f t="shared" si="28"/>
        <v>0</v>
      </c>
      <c r="U214" s="34" t="b">
        <f t="shared" si="29"/>
        <v>0</v>
      </c>
    </row>
    <row r="215" spans="1:21" x14ac:dyDescent="0.3">
      <c r="A215" s="1">
        <v>45910</v>
      </c>
      <c r="B215" s="3">
        <f>Data!B215</f>
        <v>299.0859375</v>
      </c>
      <c r="C215" s="3">
        <f>Data!H215</f>
        <v>153.187408447265</v>
      </c>
      <c r="D215" s="3">
        <f>Data!N215</f>
        <v>50.130001068115199</v>
      </c>
      <c r="F215" s="1">
        <v>45910</v>
      </c>
      <c r="G215" s="4">
        <f t="shared" si="30"/>
        <v>9.0314482192850321E-3</v>
      </c>
      <c r="H215" s="4">
        <f t="shared" si="33"/>
        <v>1.2481941198270396E-2</v>
      </c>
      <c r="I215" s="4">
        <f t="shared" si="34"/>
        <v>-3.1815439351623453E-3</v>
      </c>
      <c r="P215" s="1">
        <v>45910</v>
      </c>
      <c r="Q215" s="4">
        <f t="shared" si="31"/>
        <v>6.7477477645449657E-3</v>
      </c>
      <c r="R215" s="34">
        <f t="shared" si="32"/>
        <v>6747.7477645449653</v>
      </c>
      <c r="S215" s="34" t="b">
        <f t="shared" si="27"/>
        <v>0</v>
      </c>
      <c r="T215" s="34" t="b">
        <f t="shared" si="28"/>
        <v>0</v>
      </c>
      <c r="U215" s="34" t="b">
        <f t="shared" si="29"/>
        <v>0</v>
      </c>
    </row>
    <row r="216" spans="1:21" x14ac:dyDescent="0.3">
      <c r="A216" s="1">
        <v>45911</v>
      </c>
      <c r="B216" s="3">
        <f>Data!B216</f>
        <v>304.08163452148398</v>
      </c>
      <c r="C216" s="3">
        <f>Data!H216</f>
        <v>155.53312683105401</v>
      </c>
      <c r="D216" s="3">
        <f>Data!N216</f>
        <v>50.75</v>
      </c>
      <c r="F216" s="1">
        <v>45911</v>
      </c>
      <c r="G216" s="4">
        <f t="shared" si="30"/>
        <v>1.6703216016246136E-2</v>
      </c>
      <c r="H216" s="4">
        <f t="shared" si="33"/>
        <v>1.5312736259237125E-2</v>
      </c>
      <c r="I216" s="4">
        <f t="shared" si="34"/>
        <v>1.2367822036196685E-2</v>
      </c>
      <c r="P216" s="1">
        <v>45911</v>
      </c>
      <c r="Q216" s="4">
        <f t="shared" si="31"/>
        <v>1.4846405919427697E-2</v>
      </c>
      <c r="R216" s="34">
        <f t="shared" si="32"/>
        <v>14846.405919427698</v>
      </c>
      <c r="S216" s="34" t="b">
        <f t="shared" si="27"/>
        <v>0</v>
      </c>
      <c r="T216" s="34" t="b">
        <f t="shared" si="28"/>
        <v>0</v>
      </c>
      <c r="U216" s="34" t="b">
        <f t="shared" si="29"/>
        <v>0</v>
      </c>
    </row>
    <row r="217" spans="1:21" x14ac:dyDescent="0.3">
      <c r="A217" s="1">
        <v>45912</v>
      </c>
      <c r="B217" s="3">
        <f>Data!B217</f>
        <v>305.42510986328102</v>
      </c>
      <c r="C217" s="3">
        <f>Data!H217</f>
        <v>155.44367980957</v>
      </c>
      <c r="D217" s="3">
        <f>Data!N217</f>
        <v>50.580001831054602</v>
      </c>
      <c r="F217" s="1">
        <v>45912</v>
      </c>
      <c r="G217" s="4">
        <f t="shared" si="30"/>
        <v>4.4181403586283086E-3</v>
      </c>
      <c r="H217" s="4">
        <f t="shared" si="33"/>
        <v>-5.75099487205466E-4</v>
      </c>
      <c r="I217" s="4">
        <f t="shared" si="34"/>
        <v>-3.3497176146876084E-3</v>
      </c>
      <c r="P217" s="1">
        <v>45912</v>
      </c>
      <c r="Q217" s="4">
        <f t="shared" si="31"/>
        <v>9.0487028300023772E-5</v>
      </c>
      <c r="R217" s="34">
        <f t="shared" si="32"/>
        <v>90.487028300023766</v>
      </c>
      <c r="S217" s="34" t="b">
        <f t="shared" si="27"/>
        <v>0</v>
      </c>
      <c r="T217" s="34" t="b">
        <f t="shared" si="28"/>
        <v>0</v>
      </c>
      <c r="U217" s="34" t="b">
        <f t="shared" si="29"/>
        <v>0</v>
      </c>
    </row>
    <row r="218" spans="1:21" x14ac:dyDescent="0.3">
      <c r="A218" s="1">
        <v>45915</v>
      </c>
      <c r="B218" s="3">
        <f>Data!B218</f>
        <v>307.40545654296801</v>
      </c>
      <c r="C218" s="3">
        <f>Data!H218</f>
        <v>155.69215393066401</v>
      </c>
      <c r="D218" s="3">
        <f>Data!N218</f>
        <v>50.590000152587798</v>
      </c>
      <c r="F218" s="1">
        <v>45915</v>
      </c>
      <c r="G218" s="4">
        <f t="shared" si="30"/>
        <v>6.4839026515319809E-3</v>
      </c>
      <c r="H218" s="4">
        <f t="shared" si="33"/>
        <v>1.5984832667266247E-3</v>
      </c>
      <c r="I218" s="4">
        <f t="shared" si="34"/>
        <v>1.9767341184739884E-4</v>
      </c>
      <c r="P218" s="1">
        <v>45915</v>
      </c>
      <c r="Q218" s="4">
        <f t="shared" si="31"/>
        <v>2.6438661257044637E-3</v>
      </c>
      <c r="R218" s="34">
        <f t="shared" si="32"/>
        <v>2643.8661257044637</v>
      </c>
      <c r="S218" s="34" t="b">
        <f t="shared" si="27"/>
        <v>0</v>
      </c>
      <c r="T218" s="34" t="b">
        <f t="shared" si="28"/>
        <v>0</v>
      </c>
      <c r="U218" s="34" t="b">
        <f t="shared" si="29"/>
        <v>0</v>
      </c>
    </row>
    <row r="219" spans="1:21" x14ac:dyDescent="0.3">
      <c r="A219" s="1">
        <v>45916</v>
      </c>
      <c r="B219" s="3">
        <f>Data!B219</f>
        <v>307.69406127929602</v>
      </c>
      <c r="C219" s="3">
        <f>Data!H219</f>
        <v>154.8671875</v>
      </c>
      <c r="D219" s="3">
        <f>Data!N219</f>
        <v>50.659999847412102</v>
      </c>
      <c r="F219" s="1">
        <v>45916</v>
      </c>
      <c r="G219" s="4">
        <f t="shared" si="30"/>
        <v>9.3884064249749599E-4</v>
      </c>
      <c r="H219" s="4">
        <f t="shared" si="33"/>
        <v>-5.2987026631502454E-3</v>
      </c>
      <c r="I219" s="4">
        <f t="shared" si="34"/>
        <v>1.3836666260758079E-3</v>
      </c>
      <c r="P219" s="1">
        <v>45916</v>
      </c>
      <c r="Q219" s="4">
        <f t="shared" si="31"/>
        <v>-1.4227288846881073E-3</v>
      </c>
      <c r="R219" s="34">
        <f t="shared" si="32"/>
        <v>-1422.7288846881074</v>
      </c>
      <c r="S219" s="34" t="b">
        <f t="shared" si="27"/>
        <v>0</v>
      </c>
      <c r="T219" s="34" t="b">
        <f t="shared" si="28"/>
        <v>0</v>
      </c>
      <c r="U219" s="34" t="b">
        <f t="shared" si="29"/>
        <v>0</v>
      </c>
    </row>
    <row r="220" spans="1:21" x14ac:dyDescent="0.3">
      <c r="A220" s="1">
        <v>45917</v>
      </c>
      <c r="B220" s="3">
        <f>Data!B220</f>
        <v>310.24166870117102</v>
      </c>
      <c r="C220" s="3">
        <f>Data!H220</f>
        <v>156.45750427246</v>
      </c>
      <c r="D220" s="3">
        <f>Data!N220</f>
        <v>51.400001525878899</v>
      </c>
      <c r="F220" s="1">
        <v>45917</v>
      </c>
      <c r="G220" s="4">
        <f t="shared" si="30"/>
        <v>8.2796769339090748E-3</v>
      </c>
      <c r="H220" s="4">
        <f t="shared" si="33"/>
        <v>1.0268907172218178E-2</v>
      </c>
      <c r="I220" s="4">
        <f t="shared" si="34"/>
        <v>1.4607218331932126E-2</v>
      </c>
      <c r="P220" s="1">
        <v>45917</v>
      </c>
      <c r="Q220" s="4">
        <f t="shared" si="31"/>
        <v>1.097363144863963E-2</v>
      </c>
      <c r="R220" s="34">
        <f t="shared" si="32"/>
        <v>10973.63144863963</v>
      </c>
      <c r="S220" s="34" t="b">
        <f t="shared" si="27"/>
        <v>0</v>
      </c>
      <c r="T220" s="34" t="b">
        <f t="shared" si="28"/>
        <v>0</v>
      </c>
      <c r="U220" s="34" t="b">
        <f t="shared" si="29"/>
        <v>0</v>
      </c>
    </row>
    <row r="221" spans="1:21" x14ac:dyDescent="0.3">
      <c r="A221" s="1">
        <v>45918</v>
      </c>
      <c r="B221" s="3">
        <f>Data!B221</f>
        <v>311.71453857421801</v>
      </c>
      <c r="C221" s="3">
        <f>Data!H221</f>
        <v>158.27642822265599</v>
      </c>
      <c r="D221" s="3">
        <f>Data!N221</f>
        <v>52.130001068115199</v>
      </c>
      <c r="F221" s="1">
        <v>45918</v>
      </c>
      <c r="G221" s="4">
        <f t="shared" si="30"/>
        <v>4.7474921057935049E-3</v>
      </c>
      <c r="H221" s="4">
        <f t="shared" si="33"/>
        <v>1.1625674068202363E-2</v>
      </c>
      <c r="I221" s="4">
        <f t="shared" si="34"/>
        <v>1.420232530282628E-2</v>
      </c>
      <c r="P221" s="1">
        <v>45918</v>
      </c>
      <c r="Q221" s="4">
        <f t="shared" si="31"/>
        <v>1.0335214849866881E-2</v>
      </c>
      <c r="R221" s="34">
        <f t="shared" si="32"/>
        <v>10335.214849866881</v>
      </c>
      <c r="S221" s="34" t="b">
        <f t="shared" si="27"/>
        <v>0</v>
      </c>
      <c r="T221" s="34" t="b">
        <f t="shared" si="28"/>
        <v>0</v>
      </c>
      <c r="U221" s="34" t="b">
        <f t="shared" si="29"/>
        <v>0</v>
      </c>
    </row>
    <row r="222" spans="1:21" x14ac:dyDescent="0.3">
      <c r="A222" s="1">
        <v>45919</v>
      </c>
      <c r="B222" s="3">
        <f>Data!B222</f>
        <v>313.25701904296801</v>
      </c>
      <c r="C222" s="3">
        <f>Data!H222</f>
        <v>158.9423828125</v>
      </c>
      <c r="D222" s="3">
        <f>Data!N222</f>
        <v>52.25</v>
      </c>
      <c r="F222" s="1">
        <v>45919</v>
      </c>
      <c r="G222" s="4">
        <f t="shared" si="30"/>
        <v>4.9483751248988739E-3</v>
      </c>
      <c r="H222" s="4">
        <f t="shared" si="33"/>
        <v>4.2075411817303898E-3</v>
      </c>
      <c r="I222" s="4">
        <f t="shared" si="34"/>
        <v>2.3019169274138829E-3</v>
      </c>
      <c r="P222" s="1">
        <v>45919</v>
      </c>
      <c r="Q222" s="4">
        <f t="shared" si="31"/>
        <v>3.8581040883859828E-3</v>
      </c>
      <c r="R222" s="34">
        <f t="shared" si="32"/>
        <v>3858.1040883859828</v>
      </c>
      <c r="S222" s="34" t="b">
        <f t="shared" si="27"/>
        <v>0</v>
      </c>
      <c r="T222" s="34" t="b">
        <f t="shared" si="28"/>
        <v>0</v>
      </c>
      <c r="U222" s="34" t="b">
        <f t="shared" si="29"/>
        <v>0</v>
      </c>
    </row>
    <row r="223" spans="1:21" x14ac:dyDescent="0.3">
      <c r="A223" s="1">
        <v>45922</v>
      </c>
      <c r="B223" s="3">
        <f>Data!B223</f>
        <v>310.92834472656199</v>
      </c>
      <c r="C223" s="3">
        <f>Data!H223</f>
        <v>159.737533569335</v>
      </c>
      <c r="D223" s="3">
        <f>Data!N223</f>
        <v>51.919998168945298</v>
      </c>
      <c r="F223" s="1">
        <v>45922</v>
      </c>
      <c r="G223" s="4">
        <f t="shared" si="30"/>
        <v>-7.4337498438833416E-3</v>
      </c>
      <c r="H223" s="4">
        <f t="shared" si="33"/>
        <v>5.0027610179534943E-3</v>
      </c>
      <c r="I223" s="4">
        <f t="shared" si="34"/>
        <v>-6.3158245177933336E-3</v>
      </c>
      <c r="P223" s="1">
        <v>45922</v>
      </c>
      <c r="Q223" s="4">
        <f t="shared" si="31"/>
        <v>-2.1237679013216045E-3</v>
      </c>
      <c r="R223" s="34">
        <f t="shared" si="32"/>
        <v>-2123.7679013216043</v>
      </c>
      <c r="S223" s="34" t="b">
        <f t="shared" si="27"/>
        <v>0</v>
      </c>
      <c r="T223" s="34" t="b">
        <f t="shared" si="28"/>
        <v>0</v>
      </c>
      <c r="U223" s="34" t="b">
        <f t="shared" si="29"/>
        <v>0</v>
      </c>
    </row>
    <row r="224" spans="1:21" x14ac:dyDescent="0.3">
      <c r="A224" s="1">
        <v>45923</v>
      </c>
      <c r="B224" s="3">
        <f>Data!B224</f>
        <v>311.22686767578102</v>
      </c>
      <c r="C224" s="3">
        <f>Data!H224</f>
        <v>159.78723144531199</v>
      </c>
      <c r="D224" s="3">
        <f>Data!N224</f>
        <v>51.700000762939403</v>
      </c>
      <c r="F224" s="1">
        <v>45923</v>
      </c>
      <c r="G224" s="4">
        <f t="shared" si="30"/>
        <v>9.6010207587071683E-4</v>
      </c>
      <c r="H224" s="4">
        <f t="shared" si="33"/>
        <v>3.1112209426598092E-4</v>
      </c>
      <c r="I224" s="4">
        <f t="shared" si="34"/>
        <v>-4.2372383236616296E-3</v>
      </c>
      <c r="P224" s="1">
        <v>45923</v>
      </c>
      <c r="Q224" s="4">
        <f t="shared" si="31"/>
        <v>-8.5869203663088147E-4</v>
      </c>
      <c r="R224" s="34">
        <f t="shared" si="32"/>
        <v>-858.69203663088149</v>
      </c>
      <c r="S224" s="34" t="b">
        <f t="shared" si="27"/>
        <v>0</v>
      </c>
      <c r="T224" s="34" t="b">
        <f t="shared" si="28"/>
        <v>0</v>
      </c>
      <c r="U224" s="34" t="b">
        <f t="shared" si="29"/>
        <v>0</v>
      </c>
    </row>
    <row r="225" spans="1:21" x14ac:dyDescent="0.3">
      <c r="A225" s="1">
        <v>45924</v>
      </c>
      <c r="B225" s="3">
        <f>Data!B225</f>
        <v>311.90362548828102</v>
      </c>
      <c r="C225" s="3">
        <f>Data!H225</f>
        <v>156.92466735839801</v>
      </c>
      <c r="D225" s="3">
        <f>Data!N225</f>
        <v>51.700000762939403</v>
      </c>
      <c r="F225" s="1">
        <v>45924</v>
      </c>
      <c r="G225" s="4">
        <f t="shared" si="30"/>
        <v>2.1744838983663861E-3</v>
      </c>
      <c r="H225" s="4">
        <f t="shared" si="33"/>
        <v>-1.7914848771215519E-2</v>
      </c>
      <c r="I225" s="4">
        <f t="shared" si="34"/>
        <v>0</v>
      </c>
      <c r="P225" s="1">
        <v>45924</v>
      </c>
      <c r="Q225" s="4">
        <f t="shared" si="31"/>
        <v>-6.5135943389762916E-3</v>
      </c>
      <c r="R225" s="34">
        <f t="shared" si="32"/>
        <v>-6513.5943389762915</v>
      </c>
      <c r="S225" s="34" t="b">
        <f t="shared" si="27"/>
        <v>0</v>
      </c>
      <c r="T225" s="34" t="b">
        <f t="shared" si="28"/>
        <v>0</v>
      </c>
      <c r="U225" s="34" t="b">
        <f t="shared" si="29"/>
        <v>0</v>
      </c>
    </row>
    <row r="226" spans="1:21" x14ac:dyDescent="0.3">
      <c r="A226" s="1">
        <v>45925</v>
      </c>
      <c r="B226" s="3">
        <f>Data!B226</f>
        <v>311.93347167968699</v>
      </c>
      <c r="C226" s="3">
        <f>Data!H226</f>
        <v>157.98817443847599</v>
      </c>
      <c r="D226" s="3">
        <f>Data!N226</f>
        <v>51.849998474121001</v>
      </c>
      <c r="F226" s="1">
        <v>45925</v>
      </c>
      <c r="G226" s="4">
        <f t="shared" si="30"/>
        <v>9.5690427962313862E-5</v>
      </c>
      <c r="H226" s="4">
        <f t="shared" si="33"/>
        <v>6.7771823128932596E-3</v>
      </c>
      <c r="I226" s="4">
        <f t="shared" si="34"/>
        <v>2.9013096512200409E-3</v>
      </c>
      <c r="P226" s="1">
        <v>45925</v>
      </c>
      <c r="Q226" s="4">
        <f t="shared" si="31"/>
        <v>3.6099729489120101E-3</v>
      </c>
      <c r="R226" s="34">
        <f t="shared" si="32"/>
        <v>3609.97294891201</v>
      </c>
      <c r="S226" s="34" t="b">
        <f t="shared" si="27"/>
        <v>0</v>
      </c>
      <c r="T226" s="34" t="b">
        <f t="shared" si="28"/>
        <v>0</v>
      </c>
      <c r="U226" s="34" t="b">
        <f t="shared" si="29"/>
        <v>0</v>
      </c>
    </row>
    <row r="227" spans="1:21" x14ac:dyDescent="0.3">
      <c r="A227" s="1">
        <v>45926</v>
      </c>
      <c r="B227" s="3">
        <f>Data!B227</f>
        <v>314.53082275390602</v>
      </c>
      <c r="C227" s="3">
        <f>Data!H227</f>
        <v>159.14115905761699</v>
      </c>
      <c r="D227" s="3">
        <f>Data!N227</f>
        <v>52.209999084472599</v>
      </c>
      <c r="F227" s="1">
        <v>45926</v>
      </c>
      <c r="G227" s="4">
        <f t="shared" si="30"/>
        <v>8.3266186864554559E-3</v>
      </c>
      <c r="H227" s="4">
        <f t="shared" si="33"/>
        <v>7.2979172222158439E-3</v>
      </c>
      <c r="I227" s="4">
        <f t="shared" si="34"/>
        <v>6.9431170867106928E-3</v>
      </c>
      <c r="P227" s="1">
        <v>45926</v>
      </c>
      <c r="Q227" s="4">
        <f t="shared" si="31"/>
        <v>7.5000876208361818E-3</v>
      </c>
      <c r="R227" s="34">
        <f t="shared" si="32"/>
        <v>7500.0876208361815</v>
      </c>
      <c r="S227" s="34" t="b">
        <f t="shared" si="27"/>
        <v>0</v>
      </c>
      <c r="T227" s="34" t="b">
        <f t="shared" si="28"/>
        <v>0</v>
      </c>
      <c r="U227" s="34" t="b">
        <f t="shared" si="29"/>
        <v>0</v>
      </c>
    </row>
    <row r="228" spans="1:21" x14ac:dyDescent="0.3">
      <c r="A228" s="1">
        <v>45929</v>
      </c>
      <c r="B228" s="3">
        <f>Data!B228</f>
        <v>314.16262817382801</v>
      </c>
      <c r="C228" s="3">
        <f>Data!H228</f>
        <v>160.184814453125</v>
      </c>
      <c r="D228" s="3">
        <f>Data!N228</f>
        <v>52.419998168945298</v>
      </c>
      <c r="F228" s="1">
        <v>45929</v>
      </c>
      <c r="G228" s="4">
        <f t="shared" si="30"/>
        <v>-1.1706152575262641E-3</v>
      </c>
      <c r="H228" s="4">
        <f t="shared" si="33"/>
        <v>6.5580482239051552E-3</v>
      </c>
      <c r="I228" s="4">
        <f t="shared" si="34"/>
        <v>4.0222005009602491E-3</v>
      </c>
      <c r="P228" s="1">
        <v>45929</v>
      </c>
      <c r="Q228" s="4">
        <f t="shared" si="31"/>
        <v>3.4786948625922581E-3</v>
      </c>
      <c r="R228" s="34">
        <f t="shared" si="32"/>
        <v>3478.6948625922582</v>
      </c>
      <c r="S228" s="34" t="b">
        <f t="shared" si="27"/>
        <v>0</v>
      </c>
      <c r="T228" s="34" t="b">
        <f t="shared" si="28"/>
        <v>0</v>
      </c>
      <c r="U228" s="34" t="b">
        <f t="shared" si="29"/>
        <v>0</v>
      </c>
    </row>
    <row r="229" spans="1:21" x14ac:dyDescent="0.3">
      <c r="A229" s="1">
        <v>45930</v>
      </c>
      <c r="B229" s="3">
        <f>Data!B229</f>
        <v>313.90386962890602</v>
      </c>
      <c r="C229" s="3">
        <f>Data!H229</f>
        <v>157.998123168945</v>
      </c>
      <c r="D229" s="3">
        <f>Data!N229</f>
        <v>51.590000152587798</v>
      </c>
      <c r="F229" s="1">
        <v>45930</v>
      </c>
      <c r="G229" s="4">
        <f t="shared" si="30"/>
        <v>-8.2364521339184371E-4</v>
      </c>
      <c r="H229" s="4">
        <f t="shared" si="33"/>
        <v>-1.3651052327559365E-2</v>
      </c>
      <c r="I229" s="4">
        <f t="shared" si="34"/>
        <v>-1.5833613989883921E-2</v>
      </c>
      <c r="P229" s="1">
        <v>45930</v>
      </c>
      <c r="Q229" s="4">
        <f t="shared" si="31"/>
        <v>-1.0457598692006475E-2</v>
      </c>
      <c r="R229" s="34">
        <f t="shared" si="32"/>
        <v>-10457.598692006475</v>
      </c>
      <c r="S229" s="34" t="b">
        <f t="shared" si="27"/>
        <v>0</v>
      </c>
      <c r="T229" s="34" t="b">
        <f t="shared" si="28"/>
        <v>0</v>
      </c>
      <c r="U229" s="34" t="b">
        <f t="shared" si="29"/>
        <v>0</v>
      </c>
    </row>
    <row r="230" spans="1:21" x14ac:dyDescent="0.3">
      <c r="A230" s="1">
        <v>45931</v>
      </c>
      <c r="B230" s="3">
        <f>Data!B230</f>
        <v>309.20669555664</v>
      </c>
      <c r="C230" s="3">
        <f>Data!H230</f>
        <v>155.94064331054599</v>
      </c>
      <c r="D230" s="3">
        <f>Data!N230</f>
        <v>50.680000305175703</v>
      </c>
      <c r="F230" s="1">
        <v>45931</v>
      </c>
      <c r="G230" s="4">
        <f t="shared" si="30"/>
        <v>-1.496373420888053E-2</v>
      </c>
      <c r="H230" s="4">
        <f t="shared" si="33"/>
        <v>-1.3022179106513598E-2</v>
      </c>
      <c r="I230" s="4">
        <f t="shared" si="34"/>
        <v>-1.763907433069567E-2</v>
      </c>
      <c r="P230" s="1">
        <v>45931</v>
      </c>
      <c r="Q230" s="4">
        <f t="shared" si="31"/>
        <v>-1.49897142044783E-2</v>
      </c>
      <c r="R230" s="34">
        <f t="shared" si="32"/>
        <v>-14989.7142044783</v>
      </c>
      <c r="S230" s="34" t="b">
        <f t="shared" si="27"/>
        <v>0</v>
      </c>
      <c r="T230" s="34" t="b">
        <f t="shared" si="28"/>
        <v>0</v>
      </c>
      <c r="U230" s="34" t="b">
        <f t="shared" si="29"/>
        <v>0</v>
      </c>
    </row>
    <row r="231" spans="1:21" x14ac:dyDescent="0.3">
      <c r="A231" s="1">
        <v>45932</v>
      </c>
      <c r="B231" s="3">
        <f>Data!B231</f>
        <v>306.06198120117102</v>
      </c>
      <c r="C231" s="3">
        <f>Data!H231</f>
        <v>154.36027526855401</v>
      </c>
      <c r="D231" s="3">
        <f>Data!N231</f>
        <v>50.4799995422363</v>
      </c>
      <c r="F231" s="1">
        <v>45932</v>
      </c>
      <c r="G231" s="4">
        <f t="shared" si="30"/>
        <v>-1.0170266040998244E-2</v>
      </c>
      <c r="H231" s="4">
        <f t="shared" si="33"/>
        <v>-1.0134420433579927E-2</v>
      </c>
      <c r="I231" s="4">
        <f t="shared" si="34"/>
        <v>-3.9463449434703479E-3</v>
      </c>
      <c r="P231" s="1">
        <v>45932</v>
      </c>
      <c r="Q231" s="4">
        <f t="shared" si="31"/>
        <v>-8.2887514687725473E-3</v>
      </c>
      <c r="R231" s="34">
        <f t="shared" si="32"/>
        <v>-8288.751468772547</v>
      </c>
      <c r="S231" s="34" t="b">
        <f t="shared" si="27"/>
        <v>0</v>
      </c>
      <c r="T231" s="34" t="b">
        <f t="shared" si="28"/>
        <v>0</v>
      </c>
      <c r="U231" s="34" t="b">
        <f t="shared" si="29"/>
        <v>0</v>
      </c>
    </row>
    <row r="232" spans="1:21" x14ac:dyDescent="0.3">
      <c r="A232" s="1">
        <v>45933</v>
      </c>
      <c r="B232" s="3">
        <f>Data!B232</f>
        <v>308.52999877929602</v>
      </c>
      <c r="C232" s="3">
        <f>Data!H232</f>
        <v>156.63641357421801</v>
      </c>
      <c r="D232" s="3">
        <f>Data!N232</f>
        <v>50.639999389648402</v>
      </c>
      <c r="F232" s="1">
        <v>45933</v>
      </c>
      <c r="G232" s="4">
        <f t="shared" si="30"/>
        <v>8.0637835788652801E-3</v>
      </c>
      <c r="H232" s="4">
        <f t="shared" si="33"/>
        <v>1.4745622225044608E-2</v>
      </c>
      <c r="I232" s="4">
        <f t="shared" si="34"/>
        <v>3.1695691137680893E-3</v>
      </c>
      <c r="P232" s="1">
        <v>45933</v>
      </c>
      <c r="Q232" s="4">
        <f t="shared" si="31"/>
        <v>9.2682546978078532E-3</v>
      </c>
      <c r="R232" s="34">
        <f t="shared" si="32"/>
        <v>9268.2546978078535</v>
      </c>
      <c r="S232" s="34" t="b">
        <f t="shared" si="27"/>
        <v>0</v>
      </c>
      <c r="T232" s="34" t="b">
        <f t="shared" si="28"/>
        <v>0</v>
      </c>
      <c r="U232" s="34" t="b">
        <f t="shared" si="29"/>
        <v>0</v>
      </c>
    </row>
    <row r="233" spans="1:21" x14ac:dyDescent="0.3">
      <c r="A233" s="1">
        <v>45936</v>
      </c>
      <c r="B233" s="3">
        <f>Data!B233</f>
        <v>309.17999267578102</v>
      </c>
      <c r="C233" s="3">
        <f>Data!H233</f>
        <v>157.133377075195</v>
      </c>
      <c r="D233" s="3">
        <f>Data!N233</f>
        <v>50.389999389648402</v>
      </c>
      <c r="F233" s="1">
        <v>45936</v>
      </c>
      <c r="G233" s="4">
        <f t="shared" si="30"/>
        <v>2.106744559870144E-3</v>
      </c>
      <c r="H233" s="4">
        <f t="shared" si="33"/>
        <v>3.1727201206730449E-3</v>
      </c>
      <c r="I233" s="4">
        <f t="shared" si="34"/>
        <v>-4.9368089062635789E-3</v>
      </c>
      <c r="P233" s="1">
        <v>45936</v>
      </c>
      <c r="Q233" s="4">
        <f t="shared" si="31"/>
        <v>4.2006874435118768E-4</v>
      </c>
      <c r="R233" s="34">
        <f t="shared" si="32"/>
        <v>420.06874435118766</v>
      </c>
      <c r="S233" s="34" t="b">
        <f t="shared" si="27"/>
        <v>0</v>
      </c>
      <c r="T233" s="34" t="b">
        <f t="shared" si="28"/>
        <v>0</v>
      </c>
      <c r="U233" s="34" t="b">
        <f t="shared" si="29"/>
        <v>0</v>
      </c>
    </row>
    <row r="234" spans="1:21" x14ac:dyDescent="0.3">
      <c r="A234" s="1">
        <v>45937</v>
      </c>
      <c r="B234" s="3">
        <f>Data!B234</f>
        <v>307.69000244140602</v>
      </c>
      <c r="C234" s="3">
        <f>Data!H234</f>
        <v>155.02621459960901</v>
      </c>
      <c r="D234" s="3">
        <f>Data!N234</f>
        <v>50.290000915527301</v>
      </c>
      <c r="F234" s="1">
        <v>45937</v>
      </c>
      <c r="G234" s="4">
        <f t="shared" si="30"/>
        <v>-4.8191677006004241E-3</v>
      </c>
      <c r="H234" s="4">
        <f t="shared" si="33"/>
        <v>-1.3410024749723415E-2</v>
      </c>
      <c r="I234" s="4">
        <f t="shared" si="34"/>
        <v>-1.9844904808957731E-3</v>
      </c>
      <c r="P234" s="1">
        <v>45937</v>
      </c>
      <c r="Q234" s="4">
        <f t="shared" si="31"/>
        <v>-7.4051073543382256E-3</v>
      </c>
      <c r="R234" s="34">
        <f t="shared" si="32"/>
        <v>-7405.1073543382254</v>
      </c>
      <c r="S234" s="34" t="b">
        <f t="shared" si="27"/>
        <v>0</v>
      </c>
      <c r="T234" s="34" t="b">
        <f t="shared" si="28"/>
        <v>0</v>
      </c>
      <c r="U234" s="34" t="b">
        <f t="shared" si="29"/>
        <v>0</v>
      </c>
    </row>
    <row r="235" spans="1:21" x14ac:dyDescent="0.3">
      <c r="A235" s="1">
        <v>45938</v>
      </c>
      <c r="B235" s="3">
        <f>Data!B235</f>
        <v>304.02999877929602</v>
      </c>
      <c r="C235" s="3">
        <f>Data!H235</f>
        <v>154.70814514160099</v>
      </c>
      <c r="D235" s="3">
        <f>Data!N235</f>
        <v>49.840000152587798</v>
      </c>
      <c r="F235" s="1">
        <v>45938</v>
      </c>
      <c r="G235" s="4">
        <f t="shared" si="30"/>
        <v>-1.1895101020732657E-2</v>
      </c>
      <c r="H235" s="4">
        <f t="shared" si="33"/>
        <v>-2.0517140202996886E-3</v>
      </c>
      <c r="I235" s="4">
        <f t="shared" si="34"/>
        <v>-8.9481160220175049E-3</v>
      </c>
      <c r="P235" s="1">
        <v>45938</v>
      </c>
      <c r="Q235" s="4">
        <f t="shared" si="31"/>
        <v>-7.0736507209449226E-3</v>
      </c>
      <c r="R235" s="34">
        <f t="shared" si="32"/>
        <v>-7073.6507209449228</v>
      </c>
      <c r="S235" s="34" t="b">
        <f t="shared" si="27"/>
        <v>0</v>
      </c>
      <c r="T235" s="34" t="b">
        <f t="shared" si="28"/>
        <v>0</v>
      </c>
      <c r="U235" s="34" t="b">
        <f t="shared" si="29"/>
        <v>0</v>
      </c>
    </row>
    <row r="236" spans="1:21" x14ac:dyDescent="0.3">
      <c r="A236" s="1">
        <v>45939</v>
      </c>
      <c r="B236" s="3">
        <f>Data!B236</f>
        <v>305.52999877929602</v>
      </c>
      <c r="C236" s="3">
        <f>Data!H236</f>
        <v>155.32440185546801</v>
      </c>
      <c r="D236" s="3">
        <f>Data!N236</f>
        <v>49.790000915527301</v>
      </c>
      <c r="F236" s="1">
        <v>45939</v>
      </c>
      <c r="G236" s="4">
        <f t="shared" si="30"/>
        <v>4.9337236655020433E-3</v>
      </c>
      <c r="H236" s="4">
        <f t="shared" si="33"/>
        <v>3.9833501545958327E-3</v>
      </c>
      <c r="I236" s="4">
        <f t="shared" si="34"/>
        <v>-1.0031949620269431E-3</v>
      </c>
      <c r="P236" s="1">
        <v>45939</v>
      </c>
      <c r="Q236" s="4">
        <f t="shared" si="31"/>
        <v>2.7724986728808634E-3</v>
      </c>
      <c r="R236" s="34">
        <f t="shared" si="32"/>
        <v>2772.4986728808635</v>
      </c>
      <c r="S236" s="34" t="b">
        <f t="shared" si="27"/>
        <v>0</v>
      </c>
      <c r="T236" s="34" t="b">
        <f t="shared" si="28"/>
        <v>0</v>
      </c>
      <c r="U236" s="34" t="b">
        <f t="shared" si="29"/>
        <v>0</v>
      </c>
    </row>
    <row r="237" spans="1:21" x14ac:dyDescent="0.3">
      <c r="A237" s="1">
        <v>45940</v>
      </c>
      <c r="B237" s="3">
        <f>Data!B237</f>
        <v>300.89001464843699</v>
      </c>
      <c r="C237" s="3">
        <f>Data!H237</f>
        <v>150.94108581542901</v>
      </c>
      <c r="D237" s="3">
        <f>Data!N237</f>
        <v>48.650001525878899</v>
      </c>
      <c r="F237" s="1">
        <v>45940</v>
      </c>
      <c r="G237" s="4">
        <f t="shared" si="30"/>
        <v>-1.5186672828846448E-2</v>
      </c>
      <c r="H237" s="4">
        <f t="shared" si="33"/>
        <v>-2.8220395428387057E-2</v>
      </c>
      <c r="I237" s="4">
        <f t="shared" si="34"/>
        <v>-2.289615120880395E-2</v>
      </c>
      <c r="P237" s="1">
        <v>45940</v>
      </c>
      <c r="Q237" s="4">
        <f t="shared" si="31"/>
        <v>-2.2713005382649941E-2</v>
      </c>
      <c r="R237" s="34">
        <f t="shared" si="32"/>
        <v>-22713.005382649942</v>
      </c>
      <c r="S237" s="34" t="b">
        <f t="shared" si="27"/>
        <v>0</v>
      </c>
      <c r="T237" s="34" t="b">
        <f t="shared" si="28"/>
        <v>0</v>
      </c>
      <c r="U237" s="34" t="b">
        <f t="shared" si="29"/>
        <v>0</v>
      </c>
    </row>
    <row r="238" spans="1:21" x14ac:dyDescent="0.3">
      <c r="A238" s="1">
        <v>45943</v>
      </c>
      <c r="B238" s="3">
        <f>Data!B238</f>
        <v>307.97000122070301</v>
      </c>
      <c r="C238" s="3">
        <f>Data!H238</f>
        <v>154.19129943847599</v>
      </c>
      <c r="D238" s="3">
        <f>Data!N238</f>
        <v>48.860000610351499</v>
      </c>
      <c r="F238" s="1">
        <v>45943</v>
      </c>
      <c r="G238" s="4">
        <f t="shared" si="30"/>
        <v>2.3530147986261296E-2</v>
      </c>
      <c r="H238" s="4">
        <f t="shared" si="33"/>
        <v>2.1532994846885867E-2</v>
      </c>
      <c r="I238" s="4">
        <f t="shared" si="34"/>
        <v>4.3165278085528502E-3</v>
      </c>
      <c r="P238" s="1">
        <v>45943</v>
      </c>
      <c r="Q238" s="4">
        <f t="shared" si="31"/>
        <v>1.6967200677198591E-2</v>
      </c>
      <c r="R238" s="34">
        <f t="shared" si="32"/>
        <v>16967.200677198591</v>
      </c>
      <c r="S238" s="34" t="b">
        <f t="shared" si="27"/>
        <v>0</v>
      </c>
      <c r="T238" s="34" t="b">
        <f t="shared" si="28"/>
        <v>0</v>
      </c>
      <c r="U238" s="34" t="b">
        <f t="shared" si="29"/>
        <v>0</v>
      </c>
    </row>
    <row r="239" spans="1:21" x14ac:dyDescent="0.3">
      <c r="A239" s="1">
        <v>45944</v>
      </c>
      <c r="B239" s="3">
        <f>Data!B239</f>
        <v>302.079986572265</v>
      </c>
      <c r="C239" s="3">
        <f>Data!H239</f>
        <v>154.40002441406199</v>
      </c>
      <c r="D239" s="3">
        <f>Data!N239</f>
        <v>50.090000152587798</v>
      </c>
      <c r="F239" s="1">
        <v>45944</v>
      </c>
      <c r="G239" s="4">
        <f t="shared" si="30"/>
        <v>-1.9125286960066656E-2</v>
      </c>
      <c r="H239" s="4">
        <f t="shared" si="33"/>
        <v>1.3536754430769626E-3</v>
      </c>
      <c r="I239" s="4">
        <f t="shared" si="34"/>
        <v>2.5173956751357807E-2</v>
      </c>
      <c r="P239" s="1">
        <v>45944</v>
      </c>
      <c r="Q239" s="4">
        <f t="shared" si="31"/>
        <v>2.3560711146181296E-3</v>
      </c>
      <c r="R239" s="34">
        <f t="shared" si="32"/>
        <v>2356.0711146181297</v>
      </c>
      <c r="S239" s="34" t="b">
        <f t="shared" si="27"/>
        <v>0</v>
      </c>
      <c r="T239" s="34" t="b">
        <f t="shared" si="28"/>
        <v>0</v>
      </c>
      <c r="U239" s="34" t="b">
        <f t="shared" si="29"/>
        <v>0</v>
      </c>
    </row>
    <row r="240" spans="1:21" x14ac:dyDescent="0.3">
      <c r="A240" s="1">
        <v>45945</v>
      </c>
      <c r="B240" s="3">
        <f>Data!B240</f>
        <v>305.69000244140602</v>
      </c>
      <c r="C240" s="3">
        <f>Data!H240</f>
        <v>161.66578674316401</v>
      </c>
      <c r="D240" s="3">
        <f>Data!N240</f>
        <v>52.279998779296797</v>
      </c>
      <c r="F240" s="1">
        <v>45945</v>
      </c>
      <c r="G240" s="4">
        <f t="shared" si="30"/>
        <v>1.1950529759035877E-2</v>
      </c>
      <c r="H240" s="4">
        <f t="shared" si="33"/>
        <v>4.7058038732021634E-2</v>
      </c>
      <c r="I240" s="4">
        <f t="shared" si="34"/>
        <v>4.3721274107360042E-2</v>
      </c>
      <c r="P240" s="1">
        <v>45945</v>
      </c>
      <c r="Q240" s="4">
        <f t="shared" si="31"/>
        <v>3.5524756652727432E-2</v>
      </c>
      <c r="R240" s="34">
        <f t="shared" si="32"/>
        <v>35524.756652727432</v>
      </c>
      <c r="S240" s="34" t="b">
        <f t="shared" si="27"/>
        <v>0</v>
      </c>
      <c r="T240" s="34" t="b">
        <f t="shared" si="28"/>
        <v>0</v>
      </c>
      <c r="U240" s="34" t="b">
        <f t="shared" si="29"/>
        <v>0</v>
      </c>
    </row>
    <row r="241" spans="1:21" x14ac:dyDescent="0.3">
      <c r="A241" s="1">
        <v>45946</v>
      </c>
      <c r="B241" s="3">
        <f>Data!B241</f>
        <v>298.54000854492102</v>
      </c>
      <c r="C241" s="3">
        <f>Data!H241</f>
        <v>159.05171203613199</v>
      </c>
      <c r="D241" s="3">
        <f>Data!N241</f>
        <v>50.439998626708899</v>
      </c>
      <c r="F241" s="1">
        <v>45946</v>
      </c>
      <c r="G241" s="4">
        <f t="shared" si="30"/>
        <v>-2.3389688375090034E-2</v>
      </c>
      <c r="H241" s="4">
        <f t="shared" si="33"/>
        <v>-1.6169622278738305E-2</v>
      </c>
      <c r="I241" s="4">
        <f t="shared" si="34"/>
        <v>-3.5195107030426165E-2</v>
      </c>
      <c r="P241" s="1">
        <v>45946</v>
      </c>
      <c r="Q241" s="4">
        <f t="shared" si="31"/>
        <v>-2.404328753315018E-2</v>
      </c>
      <c r="R241" s="34">
        <f t="shared" si="32"/>
        <v>-24043.287533150182</v>
      </c>
      <c r="S241" s="34" t="b">
        <f t="shared" si="27"/>
        <v>0</v>
      </c>
      <c r="T241" s="34" t="b">
        <f t="shared" si="28"/>
        <v>0</v>
      </c>
      <c r="U241" s="34" t="b">
        <f t="shared" si="29"/>
        <v>0</v>
      </c>
    </row>
    <row r="242" spans="1:21" x14ac:dyDescent="0.3">
      <c r="A242" s="1">
        <v>45947</v>
      </c>
      <c r="B242" s="3">
        <f>Data!B242</f>
        <v>297.55999755859301</v>
      </c>
      <c r="C242" s="3">
        <f>Data!H242</f>
        <v>157.709869384765</v>
      </c>
      <c r="D242" s="3">
        <f>Data!N242</f>
        <v>51.279998779296797</v>
      </c>
      <c r="F242" s="1">
        <v>45947</v>
      </c>
      <c r="G242" s="4">
        <f t="shared" si="30"/>
        <v>-3.2826788982306399E-3</v>
      </c>
      <c r="H242" s="4">
        <f t="shared" si="33"/>
        <v>-8.4365181247603171E-3</v>
      </c>
      <c r="I242" s="4">
        <f t="shared" si="34"/>
        <v>1.6653453121687978E-2</v>
      </c>
      <c r="P242" s="1">
        <v>45947</v>
      </c>
      <c r="Q242" s="4">
        <f t="shared" si="31"/>
        <v>6.3662501713307451E-4</v>
      </c>
      <c r="R242" s="34">
        <f t="shared" si="32"/>
        <v>636.62501713307449</v>
      </c>
      <c r="S242" s="34" t="b">
        <f t="shared" si="27"/>
        <v>0</v>
      </c>
      <c r="T242" s="34" t="b">
        <f t="shared" si="28"/>
        <v>0</v>
      </c>
      <c r="U242" s="34" t="b">
        <f t="shared" si="29"/>
        <v>0</v>
      </c>
    </row>
    <row r="243" spans="1:21" x14ac:dyDescent="0.3">
      <c r="A243" s="1">
        <v>45950</v>
      </c>
      <c r="B243" s="3">
        <f>Data!B243</f>
        <v>302.35998535156199</v>
      </c>
      <c r="C243" s="3">
        <f>Data!H243</f>
        <v>160.98991394042901</v>
      </c>
      <c r="D243" s="3">
        <f>Data!N243</f>
        <v>52.040000915527301</v>
      </c>
      <c r="F243" s="1">
        <v>45950</v>
      </c>
      <c r="G243" s="4">
        <f t="shared" si="30"/>
        <v>1.6131159538754103E-2</v>
      </c>
      <c r="H243" s="4">
        <f t="shared" si="33"/>
        <v>2.0797966344526353E-2</v>
      </c>
      <c r="I243" s="4">
        <f t="shared" si="34"/>
        <v>1.482063483467444E-2</v>
      </c>
      <c r="P243" s="1">
        <v>45950</v>
      </c>
      <c r="Q243" s="4">
        <f t="shared" si="31"/>
        <v>1.7604724849839104E-2</v>
      </c>
      <c r="R243" s="34">
        <f t="shared" si="32"/>
        <v>17604.724849839105</v>
      </c>
      <c r="S243" s="34" t="b">
        <f t="shared" si="27"/>
        <v>0</v>
      </c>
      <c r="T243" s="34" t="b">
        <f t="shared" si="28"/>
        <v>0</v>
      </c>
      <c r="U243" s="34" t="b">
        <f t="shared" si="29"/>
        <v>0</v>
      </c>
    </row>
    <row r="244" spans="1:21" x14ac:dyDescent="0.3">
      <c r="A244" s="1">
        <v>45951</v>
      </c>
      <c r="B244" s="3">
        <f>Data!B244</f>
        <v>297.08999633789</v>
      </c>
      <c r="C244" s="3">
        <f>Data!H244</f>
        <v>158.26647949218699</v>
      </c>
      <c r="D244" s="3">
        <f>Data!N244</f>
        <v>51.520000457763601</v>
      </c>
      <c r="F244" s="1">
        <v>45951</v>
      </c>
      <c r="G244" s="4">
        <f t="shared" si="30"/>
        <v>-1.7429518682984591E-2</v>
      </c>
      <c r="H244" s="4">
        <f t="shared" si="33"/>
        <v>-1.6916801690134209E-2</v>
      </c>
      <c r="I244" s="4">
        <f t="shared" si="34"/>
        <v>-9.9923222255083877E-3</v>
      </c>
      <c r="P244" s="1">
        <v>45951</v>
      </c>
      <c r="Q244" s="4">
        <f t="shared" si="31"/>
        <v>-1.4993272948601576E-2</v>
      </c>
      <c r="R244" s="34">
        <f t="shared" si="32"/>
        <v>-14993.272948601576</v>
      </c>
      <c r="S244" s="34" t="b">
        <f t="shared" si="27"/>
        <v>0</v>
      </c>
      <c r="T244" s="34" t="b">
        <f t="shared" si="28"/>
        <v>0</v>
      </c>
      <c r="U244" s="34" t="b">
        <f t="shared" si="29"/>
        <v>0</v>
      </c>
    </row>
    <row r="245" spans="1:21" x14ac:dyDescent="0.3">
      <c r="A245" s="1">
        <v>45952</v>
      </c>
      <c r="B245" s="3">
        <f>Data!B245</f>
        <v>294.10998535156199</v>
      </c>
      <c r="C245" s="3">
        <f>Data!H245</f>
        <v>157.16320800781199</v>
      </c>
      <c r="D245" s="3">
        <f>Data!N245</f>
        <v>51.099998474121001</v>
      </c>
      <c r="F245" s="1">
        <v>45952</v>
      </c>
      <c r="G245" s="4">
        <f t="shared" si="30"/>
        <v>-1.0030667552127004E-2</v>
      </c>
      <c r="H245" s="4">
        <f t="shared" si="33"/>
        <v>-6.9709738152700096E-3</v>
      </c>
      <c r="I245" s="4">
        <f t="shared" si="34"/>
        <v>-8.1522123429893512E-3</v>
      </c>
      <c r="P245" s="1">
        <v>45952</v>
      </c>
      <c r="Q245" s="4">
        <f t="shared" si="31"/>
        <v>-8.2432534946429107E-3</v>
      </c>
      <c r="R245" s="34">
        <f t="shared" si="32"/>
        <v>-8243.2534946429114</v>
      </c>
      <c r="S245" s="34" t="b">
        <f t="shared" si="27"/>
        <v>0</v>
      </c>
      <c r="T245" s="34" t="b">
        <f t="shared" si="28"/>
        <v>0</v>
      </c>
      <c r="U245" s="34" t="b">
        <f t="shared" si="29"/>
        <v>0</v>
      </c>
    </row>
    <row r="246" spans="1:21" x14ac:dyDescent="0.3">
      <c r="A246" s="1">
        <v>45953</v>
      </c>
      <c r="B246" s="3">
        <f>Data!B246</f>
        <v>294.54000854492102</v>
      </c>
      <c r="C246" s="3">
        <f>Data!H246</f>
        <v>158.34600830078099</v>
      </c>
      <c r="D246" s="3">
        <f>Data!N246</f>
        <v>51.759998321533203</v>
      </c>
      <c r="F246" s="1">
        <v>45953</v>
      </c>
      <c r="G246" s="4">
        <f t="shared" si="30"/>
        <v>1.462116945281533E-3</v>
      </c>
      <c r="H246" s="4">
        <f t="shared" si="33"/>
        <v>7.5259363050810268E-3</v>
      </c>
      <c r="I246" s="4">
        <f t="shared" si="34"/>
        <v>1.291584867162876E-2</v>
      </c>
      <c r="P246" s="1">
        <v>45953</v>
      </c>
      <c r="Q246" s="4">
        <f t="shared" si="31"/>
        <v>7.3237642071054985E-3</v>
      </c>
      <c r="R246" s="34">
        <f t="shared" si="32"/>
        <v>7323.7642071054988</v>
      </c>
      <c r="S246" s="34" t="b">
        <f t="shared" si="27"/>
        <v>0</v>
      </c>
      <c r="T246" s="34" t="b">
        <f t="shared" si="28"/>
        <v>0</v>
      </c>
      <c r="U246" s="34" t="b">
        <f t="shared" si="29"/>
        <v>0</v>
      </c>
    </row>
    <row r="247" spans="1:21" x14ac:dyDescent="0.3">
      <c r="A247" s="1">
        <v>45954</v>
      </c>
      <c r="B247" s="3">
        <f>Data!B247</f>
        <v>300.44000244140602</v>
      </c>
      <c r="C247" s="3">
        <f>Data!H247</f>
        <v>162.86846923828099</v>
      </c>
      <c r="D247" s="3">
        <f>Data!N247</f>
        <v>52.569999694824197</v>
      </c>
      <c r="F247" s="1">
        <v>45954</v>
      </c>
      <c r="G247" s="4">
        <f t="shared" si="30"/>
        <v>2.0031213843008988E-2</v>
      </c>
      <c r="H247" s="4">
        <f t="shared" si="33"/>
        <v>2.856062483690458E-2</v>
      </c>
      <c r="I247" s="4">
        <f t="shared" si="34"/>
        <v>1.5649176962087008E-2</v>
      </c>
      <c r="P247" s="1">
        <v>45954</v>
      </c>
      <c r="Q247" s="4">
        <f t="shared" si="31"/>
        <v>2.2128367176290631E-2</v>
      </c>
      <c r="R247" s="34">
        <f t="shared" si="32"/>
        <v>22128.367176290631</v>
      </c>
      <c r="S247" s="34" t="b">
        <f t="shared" si="27"/>
        <v>0</v>
      </c>
      <c r="T247" s="34" t="b">
        <f t="shared" si="28"/>
        <v>0</v>
      </c>
      <c r="U247" s="34" t="b">
        <f t="shared" si="29"/>
        <v>0</v>
      </c>
    </row>
    <row r="248" spans="1:21" x14ac:dyDescent="0.3">
      <c r="A248" s="1">
        <v>45957</v>
      </c>
      <c r="B248" s="3">
        <f>Data!B248</f>
        <v>304.14999389648398</v>
      </c>
      <c r="C248" s="3">
        <f>Data!H248</f>
        <v>165.01541137695301</v>
      </c>
      <c r="D248" s="3">
        <f>Data!N248</f>
        <v>53.020000457763601</v>
      </c>
      <c r="F248" s="1">
        <v>45957</v>
      </c>
      <c r="G248" s="4">
        <f t="shared" si="30"/>
        <v>1.2348526910298752E-2</v>
      </c>
      <c r="H248" s="4">
        <f t="shared" si="33"/>
        <v>1.31820612590825E-2</v>
      </c>
      <c r="I248" s="4">
        <f t="shared" si="34"/>
        <v>8.560029780325662E-3</v>
      </c>
      <c r="P248" s="1">
        <v>45957</v>
      </c>
      <c r="Q248" s="4">
        <f t="shared" si="31"/>
        <v>1.1545391510820324E-2</v>
      </c>
      <c r="R248" s="34">
        <f t="shared" si="32"/>
        <v>11545.391510820324</v>
      </c>
      <c r="S248" s="34" t="b">
        <f t="shared" si="27"/>
        <v>0</v>
      </c>
      <c r="T248" s="34" t="b">
        <f t="shared" si="28"/>
        <v>0</v>
      </c>
      <c r="U248" s="34" t="b">
        <f t="shared" si="29"/>
        <v>0</v>
      </c>
    </row>
    <row r="249" spans="1:21" x14ac:dyDescent="0.3">
      <c r="A249" s="1">
        <v>45958</v>
      </c>
      <c r="B249" s="3">
        <f>Data!B249</f>
        <v>305.35998535156199</v>
      </c>
      <c r="C249" s="3">
        <f>Data!H249</f>
        <v>164.21031188964801</v>
      </c>
      <c r="D249" s="3">
        <f>Data!N249</f>
        <v>52.869998931884702</v>
      </c>
      <c r="F249" s="1">
        <v>45958</v>
      </c>
      <c r="G249" s="4">
        <f t="shared" si="30"/>
        <v>3.9782721662320331E-3</v>
      </c>
      <c r="H249" s="4">
        <f t="shared" si="33"/>
        <v>-4.8789351284642679E-3</v>
      </c>
      <c r="I249" s="4">
        <f t="shared" si="34"/>
        <v>-2.8291498412640337E-3</v>
      </c>
      <c r="P249" s="1">
        <v>45958</v>
      </c>
      <c r="Q249" s="4">
        <f t="shared" si="31"/>
        <v>-1.6068373538953074E-3</v>
      </c>
      <c r="R249" s="34">
        <f t="shared" si="32"/>
        <v>-1606.8373538953074</v>
      </c>
      <c r="S249" s="34" t="b">
        <f t="shared" si="27"/>
        <v>0</v>
      </c>
      <c r="T249" s="34" t="b">
        <f t="shared" si="28"/>
        <v>0</v>
      </c>
      <c r="U249" s="34" t="b">
        <f t="shared" si="29"/>
        <v>0</v>
      </c>
    </row>
    <row r="250" spans="1:21" x14ac:dyDescent="0.3">
      <c r="A250" s="1">
        <v>45959</v>
      </c>
      <c r="B250" s="3">
        <f>Data!B250</f>
        <v>305.510009765625</v>
      </c>
      <c r="C250" s="3">
        <f>Data!H250</f>
        <v>163.03744506835901</v>
      </c>
      <c r="D250" s="3">
        <f>Data!N250</f>
        <v>52.580001831054602</v>
      </c>
      <c r="F250" s="1">
        <v>45959</v>
      </c>
      <c r="G250" s="4">
        <f t="shared" si="30"/>
        <v>4.91303449239755E-4</v>
      </c>
      <c r="H250" s="4">
        <f t="shared" si="33"/>
        <v>-7.142467533203356E-3</v>
      </c>
      <c r="I250" s="4">
        <f t="shared" si="34"/>
        <v>-5.4850975352528364E-3</v>
      </c>
      <c r="P250" s="1">
        <v>45959</v>
      </c>
      <c r="Q250" s="4">
        <f t="shared" si="31"/>
        <v>-4.3551252390852668E-3</v>
      </c>
      <c r="R250" s="34">
        <f t="shared" si="32"/>
        <v>-4355.1252390852669</v>
      </c>
      <c r="S250" s="34" t="b">
        <f t="shared" si="27"/>
        <v>0</v>
      </c>
      <c r="T250" s="34" t="b">
        <f t="shared" si="28"/>
        <v>0</v>
      </c>
      <c r="U250" s="34" t="b">
        <f t="shared" si="29"/>
        <v>0</v>
      </c>
    </row>
    <row r="251" spans="1:21" x14ac:dyDescent="0.3">
      <c r="A251" s="1">
        <v>45960</v>
      </c>
      <c r="B251" s="3">
        <f>Data!B251</f>
        <v>309.44000244140602</v>
      </c>
      <c r="C251" s="3">
        <f>Data!H251</f>
        <v>164.259994506835</v>
      </c>
      <c r="D251" s="3">
        <f>Data!N251</f>
        <v>53.029998779296797</v>
      </c>
      <c r="F251" s="1">
        <v>45960</v>
      </c>
      <c r="G251" s="4">
        <f t="shared" si="30"/>
        <v>1.2863711662985944E-2</v>
      </c>
      <c r="H251" s="4">
        <f t="shared" si="33"/>
        <v>7.4985806969889435E-3</v>
      </c>
      <c r="I251" s="4">
        <f t="shared" si="34"/>
        <v>8.5583288811605929E-3</v>
      </c>
      <c r="P251" s="1">
        <v>45960</v>
      </c>
      <c r="Q251" s="4">
        <f t="shared" si="31"/>
        <v>9.4260444420395384E-3</v>
      </c>
      <c r="R251" s="34">
        <f t="shared" si="32"/>
        <v>9426.0444420395379</v>
      </c>
      <c r="S251" s="34" t="b">
        <f t="shared" si="27"/>
        <v>0</v>
      </c>
      <c r="T251" s="34" t="b">
        <f t="shared" si="28"/>
        <v>0</v>
      </c>
      <c r="U251" s="34" t="b">
        <f t="shared" si="29"/>
        <v>0</v>
      </c>
    </row>
    <row r="252" spans="1:21" x14ac:dyDescent="0.3">
      <c r="A252" s="1"/>
      <c r="B252" s="3"/>
      <c r="C252" s="3"/>
      <c r="D252" s="3"/>
      <c r="F252" s="1"/>
      <c r="G252" s="4"/>
      <c r="H252" s="4"/>
      <c r="I252" s="4"/>
      <c r="P252" s="1"/>
      <c r="Q252" s="4"/>
      <c r="R252" s="34"/>
      <c r="S252" s="34"/>
      <c r="T252" s="34"/>
      <c r="U252" s="34"/>
    </row>
    <row r="253" spans="1:21" x14ac:dyDescent="0.3">
      <c r="A253" s="1"/>
      <c r="B253" s="3"/>
      <c r="C253" s="3"/>
      <c r="D253" s="3"/>
      <c r="F253" s="1"/>
      <c r="G253" s="4"/>
      <c r="H253" s="4"/>
      <c r="I253" s="4"/>
      <c r="P253" s="1"/>
      <c r="Q253" s="4"/>
      <c r="R253" s="34"/>
      <c r="S253" s="34"/>
      <c r="T253" s="34"/>
      <c r="U253" s="34"/>
    </row>
    <row r="254" spans="1:21" x14ac:dyDescent="0.3">
      <c r="A254" s="1"/>
      <c r="B254" s="3"/>
      <c r="C254" s="3"/>
      <c r="D254" s="3"/>
      <c r="F254" s="1"/>
      <c r="G254" s="4"/>
      <c r="H254" s="4"/>
      <c r="I254" s="4"/>
      <c r="P254" s="1"/>
      <c r="Q254" s="4"/>
      <c r="R254" s="34"/>
      <c r="S254" s="34"/>
      <c r="T254" s="34"/>
      <c r="U254" s="34"/>
    </row>
  </sheetData>
  <mergeCells count="1">
    <mergeCell ref="S1:U1"/>
  </mergeCells>
  <conditionalFormatting sqref="S4:U254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DDD3-0E04-41BA-8F80-4448928912F0}">
  <dimension ref="A1:Q252"/>
  <sheetViews>
    <sheetView zoomScale="120" zoomScaleNormal="120" workbookViewId="0">
      <selection activeCell="D6" sqref="D6"/>
    </sheetView>
  </sheetViews>
  <sheetFormatPr defaultColWidth="8.77734375" defaultRowHeight="14.4" x14ac:dyDescent="0.3"/>
  <cols>
    <col min="1" max="1" width="10.33203125" bestFit="1" customWidth="1"/>
    <col min="7" max="7" width="10.33203125" bestFit="1" customWidth="1"/>
    <col min="13" max="13" width="10.33203125" bestFit="1" customWidth="1"/>
  </cols>
  <sheetData>
    <row r="1" spans="1:17" x14ac:dyDescent="0.3">
      <c r="A1" s="76" t="s">
        <v>5</v>
      </c>
      <c r="B1" s="76"/>
      <c r="C1" s="76"/>
      <c r="D1" s="76"/>
      <c r="E1" s="76"/>
      <c r="G1" s="76" t="s">
        <v>6</v>
      </c>
      <c r="H1" s="76"/>
      <c r="I1" s="76"/>
      <c r="J1" s="76"/>
      <c r="K1" s="76"/>
      <c r="M1" s="76" t="s">
        <v>7</v>
      </c>
      <c r="N1" s="76"/>
      <c r="O1" s="76"/>
      <c r="P1" s="76"/>
      <c r="Q1" s="76"/>
    </row>
    <row r="2" spans="1:17" x14ac:dyDescent="0.3">
      <c r="A2" t="s">
        <v>0</v>
      </c>
      <c r="B2" t="s">
        <v>4</v>
      </c>
      <c r="C2" t="s">
        <v>2</v>
      </c>
      <c r="D2" t="s">
        <v>3</v>
      </c>
      <c r="E2" t="s">
        <v>1</v>
      </c>
      <c r="G2" t="s">
        <v>0</v>
      </c>
      <c r="H2" t="s">
        <v>4</v>
      </c>
      <c r="I2" t="s">
        <v>2</v>
      </c>
      <c r="J2" t="s">
        <v>3</v>
      </c>
      <c r="K2" t="s">
        <v>1</v>
      </c>
      <c r="M2" t="s">
        <v>0</v>
      </c>
      <c r="N2" t="s">
        <v>4</v>
      </c>
      <c r="O2" t="s">
        <v>2</v>
      </c>
      <c r="P2" t="s">
        <v>3</v>
      </c>
      <c r="Q2" t="s">
        <v>1</v>
      </c>
    </row>
    <row r="3" spans="1:17" x14ac:dyDescent="0.3">
      <c r="A3" s="1">
        <v>45597</v>
      </c>
      <c r="B3" s="3">
        <v>218.318435668945</v>
      </c>
      <c r="C3" s="3">
        <v>221.461883705676</v>
      </c>
      <c r="D3" s="3">
        <v>218.083405511747</v>
      </c>
      <c r="E3" s="3">
        <v>218.92557823028201</v>
      </c>
      <c r="G3" s="1">
        <v>45597</v>
      </c>
      <c r="H3" s="3">
        <v>113.667182922363</v>
      </c>
      <c r="I3">
        <v>114.80531212754001</v>
      </c>
      <c r="J3">
        <v>113.132168535571</v>
      </c>
      <c r="K3">
        <v>113.492085550675</v>
      </c>
      <c r="M3" s="1">
        <v>45597</v>
      </c>
      <c r="N3" s="3">
        <v>40.799842834472599</v>
      </c>
      <c r="O3">
        <v>41.454439978393196</v>
      </c>
      <c r="P3">
        <v>40.790074396647903</v>
      </c>
      <c r="Q3">
        <v>41.1808789954353</v>
      </c>
    </row>
    <row r="4" spans="1:17" x14ac:dyDescent="0.3">
      <c r="A4" s="1">
        <v>45600</v>
      </c>
      <c r="B4" s="3">
        <v>215.22393798828099</v>
      </c>
      <c r="C4" s="3">
        <v>219.12142801656</v>
      </c>
      <c r="D4" s="3">
        <v>214.626582750023</v>
      </c>
      <c r="E4" s="3">
        <v>218.03443782702399</v>
      </c>
      <c r="G4" s="1">
        <v>45600</v>
      </c>
      <c r="H4" s="3">
        <v>112.976524353027</v>
      </c>
      <c r="I4">
        <v>114.250839592037</v>
      </c>
      <c r="J4">
        <v>112.781975014191</v>
      </c>
      <c r="K4">
        <v>113.822829562283</v>
      </c>
      <c r="M4" s="1">
        <v>45600</v>
      </c>
      <c r="N4" s="3">
        <v>40.379734039306598</v>
      </c>
      <c r="O4">
        <v>41.053868077526303</v>
      </c>
      <c r="P4">
        <v>40.1647911313283</v>
      </c>
      <c r="Q4">
        <v>40.6532950298324</v>
      </c>
    </row>
    <row r="5" spans="1:17" x14ac:dyDescent="0.3">
      <c r="A5" s="1">
        <v>45601</v>
      </c>
      <c r="B5" s="3">
        <v>216.89848327636699</v>
      </c>
      <c r="C5" s="3">
        <v>217.358741298762</v>
      </c>
      <c r="D5" s="3">
        <v>215.439365828511</v>
      </c>
      <c r="E5" s="3">
        <v>215.46874272845301</v>
      </c>
      <c r="G5" s="1">
        <v>45601</v>
      </c>
      <c r="H5" s="3">
        <v>114.60104370117099</v>
      </c>
      <c r="I5">
        <v>114.688596105907</v>
      </c>
      <c r="J5">
        <v>112.92789253281001</v>
      </c>
      <c r="K5">
        <v>112.92789253281001</v>
      </c>
      <c r="M5" s="1">
        <v>45601</v>
      </c>
      <c r="N5" s="3">
        <v>40.917087554931598</v>
      </c>
      <c r="O5">
        <v>41.044095885025797</v>
      </c>
      <c r="P5">
        <v>40.428583656753801</v>
      </c>
      <c r="Q5">
        <v>40.555591986847901</v>
      </c>
    </row>
    <row r="6" spans="1:17" x14ac:dyDescent="0.3">
      <c r="A6" s="1">
        <v>45602</v>
      </c>
      <c r="B6" s="3">
        <v>241.93843078613199</v>
      </c>
      <c r="C6" s="3">
        <v>242.85894692737901</v>
      </c>
      <c r="D6" s="3">
        <v>229.90320970865301</v>
      </c>
      <c r="E6" s="3">
        <v>230.12843761263699</v>
      </c>
      <c r="G6" s="1">
        <v>45602</v>
      </c>
      <c r="H6" s="3">
        <v>127.90841674804599</v>
      </c>
      <c r="I6">
        <v>129.88312143291199</v>
      </c>
      <c r="J6">
        <v>124.182738370325</v>
      </c>
      <c r="K6">
        <v>125.982338264324</v>
      </c>
      <c r="M6" s="1">
        <v>45602</v>
      </c>
      <c r="N6" s="3">
        <v>44.365924835205</v>
      </c>
      <c r="O6">
        <v>44.5027053333109</v>
      </c>
      <c r="P6">
        <v>42.9883439618701</v>
      </c>
      <c r="Q6">
        <v>43.769949470324498</v>
      </c>
    </row>
    <row r="7" spans="1:17" x14ac:dyDescent="0.3">
      <c r="A7" s="1">
        <v>45603</v>
      </c>
      <c r="B7" s="3">
        <v>231.47981262207</v>
      </c>
      <c r="C7" s="3">
        <v>239.50003510853099</v>
      </c>
      <c r="D7" s="3">
        <v>230.34385600645399</v>
      </c>
      <c r="E7" s="3">
        <v>239.431479046438</v>
      </c>
      <c r="G7" s="1">
        <v>45603</v>
      </c>
      <c r="H7" s="3">
        <v>124.941505432128</v>
      </c>
      <c r="I7">
        <v>127.966794678206</v>
      </c>
      <c r="J7">
        <v>124.59131065356399</v>
      </c>
      <c r="K7">
        <v>127.17886013722701</v>
      </c>
      <c r="M7" s="1">
        <v>45603</v>
      </c>
      <c r="N7" s="3">
        <v>43.740642547607401</v>
      </c>
      <c r="O7">
        <v>44.1900652708688</v>
      </c>
      <c r="P7">
        <v>43.486618415684497</v>
      </c>
      <c r="Q7">
        <v>44.004435118301501</v>
      </c>
    </row>
    <row r="8" spans="1:17" x14ac:dyDescent="0.3">
      <c r="A8" s="1">
        <v>45604</v>
      </c>
      <c r="B8" s="3">
        <v>232.06736755371</v>
      </c>
      <c r="C8" s="3">
        <v>234.37844502414401</v>
      </c>
      <c r="D8" s="3">
        <v>230.892246708611</v>
      </c>
      <c r="E8" s="3">
        <v>234.37844502414401</v>
      </c>
      <c r="G8" s="1">
        <v>45604</v>
      </c>
      <c r="H8" s="3">
        <v>126.00179290771401</v>
      </c>
      <c r="I8">
        <v>126.964832113325</v>
      </c>
      <c r="J8">
        <v>124.280008359202</v>
      </c>
      <c r="K8">
        <v>125.46677112682001</v>
      </c>
      <c r="M8" s="1">
        <v>45604</v>
      </c>
      <c r="N8" s="3">
        <v>44.092361450195298</v>
      </c>
      <c r="O8">
        <v>44.453853279460397</v>
      </c>
      <c r="P8">
        <v>43.916499754447102</v>
      </c>
      <c r="Q8">
        <v>44.102129887963997</v>
      </c>
    </row>
    <row r="9" spans="1:17" x14ac:dyDescent="0.3">
      <c r="A9" s="1">
        <v>45607</v>
      </c>
      <c r="B9" s="3">
        <v>234.32946777343699</v>
      </c>
      <c r="C9" s="3">
        <v>237.081228508983</v>
      </c>
      <c r="D9" s="3">
        <v>234.04548610139099</v>
      </c>
      <c r="E9" s="3">
        <v>235.024755917714</v>
      </c>
      <c r="G9" s="1">
        <v>45607</v>
      </c>
      <c r="H9" s="3">
        <v>129.88313293457</v>
      </c>
      <c r="I9">
        <v>130.34033207383499</v>
      </c>
      <c r="J9">
        <v>126.994029796307</v>
      </c>
      <c r="K9">
        <v>126.994029796307</v>
      </c>
      <c r="M9" s="1">
        <v>45607</v>
      </c>
      <c r="N9" s="3">
        <v>45.020523071288999</v>
      </c>
      <c r="O9">
        <v>45.4504051793174</v>
      </c>
      <c r="P9">
        <v>44.5320191511248</v>
      </c>
      <c r="Q9">
        <v>44.551556028180897</v>
      </c>
    </row>
    <row r="10" spans="1:17" x14ac:dyDescent="0.3">
      <c r="A10" s="1">
        <v>45608</v>
      </c>
      <c r="B10" s="3">
        <v>234.59388732910099</v>
      </c>
      <c r="C10" s="3">
        <v>236.454509044909</v>
      </c>
      <c r="D10" s="3">
        <v>233.81046844573299</v>
      </c>
      <c r="E10" s="3">
        <v>235.56336987829701</v>
      </c>
      <c r="G10" s="1">
        <v>45608</v>
      </c>
      <c r="H10" s="3">
        <v>128.70608520507801</v>
      </c>
      <c r="I10">
        <v>130.17496472394399</v>
      </c>
      <c r="J10">
        <v>128.12243714968801</v>
      </c>
      <c r="K10">
        <v>129.562120164779</v>
      </c>
      <c r="M10" s="1">
        <v>45608</v>
      </c>
      <c r="N10" s="3">
        <v>44.805580139160099</v>
      </c>
      <c r="O10">
        <v>45.382014913845403</v>
      </c>
      <c r="P10">
        <v>44.786039535121198</v>
      </c>
      <c r="Q10">
        <v>45.079141141726303</v>
      </c>
    </row>
    <row r="11" spans="1:17" x14ac:dyDescent="0.3">
      <c r="A11" s="1">
        <v>45609</v>
      </c>
      <c r="B11" s="3">
        <v>236.160720825195</v>
      </c>
      <c r="C11" s="3">
        <v>239.029974315896</v>
      </c>
      <c r="D11" s="3">
        <v>235.328335474955</v>
      </c>
      <c r="E11" s="3">
        <v>235.59274251858599</v>
      </c>
      <c r="G11" s="1">
        <v>45609</v>
      </c>
      <c r="H11" s="3">
        <v>129.14382934570301</v>
      </c>
      <c r="I11">
        <v>130.982348242505</v>
      </c>
      <c r="J11">
        <v>128.86173500248699</v>
      </c>
      <c r="K11">
        <v>129.824774364875</v>
      </c>
      <c r="M11" s="1">
        <v>45609</v>
      </c>
      <c r="N11" s="3">
        <v>44.815349578857401</v>
      </c>
      <c r="O11">
        <v>45.411324970895599</v>
      </c>
      <c r="P11">
        <v>44.776272096895703</v>
      </c>
      <c r="Q11">
        <v>45.137763962218102</v>
      </c>
    </row>
    <row r="12" spans="1:17" x14ac:dyDescent="0.3">
      <c r="A12" s="1">
        <v>45610</v>
      </c>
      <c r="B12" s="3">
        <v>236.85600280761699</v>
      </c>
      <c r="C12" s="3">
        <v>239.22583414126501</v>
      </c>
      <c r="D12" s="3">
        <v>236.05300927029299</v>
      </c>
      <c r="E12" s="3">
        <v>237.394604234008</v>
      </c>
      <c r="G12" s="1">
        <v>45610</v>
      </c>
      <c r="H12" s="3">
        <v>128.82279968261699</v>
      </c>
      <c r="I12">
        <v>131.235258915206</v>
      </c>
      <c r="J12">
        <v>128.38505997162</v>
      </c>
      <c r="K12">
        <v>129.47456295649201</v>
      </c>
      <c r="M12" s="1">
        <v>45610</v>
      </c>
      <c r="N12" s="3">
        <v>44.844657897949197</v>
      </c>
      <c r="O12">
        <v>45.098678276938102</v>
      </c>
      <c r="P12">
        <v>44.678564639888499</v>
      </c>
      <c r="Q12">
        <v>44.893507540794502</v>
      </c>
    </row>
    <row r="13" spans="1:17" x14ac:dyDescent="0.3">
      <c r="A13" s="1">
        <v>45611</v>
      </c>
      <c r="B13" s="3">
        <v>240.224685668945</v>
      </c>
      <c r="C13" s="3">
        <v>241.31167580537601</v>
      </c>
      <c r="D13" s="3">
        <v>236.45450569378201</v>
      </c>
      <c r="E13" s="3">
        <v>236.45450569378201</v>
      </c>
      <c r="G13" s="1">
        <v>45611</v>
      </c>
      <c r="H13" s="3">
        <v>130.40841674804599</v>
      </c>
      <c r="I13">
        <v>130.739152127219</v>
      </c>
      <c r="J13">
        <v>128.92981497099299</v>
      </c>
      <c r="K13">
        <v>129.737208874148</v>
      </c>
      <c r="M13" s="1">
        <v>45611</v>
      </c>
      <c r="N13" s="3">
        <v>45.675113677978501</v>
      </c>
      <c r="O13">
        <v>45.7630445271868</v>
      </c>
      <c r="P13">
        <v>44.571093843916401</v>
      </c>
      <c r="Q13">
        <v>44.571093843916401</v>
      </c>
    </row>
    <row r="14" spans="1:17" x14ac:dyDescent="0.3">
      <c r="A14" s="1">
        <v>45614</v>
      </c>
      <c r="B14" s="3">
        <v>239.95048522949199</v>
      </c>
      <c r="C14" s="3">
        <v>242.79036175926601</v>
      </c>
      <c r="D14" s="3">
        <v>237.64919515219501</v>
      </c>
      <c r="E14" s="3">
        <v>242.62388768127701</v>
      </c>
      <c r="G14" s="1">
        <v>45614</v>
      </c>
      <c r="H14" s="3">
        <v>130.13604736328099</v>
      </c>
      <c r="I14">
        <v>131.81892079721399</v>
      </c>
      <c r="J14">
        <v>129.78585258897201</v>
      </c>
      <c r="K14">
        <v>131.02126399322299</v>
      </c>
      <c r="M14" s="1">
        <v>45614</v>
      </c>
      <c r="N14" s="3">
        <v>45.645809173583899</v>
      </c>
      <c r="O14">
        <v>45.938910791077397</v>
      </c>
      <c r="P14">
        <v>45.421097809272602</v>
      </c>
      <c r="Q14">
        <v>45.675118217236502</v>
      </c>
    </row>
    <row r="15" spans="1:17" x14ac:dyDescent="0.3">
      <c r="A15" s="1">
        <v>45615</v>
      </c>
      <c r="B15" s="3">
        <v>238.05070495605401</v>
      </c>
      <c r="C15" s="3">
        <v>240.06799846223899</v>
      </c>
      <c r="D15" s="3">
        <v>236.54263595727099</v>
      </c>
      <c r="E15" s="3">
        <v>237.22812186580899</v>
      </c>
      <c r="G15" s="1">
        <v>45615</v>
      </c>
      <c r="H15" s="3">
        <v>128.63801574707</v>
      </c>
      <c r="I15">
        <v>130.43761603087501</v>
      </c>
      <c r="J15">
        <v>128.33644714431901</v>
      </c>
      <c r="K15">
        <v>129.63022201863799</v>
      </c>
      <c r="M15" s="1">
        <v>45615</v>
      </c>
      <c r="N15" s="3">
        <v>45.342933654785099</v>
      </c>
      <c r="O15">
        <v>45.548104406479098</v>
      </c>
      <c r="P15">
        <v>44.893510943363403</v>
      </c>
      <c r="Q15">
        <v>44.932592151397202</v>
      </c>
    </row>
    <row r="16" spans="1:17" x14ac:dyDescent="0.3">
      <c r="A16" s="1">
        <v>45616</v>
      </c>
      <c r="B16" s="3">
        <v>235.78858947753901</v>
      </c>
      <c r="C16" s="3">
        <v>239.53919473553</v>
      </c>
      <c r="D16" s="3">
        <v>233.6929526301</v>
      </c>
      <c r="E16" s="3">
        <v>239.333541495665</v>
      </c>
      <c r="G16" s="1">
        <v>45616</v>
      </c>
      <c r="H16" s="3">
        <v>128.10299682617099</v>
      </c>
      <c r="I16">
        <v>130.00960153795199</v>
      </c>
      <c r="J16">
        <v>127.480429901872</v>
      </c>
      <c r="K16">
        <v>129.53295778159</v>
      </c>
      <c r="M16" s="1">
        <v>45616</v>
      </c>
      <c r="N16" s="3">
        <v>45.000984191894503</v>
      </c>
      <c r="O16">
        <v>45.567646822967802</v>
      </c>
      <c r="P16">
        <v>44.864199958335398</v>
      </c>
      <c r="Q16">
        <v>45.499256569682899</v>
      </c>
    </row>
    <row r="17" spans="1:17" x14ac:dyDescent="0.3">
      <c r="A17" s="1">
        <v>45617</v>
      </c>
      <c r="B17" s="3">
        <v>239.68609619140599</v>
      </c>
      <c r="C17" s="3">
        <v>240.400973979512</v>
      </c>
      <c r="D17" s="3">
        <v>237.09103692422801</v>
      </c>
      <c r="E17" s="3">
        <v>238.18781443451101</v>
      </c>
      <c r="G17" s="1">
        <v>45617</v>
      </c>
      <c r="H17" s="3">
        <v>131.31309509277301</v>
      </c>
      <c r="I17">
        <v>131.877298607819</v>
      </c>
      <c r="J17">
        <v>129.513480176797</v>
      </c>
      <c r="K17">
        <v>129.571843498498</v>
      </c>
      <c r="M17" s="1">
        <v>45617</v>
      </c>
      <c r="N17" s="3">
        <v>45.391780853271399</v>
      </c>
      <c r="O17">
        <v>45.968215596220404</v>
      </c>
      <c r="P17">
        <v>45.235459756555898</v>
      </c>
      <c r="Q17">
        <v>45.323390606395201</v>
      </c>
    </row>
    <row r="18" spans="1:17" x14ac:dyDescent="0.3">
      <c r="A18" s="1">
        <v>45618</v>
      </c>
      <c r="B18" s="3">
        <v>243.397537231445</v>
      </c>
      <c r="C18" s="3">
        <v>243.98509020740499</v>
      </c>
      <c r="D18" s="3">
        <v>237.99196318627301</v>
      </c>
      <c r="E18" s="3">
        <v>238.559941522765</v>
      </c>
      <c r="G18" s="1">
        <v>45618</v>
      </c>
      <c r="H18" s="3">
        <v>131.02125549316401</v>
      </c>
      <c r="I18">
        <v>131.97455765570501</v>
      </c>
      <c r="J18">
        <v>130.31114371802701</v>
      </c>
      <c r="K18">
        <v>131.01151837804301</v>
      </c>
      <c r="M18" s="1">
        <v>45618</v>
      </c>
      <c r="N18" s="3">
        <v>45.919368743896399</v>
      </c>
      <c r="O18">
        <v>46.134311662568201</v>
      </c>
      <c r="P18">
        <v>45.2159219024172</v>
      </c>
      <c r="Q18">
        <v>45.303852757602101</v>
      </c>
    </row>
    <row r="19" spans="1:17" x14ac:dyDescent="0.3">
      <c r="A19" s="1">
        <v>45621</v>
      </c>
      <c r="B19" s="3">
        <v>245.101470947265</v>
      </c>
      <c r="C19" s="3">
        <v>249.038140358048</v>
      </c>
      <c r="D19" s="3">
        <v>243.896973084124</v>
      </c>
      <c r="E19" s="3">
        <v>244.41598496590299</v>
      </c>
      <c r="G19" s="1">
        <v>45621</v>
      </c>
      <c r="H19" s="3">
        <v>130.01930236816401</v>
      </c>
      <c r="I19">
        <v>132.52902875594901</v>
      </c>
      <c r="J19">
        <v>129.94147966895</v>
      </c>
      <c r="K19">
        <v>131.75081660697401</v>
      </c>
      <c r="M19" s="1">
        <v>45621</v>
      </c>
      <c r="N19" s="3">
        <v>46.407871246337798</v>
      </c>
      <c r="O19">
        <v>46.642354761984002</v>
      </c>
      <c r="P19">
        <v>46.0756884399161</v>
      </c>
      <c r="Q19">
        <v>46.173387730691701</v>
      </c>
    </row>
    <row r="20" spans="1:17" x14ac:dyDescent="0.3">
      <c r="A20" s="1">
        <v>45622</v>
      </c>
      <c r="B20" s="3">
        <v>244.7880859375</v>
      </c>
      <c r="C20" s="3">
        <v>245.79673268899299</v>
      </c>
      <c r="D20" s="3">
        <v>243.19187129820699</v>
      </c>
      <c r="E20" s="3">
        <v>245.29731044409399</v>
      </c>
      <c r="G20" s="1">
        <v>45622</v>
      </c>
      <c r="H20" s="3">
        <v>127.704132080078</v>
      </c>
      <c r="I20">
        <v>128.20023511532099</v>
      </c>
      <c r="J20">
        <v>125.029037880765</v>
      </c>
      <c r="K20">
        <v>127.188569658209</v>
      </c>
      <c r="M20" s="1">
        <v>45622</v>
      </c>
      <c r="N20" s="3">
        <v>46.652122497558501</v>
      </c>
      <c r="O20">
        <v>46.740053348727699</v>
      </c>
      <c r="P20">
        <v>46.124537390543402</v>
      </c>
      <c r="Q20">
        <v>46.417638985444398</v>
      </c>
    </row>
    <row r="21" spans="1:17" x14ac:dyDescent="0.3">
      <c r="A21" s="1">
        <v>45623</v>
      </c>
      <c r="B21" s="3">
        <v>244.61180114746</v>
      </c>
      <c r="C21" s="3">
        <v>245.98278785749301</v>
      </c>
      <c r="D21" s="3">
        <v>243.612956692154</v>
      </c>
      <c r="E21" s="3">
        <v>244.18093497942101</v>
      </c>
      <c r="G21" s="1">
        <v>45623</v>
      </c>
      <c r="H21" s="3">
        <v>127.63606262207</v>
      </c>
      <c r="I21">
        <v>128.822818179308</v>
      </c>
      <c r="J21">
        <v>127.013495759823</v>
      </c>
      <c r="K21">
        <v>127.908434696605</v>
      </c>
      <c r="M21" s="1">
        <v>45623</v>
      </c>
      <c r="N21" s="3">
        <v>46.671661376953097</v>
      </c>
      <c r="O21">
        <v>46.876832113106701</v>
      </c>
      <c r="P21">
        <v>46.554421488720898</v>
      </c>
      <c r="Q21">
        <v>46.720511019800803</v>
      </c>
    </row>
    <row r="22" spans="1:17" x14ac:dyDescent="0.3">
      <c r="A22" s="1">
        <v>45625</v>
      </c>
      <c r="B22" s="3">
        <v>244.54327392578099</v>
      </c>
      <c r="C22" s="3">
        <v>246.55078015429299</v>
      </c>
      <c r="D22" s="3">
        <v>244.27886687613</v>
      </c>
      <c r="E22" s="3">
        <v>244.680371110327</v>
      </c>
      <c r="G22" s="1">
        <v>45625</v>
      </c>
      <c r="H22" s="3">
        <v>128.025146484375</v>
      </c>
      <c r="I22">
        <v>129.11463465605399</v>
      </c>
      <c r="J22">
        <v>127.84031941743</v>
      </c>
      <c r="K22">
        <v>128.676894933016</v>
      </c>
      <c r="M22" s="1">
        <v>45625</v>
      </c>
      <c r="N22" s="3">
        <v>46.417640686035099</v>
      </c>
      <c r="O22">
        <v>46.974538581835603</v>
      </c>
      <c r="P22">
        <v>46.4078722475424</v>
      </c>
      <c r="Q22">
        <v>46.700973853181701</v>
      </c>
    </row>
    <row r="23" spans="1:17" x14ac:dyDescent="0.3">
      <c r="A23" s="1">
        <v>45628</v>
      </c>
      <c r="B23" s="3">
        <v>241.14521789550699</v>
      </c>
      <c r="C23" s="3">
        <v>245.06229757705901</v>
      </c>
      <c r="D23" s="3">
        <v>239.95050739723601</v>
      </c>
      <c r="E23" s="3">
        <v>244.376811621282</v>
      </c>
      <c r="G23" s="1">
        <v>45628</v>
      </c>
      <c r="H23" s="3">
        <v>127.4609375</v>
      </c>
      <c r="I23">
        <v>129.37727883256599</v>
      </c>
      <c r="J23">
        <v>127.266388169636</v>
      </c>
      <c r="K23">
        <v>128.69634875471201</v>
      </c>
      <c r="M23" s="1">
        <v>45628</v>
      </c>
      <c r="N23" s="3">
        <v>45.958446502685497</v>
      </c>
      <c r="O23">
        <v>46.720511372430103</v>
      </c>
      <c r="P23">
        <v>45.772812640678801</v>
      </c>
      <c r="Q23">
        <v>46.642352688681598</v>
      </c>
    </row>
    <row r="24" spans="1:17" x14ac:dyDescent="0.3">
      <c r="A24" s="1">
        <v>45629</v>
      </c>
      <c r="B24" s="3">
        <v>239.744857788085</v>
      </c>
      <c r="C24" s="3">
        <v>243.877362910377</v>
      </c>
      <c r="D24" s="3">
        <v>239.55879412118099</v>
      </c>
      <c r="E24" s="3">
        <v>243.08415670302401</v>
      </c>
      <c r="G24" s="1">
        <v>45629</v>
      </c>
      <c r="H24" s="3">
        <v>126.88701629638599</v>
      </c>
      <c r="I24">
        <v>129.562110502796</v>
      </c>
      <c r="J24">
        <v>126.468721120212</v>
      </c>
      <c r="K24">
        <v>129.562110502796</v>
      </c>
      <c r="M24" s="1">
        <v>45629</v>
      </c>
      <c r="N24" s="3">
        <v>45.743503570556598</v>
      </c>
      <c r="O24">
        <v>46.3883285507669</v>
      </c>
      <c r="P24">
        <v>45.577414038330502</v>
      </c>
      <c r="Q24">
        <v>46.2808570995671</v>
      </c>
    </row>
    <row r="25" spans="1:17" x14ac:dyDescent="0.3">
      <c r="A25" s="1">
        <v>45630</v>
      </c>
      <c r="B25" s="3">
        <v>238.35426330566401</v>
      </c>
      <c r="C25" s="3">
        <v>240.26385136934101</v>
      </c>
      <c r="D25" s="3">
        <v>237.20851943293999</v>
      </c>
      <c r="E25" s="3">
        <v>239.62731703395801</v>
      </c>
      <c r="G25" s="1">
        <v>45630</v>
      </c>
      <c r="H25" s="3">
        <v>126.44927978515599</v>
      </c>
      <c r="I25">
        <v>127.62631295366999</v>
      </c>
      <c r="J25">
        <v>126.10880730389</v>
      </c>
      <c r="K25">
        <v>126.64382912738</v>
      </c>
      <c r="M25" s="1">
        <v>45630</v>
      </c>
      <c r="N25" s="3">
        <v>45.3038520812988</v>
      </c>
      <c r="O25">
        <v>45.704425142941503</v>
      </c>
      <c r="P25">
        <v>45.069372288965504</v>
      </c>
      <c r="Q25">
        <v>45.616494289069202</v>
      </c>
    </row>
    <row r="26" spans="1:17" x14ac:dyDescent="0.3">
      <c r="A26" s="1">
        <v>45631</v>
      </c>
      <c r="B26" s="3">
        <v>240.39117431640599</v>
      </c>
      <c r="C26" s="3">
        <v>242.05593018179101</v>
      </c>
      <c r="D26" s="3">
        <v>239.54900159262601</v>
      </c>
      <c r="E26" s="3">
        <v>240.30304361033501</v>
      </c>
      <c r="G26" s="1">
        <v>45631</v>
      </c>
      <c r="H26" s="3">
        <v>126.770294189453</v>
      </c>
      <c r="I26">
        <v>128.26834046754399</v>
      </c>
      <c r="J26">
        <v>125.894799875649</v>
      </c>
      <c r="K26">
        <v>126.400640045191</v>
      </c>
      <c r="M26" s="1">
        <v>45631</v>
      </c>
      <c r="N26" s="3">
        <v>45.919368743896399</v>
      </c>
      <c r="O26">
        <v>46.153852266719198</v>
      </c>
      <c r="P26">
        <v>45.430864821089003</v>
      </c>
      <c r="Q26">
        <v>45.489486633542001</v>
      </c>
    </row>
    <row r="27" spans="1:17" x14ac:dyDescent="0.3">
      <c r="A27" s="1">
        <v>45632</v>
      </c>
      <c r="B27" s="3">
        <v>242.23220825195301</v>
      </c>
      <c r="C27" s="3">
        <v>242.604335603517</v>
      </c>
      <c r="D27" s="3">
        <v>239.76444386718401</v>
      </c>
      <c r="E27" s="3">
        <v>240.60661659692801</v>
      </c>
      <c r="G27" s="1">
        <v>45632</v>
      </c>
      <c r="H27" s="3">
        <v>126.420104980468</v>
      </c>
      <c r="I27">
        <v>127.013490154482</v>
      </c>
      <c r="J27">
        <v>125.661337271275</v>
      </c>
      <c r="K27">
        <v>126.964849105498</v>
      </c>
      <c r="M27" s="1">
        <v>45632</v>
      </c>
      <c r="N27" s="3">
        <v>45.929191589355398</v>
      </c>
      <c r="O27">
        <v>46.233750144795998</v>
      </c>
      <c r="P27">
        <v>45.5853381781492</v>
      </c>
      <c r="Q27">
        <v>46.233750144795998</v>
      </c>
    </row>
    <row r="28" spans="1:17" x14ac:dyDescent="0.3">
      <c r="A28" s="1">
        <v>45635</v>
      </c>
      <c r="B28" s="3">
        <v>238.75578308105401</v>
      </c>
      <c r="C28" s="3">
        <v>242.731616336933</v>
      </c>
      <c r="D28" s="3">
        <v>238.70681659937401</v>
      </c>
      <c r="E28" s="3">
        <v>242.00696620096801</v>
      </c>
      <c r="G28" s="1">
        <v>45635</v>
      </c>
      <c r="H28" s="3">
        <v>125.07769012451099</v>
      </c>
      <c r="I28">
        <v>127.20804043433699</v>
      </c>
      <c r="J28">
        <v>124.834499720982</v>
      </c>
      <c r="K28">
        <v>126.964850030807</v>
      </c>
      <c r="M28" s="1">
        <v>45635</v>
      </c>
      <c r="N28" s="3">
        <v>45.1039428710937</v>
      </c>
      <c r="O28">
        <v>45.929194864558298</v>
      </c>
      <c r="P28">
        <v>45.094120093382102</v>
      </c>
      <c r="Q28">
        <v>45.742532106266999</v>
      </c>
    </row>
    <row r="29" spans="1:17" x14ac:dyDescent="0.3">
      <c r="A29" s="1">
        <v>45636</v>
      </c>
      <c r="B29" s="3">
        <v>237.82546997070301</v>
      </c>
      <c r="C29" s="3">
        <v>242.819752048335</v>
      </c>
      <c r="D29" s="3">
        <v>237.19873788126199</v>
      </c>
      <c r="E29" s="3">
        <v>238.83411669367001</v>
      </c>
      <c r="G29" s="1">
        <v>45636</v>
      </c>
      <c r="H29" s="3">
        <v>123.33644104003901</v>
      </c>
      <c r="I29">
        <v>125.10686681046801</v>
      </c>
      <c r="J29">
        <v>123.083520952382</v>
      </c>
      <c r="K29">
        <v>124.153557201045</v>
      </c>
      <c r="M29" s="1">
        <v>45636</v>
      </c>
      <c r="N29" s="3">
        <v>44.946750640869098</v>
      </c>
      <c r="O29">
        <v>45.477270564279998</v>
      </c>
      <c r="P29">
        <v>44.789559968864502</v>
      </c>
      <c r="Q29">
        <v>45.103941312873701</v>
      </c>
    </row>
    <row r="30" spans="1:17" x14ac:dyDescent="0.3">
      <c r="A30" s="1">
        <v>45637</v>
      </c>
      <c r="B30" s="3">
        <v>238.48158264160099</v>
      </c>
      <c r="C30" s="3">
        <v>239.206247701585</v>
      </c>
      <c r="D30" s="3">
        <v>237.15956238226499</v>
      </c>
      <c r="E30" s="3">
        <v>238.94184066122301</v>
      </c>
      <c r="G30" s="1">
        <v>45637</v>
      </c>
      <c r="H30" s="3">
        <v>124.11464691162099</v>
      </c>
      <c r="I30">
        <v>124.464841675507</v>
      </c>
      <c r="J30">
        <v>122.84033161178</v>
      </c>
      <c r="K30">
        <v>124.270292327384</v>
      </c>
      <c r="M30" s="1">
        <v>45637</v>
      </c>
      <c r="N30" s="3">
        <v>45.270957946777301</v>
      </c>
      <c r="O30">
        <v>45.349551407941199</v>
      </c>
      <c r="P30">
        <v>44.671667346052502</v>
      </c>
      <c r="Q30">
        <v>45.192360737892201</v>
      </c>
    </row>
    <row r="31" spans="1:17" x14ac:dyDescent="0.3">
      <c r="A31" s="1">
        <v>45638</v>
      </c>
      <c r="B31" s="3">
        <v>236.52305603027301</v>
      </c>
      <c r="C31" s="3">
        <v>239.03978682734399</v>
      </c>
      <c r="D31" s="3">
        <v>236.04320840347501</v>
      </c>
      <c r="E31" s="3">
        <v>237.962583968194</v>
      </c>
      <c r="G31" s="1">
        <v>45638</v>
      </c>
      <c r="H31" s="3">
        <v>124.42592620849599</v>
      </c>
      <c r="I31">
        <v>125.320865001426</v>
      </c>
      <c r="J31">
        <v>123.890904418384</v>
      </c>
      <c r="K31">
        <v>124.40646682253799</v>
      </c>
      <c r="M31" s="1">
        <v>45638</v>
      </c>
      <c r="N31" s="3">
        <v>45.270957946777301</v>
      </c>
      <c r="O31">
        <v>45.6541099707893</v>
      </c>
      <c r="P31">
        <v>45.113763529007102</v>
      </c>
      <c r="Q31">
        <v>45.329902105719903</v>
      </c>
    </row>
    <row r="32" spans="1:17" x14ac:dyDescent="0.3">
      <c r="A32" s="1">
        <v>45639</v>
      </c>
      <c r="B32" s="3">
        <v>234.96600341796801</v>
      </c>
      <c r="C32" s="3">
        <v>237.68837232699499</v>
      </c>
      <c r="D32" s="3">
        <v>234.182584572086</v>
      </c>
      <c r="E32" s="3">
        <v>237.05185291985501</v>
      </c>
      <c r="G32" s="1">
        <v>45639</v>
      </c>
      <c r="H32" s="3">
        <v>123.92982482910099</v>
      </c>
      <c r="I32">
        <v>125.301414776128</v>
      </c>
      <c r="J32">
        <v>123.258616974541</v>
      </c>
      <c r="K32">
        <v>124.513480283614</v>
      </c>
      <c r="M32" s="1">
        <v>45639</v>
      </c>
      <c r="N32" s="3">
        <v>44.868148803710902</v>
      </c>
      <c r="O32">
        <v>45.290599393853199</v>
      </c>
      <c r="P32">
        <v>44.583243316643497</v>
      </c>
      <c r="Q32">
        <v>45.280776617493999</v>
      </c>
    </row>
    <row r="33" spans="1:17" x14ac:dyDescent="0.3">
      <c r="A33" s="1">
        <v>45642</v>
      </c>
      <c r="B33" s="3">
        <v>234.61346435546801</v>
      </c>
      <c r="C33" s="3">
        <v>235.68086486892</v>
      </c>
      <c r="D33" s="3">
        <v>232.59617092491601</v>
      </c>
      <c r="E33" s="3">
        <v>235.62211107074401</v>
      </c>
      <c r="G33" s="1">
        <v>45642</v>
      </c>
      <c r="H33" s="3">
        <v>125.515426635742</v>
      </c>
      <c r="I33">
        <v>125.787798693197</v>
      </c>
      <c r="J33">
        <v>123.92009822357799</v>
      </c>
      <c r="K33">
        <v>124.26056329539701</v>
      </c>
      <c r="M33" s="1">
        <v>45642</v>
      </c>
      <c r="N33" s="3">
        <v>44.671665191650298</v>
      </c>
      <c r="O33">
        <v>44.877977233442103</v>
      </c>
      <c r="P33">
        <v>44.367106643490402</v>
      </c>
      <c r="Q33">
        <v>44.789557251571203</v>
      </c>
    </row>
    <row r="34" spans="1:17" x14ac:dyDescent="0.3">
      <c r="A34" s="1">
        <v>45643</v>
      </c>
      <c r="B34" s="3">
        <v>233.41876220703099</v>
      </c>
      <c r="C34" s="3">
        <v>234.06508389467601</v>
      </c>
      <c r="D34" s="3">
        <v>231.72462954923799</v>
      </c>
      <c r="E34" s="3">
        <v>233.70274388904201</v>
      </c>
      <c r="G34" s="1">
        <v>45643</v>
      </c>
      <c r="H34" s="3">
        <v>124.260566711425</v>
      </c>
      <c r="I34">
        <v>125.194416971907</v>
      </c>
      <c r="J34">
        <v>123.71582258154</v>
      </c>
      <c r="K34">
        <v>124.61076890838601</v>
      </c>
      <c r="M34" s="1">
        <v>45643</v>
      </c>
      <c r="N34" s="3">
        <v>44.259040832519503</v>
      </c>
      <c r="O34">
        <v>44.396582204504298</v>
      </c>
      <c r="P34">
        <v>43.836590191296999</v>
      </c>
      <c r="Q34">
        <v>44.396582204504298</v>
      </c>
    </row>
    <row r="35" spans="1:17" x14ac:dyDescent="0.3">
      <c r="A35" s="1">
        <v>45644</v>
      </c>
      <c r="B35" s="3">
        <v>225.59440612792901</v>
      </c>
      <c r="C35" s="3">
        <v>234.114066364726</v>
      </c>
      <c r="D35" s="3">
        <v>224.771822983368</v>
      </c>
      <c r="E35" s="3">
        <v>234.04551029810901</v>
      </c>
      <c r="G35" s="1">
        <v>45644</v>
      </c>
      <c r="H35" s="3">
        <v>117.74305725097599</v>
      </c>
      <c r="I35">
        <v>124.892853058868</v>
      </c>
      <c r="J35">
        <v>117.01348609871</v>
      </c>
      <c r="K35">
        <v>124.66912206159201</v>
      </c>
      <c r="M35" s="1">
        <v>45644</v>
      </c>
      <c r="N35" s="3">
        <v>42.736251831054602</v>
      </c>
      <c r="O35">
        <v>44.632366292572001</v>
      </c>
      <c r="P35">
        <v>42.588883946341902</v>
      </c>
      <c r="Q35">
        <v>44.347457047578601</v>
      </c>
    </row>
    <row r="36" spans="1:17" x14ac:dyDescent="0.3">
      <c r="A36" s="1">
        <v>45645</v>
      </c>
      <c r="B36" s="3">
        <v>228.13070678710901</v>
      </c>
      <c r="C36" s="3">
        <v>231.460218241105</v>
      </c>
      <c r="D36" s="3">
        <v>227.45500821178999</v>
      </c>
      <c r="E36" s="3">
        <v>227.45500821178999</v>
      </c>
      <c r="G36" s="1">
        <v>45645</v>
      </c>
      <c r="H36" s="3">
        <v>117.217765808105</v>
      </c>
      <c r="I36">
        <v>121.536829429384</v>
      </c>
      <c r="J36">
        <v>117.023216468342</v>
      </c>
      <c r="K36">
        <v>121.38118402030899</v>
      </c>
      <c r="M36" s="1">
        <v>45645</v>
      </c>
      <c r="N36" s="3">
        <v>42.618358612060497</v>
      </c>
      <c r="O36">
        <v>43.699043911472998</v>
      </c>
      <c r="P36">
        <v>42.549587933791798</v>
      </c>
      <c r="Q36">
        <v>43.197999862983401</v>
      </c>
    </row>
    <row r="37" spans="1:17" x14ac:dyDescent="0.3">
      <c r="A37" s="1">
        <v>45646</v>
      </c>
      <c r="B37" s="3">
        <v>232.67453002929599</v>
      </c>
      <c r="C37" s="3">
        <v>234.25115513761901</v>
      </c>
      <c r="D37" s="3">
        <v>226.78910847303999</v>
      </c>
      <c r="E37" s="3">
        <v>227.11226932732001</v>
      </c>
      <c r="G37" s="1">
        <v>45646</v>
      </c>
      <c r="H37" s="3">
        <v>120.07769775390599</v>
      </c>
      <c r="I37">
        <v>121.147734060556</v>
      </c>
      <c r="J37">
        <v>117.246957853626</v>
      </c>
      <c r="K37">
        <v>117.89870636330799</v>
      </c>
      <c r="M37" s="1">
        <v>45646</v>
      </c>
      <c r="N37" s="3">
        <v>43.39448928833</v>
      </c>
      <c r="O37">
        <v>43.620454391850302</v>
      </c>
      <c r="P37">
        <v>42.343275971137501</v>
      </c>
      <c r="Q37">
        <v>42.441522483042199</v>
      </c>
    </row>
    <row r="38" spans="1:17" x14ac:dyDescent="0.3">
      <c r="A38" s="1">
        <v>45649</v>
      </c>
      <c r="B38" s="3">
        <v>233.448150634765</v>
      </c>
      <c r="C38" s="3">
        <v>233.67337852765201</v>
      </c>
      <c r="D38" s="3">
        <v>230.01091866842</v>
      </c>
      <c r="E38" s="3">
        <v>231.17625223907501</v>
      </c>
      <c r="G38" s="1">
        <v>45649</v>
      </c>
      <c r="H38" s="3">
        <v>121.060173034667</v>
      </c>
      <c r="I38">
        <v>121.274181765075</v>
      </c>
      <c r="J38">
        <v>119.44539270614</v>
      </c>
      <c r="K38">
        <v>119.74694641448799</v>
      </c>
      <c r="M38" s="1">
        <v>45649</v>
      </c>
      <c r="N38" s="3">
        <v>43.1194038391113</v>
      </c>
      <c r="O38">
        <v>43.335542403989798</v>
      </c>
      <c r="P38">
        <v>42.028891985727697</v>
      </c>
      <c r="Q38">
        <v>43.129230363544501</v>
      </c>
    </row>
    <row r="39" spans="1:17" x14ac:dyDescent="0.3">
      <c r="A39" s="1">
        <v>45650</v>
      </c>
      <c r="B39" s="3">
        <v>237.28688049316401</v>
      </c>
      <c r="C39" s="3">
        <v>237.46315684035801</v>
      </c>
      <c r="D39" s="3">
        <v>234.11405566839699</v>
      </c>
      <c r="E39" s="3">
        <v>234.46657847783999</v>
      </c>
      <c r="G39" s="1">
        <v>45650</v>
      </c>
      <c r="H39" s="3">
        <v>123.599082946777</v>
      </c>
      <c r="I39">
        <v>123.754728360635</v>
      </c>
      <c r="J39">
        <v>121.196360676807</v>
      </c>
      <c r="K39">
        <v>121.6632894968</v>
      </c>
      <c r="M39" s="1">
        <v>45650</v>
      </c>
      <c r="N39" s="3">
        <v>43.600803375244098</v>
      </c>
      <c r="O39">
        <v>43.640098230739802</v>
      </c>
      <c r="P39">
        <v>43.158703458357699</v>
      </c>
      <c r="Q39">
        <v>43.158703458357699</v>
      </c>
    </row>
    <row r="40" spans="1:17" x14ac:dyDescent="0.3">
      <c r="A40" s="1">
        <v>45652</v>
      </c>
      <c r="B40" s="3">
        <v>238.09967041015599</v>
      </c>
      <c r="C40" s="3">
        <v>238.217178010406</v>
      </c>
      <c r="D40" s="3">
        <v>235.798380288771</v>
      </c>
      <c r="E40" s="3">
        <v>236.425112394227</v>
      </c>
      <c r="G40" s="1">
        <v>45652</v>
      </c>
      <c r="H40" s="3">
        <v>124.542663574218</v>
      </c>
      <c r="I40">
        <v>124.678849601336</v>
      </c>
      <c r="J40">
        <v>123.04460985434601</v>
      </c>
      <c r="K40">
        <v>123.083521208034</v>
      </c>
      <c r="M40" s="1">
        <v>45652</v>
      </c>
      <c r="N40" s="3">
        <v>43.767818450927699</v>
      </c>
      <c r="O40">
        <v>43.797294278301003</v>
      </c>
      <c r="P40">
        <v>43.335545042571802</v>
      </c>
      <c r="Q40">
        <v>43.4337878065596</v>
      </c>
    </row>
    <row r="41" spans="1:17" x14ac:dyDescent="0.3">
      <c r="A41" s="1">
        <v>45653</v>
      </c>
      <c r="B41" s="3">
        <v>236.17050170898401</v>
      </c>
      <c r="C41" s="3">
        <v>238.344481914103</v>
      </c>
      <c r="D41" s="3">
        <v>235.063922026048</v>
      </c>
      <c r="E41" s="3">
        <v>237.68837292498699</v>
      </c>
      <c r="G41" s="1">
        <v>45653</v>
      </c>
      <c r="H41" s="3">
        <v>123.307258605957</v>
      </c>
      <c r="I41">
        <v>124.3772948479</v>
      </c>
      <c r="J41">
        <v>122.392860355883</v>
      </c>
      <c r="K41">
        <v>123.589360351651</v>
      </c>
      <c r="M41" s="1">
        <v>45653</v>
      </c>
      <c r="N41" s="3">
        <v>43.561504364013601</v>
      </c>
      <c r="O41">
        <v>43.993777752186503</v>
      </c>
      <c r="P41">
        <v>43.2864216395146</v>
      </c>
      <c r="Q41">
        <v>43.463261604612903</v>
      </c>
    </row>
    <row r="42" spans="1:17" x14ac:dyDescent="0.3">
      <c r="A42" s="1">
        <v>45656</v>
      </c>
      <c r="B42" s="3">
        <v>234.35887145996</v>
      </c>
      <c r="C42" s="3">
        <v>235.84735089742401</v>
      </c>
      <c r="D42" s="3">
        <v>232.194678481815</v>
      </c>
      <c r="E42" s="3">
        <v>233.820270045266</v>
      </c>
      <c r="G42" s="1">
        <v>45656</v>
      </c>
      <c r="H42" s="3">
        <v>122.3247756958</v>
      </c>
      <c r="I42">
        <v>122.723611528818</v>
      </c>
      <c r="J42">
        <v>120.641894800453</v>
      </c>
      <c r="K42">
        <v>121.157464701531</v>
      </c>
      <c r="M42" s="1">
        <v>45656</v>
      </c>
      <c r="N42" s="3">
        <v>43.139053344726499</v>
      </c>
      <c r="O42">
        <v>43.365014687388197</v>
      </c>
      <c r="P42">
        <v>42.785373417874801</v>
      </c>
      <c r="Q42">
        <v>43.119404043487997</v>
      </c>
    </row>
    <row r="43" spans="1:17" x14ac:dyDescent="0.3">
      <c r="A43" s="1">
        <v>45657</v>
      </c>
      <c r="B43" s="3">
        <v>234.74078369140599</v>
      </c>
      <c r="C43" s="3">
        <v>236.43491635792401</v>
      </c>
      <c r="D43" s="3">
        <v>234.07487241942499</v>
      </c>
      <c r="E43" s="3">
        <v>235.07373185616001</v>
      </c>
      <c r="G43" s="1">
        <v>45657</v>
      </c>
      <c r="H43" s="3">
        <v>122.29557800292901</v>
      </c>
      <c r="I43">
        <v>123.37534387079801</v>
      </c>
      <c r="J43">
        <v>121.789737862561</v>
      </c>
      <c r="K43">
        <v>122.88896311668</v>
      </c>
      <c r="M43" s="1">
        <v>45657</v>
      </c>
      <c r="N43" s="3">
        <v>43.178352355957003</v>
      </c>
      <c r="O43">
        <v>43.453435080458597</v>
      </c>
      <c r="P43">
        <v>42.9425644865834</v>
      </c>
      <c r="Q43">
        <v>43.266772338506897</v>
      </c>
    </row>
    <row r="44" spans="1:17" x14ac:dyDescent="0.3">
      <c r="A44" s="1">
        <v>45659</v>
      </c>
      <c r="B44" s="3">
        <v>235.02474975585901</v>
      </c>
      <c r="C44" s="3">
        <v>238.236753473791</v>
      </c>
      <c r="D44" s="3">
        <v>234.486148382507</v>
      </c>
      <c r="E44" s="3">
        <v>235.92567617015999</v>
      </c>
      <c r="G44" s="1">
        <v>45659</v>
      </c>
      <c r="H44" s="3">
        <v>121.38118743896401</v>
      </c>
      <c r="I44">
        <v>123.813091362398</v>
      </c>
      <c r="J44">
        <v>120.826713641285</v>
      </c>
      <c r="K44">
        <v>123.064068219476</v>
      </c>
      <c r="M44" s="1">
        <v>45659</v>
      </c>
      <c r="N44" s="3">
        <v>43.512382507324197</v>
      </c>
      <c r="O44">
        <v>43.807114530016598</v>
      </c>
      <c r="P44">
        <v>43.030983997007098</v>
      </c>
      <c r="Q44">
        <v>43.3650146221174</v>
      </c>
    </row>
    <row r="45" spans="1:17" x14ac:dyDescent="0.3">
      <c r="A45" s="1">
        <v>45660</v>
      </c>
      <c r="B45" s="3">
        <v>238.23677062988199</v>
      </c>
      <c r="C45" s="3">
        <v>239.80360838474201</v>
      </c>
      <c r="D45" s="3">
        <v>235.279371465259</v>
      </c>
      <c r="E45" s="3">
        <v>238.83412584289499</v>
      </c>
      <c r="G45" s="1">
        <v>45660</v>
      </c>
      <c r="H45" s="3">
        <v>122.509590148925</v>
      </c>
      <c r="I45">
        <v>122.56795346614599</v>
      </c>
      <c r="J45">
        <v>120.70025309927</v>
      </c>
      <c r="K45">
        <v>122.22748841305599</v>
      </c>
      <c r="M45" s="1">
        <v>45660</v>
      </c>
      <c r="N45" s="3">
        <v>44.0232543945312</v>
      </c>
      <c r="O45">
        <v>44.062549250387598</v>
      </c>
      <c r="P45">
        <v>43.374842426387602</v>
      </c>
      <c r="Q45">
        <v>43.964306489164997</v>
      </c>
    </row>
    <row r="46" spans="1:17" x14ac:dyDescent="0.3">
      <c r="A46" s="1">
        <v>45663</v>
      </c>
      <c r="B46" s="3">
        <v>237.07528686523401</v>
      </c>
      <c r="C46" s="3">
        <v>241.839428410403</v>
      </c>
      <c r="D46" s="3">
        <v>236.80951423195</v>
      </c>
      <c r="E46" s="3">
        <v>239.88061125782099</v>
      </c>
      <c r="G46" s="1">
        <v>45663</v>
      </c>
      <c r="H46" s="3">
        <v>125.13604736328099</v>
      </c>
      <c r="I46">
        <v>126.410362640922</v>
      </c>
      <c r="J46">
        <v>124.15355610274</v>
      </c>
      <c r="K46">
        <v>124.15355610274</v>
      </c>
      <c r="M46" s="1">
        <v>45663</v>
      </c>
      <c r="N46" s="3">
        <v>44.602893829345703</v>
      </c>
      <c r="O46">
        <v>45.339725751101</v>
      </c>
      <c r="P46">
        <v>44.308158062466802</v>
      </c>
      <c r="Q46">
        <v>44.367105965386699</v>
      </c>
    </row>
    <row r="47" spans="1:17" x14ac:dyDescent="0.3">
      <c r="A47" s="1">
        <v>45664</v>
      </c>
      <c r="B47" s="3">
        <v>239.35890197753901</v>
      </c>
      <c r="C47" s="3">
        <v>241.41614272410101</v>
      </c>
      <c r="D47" s="3">
        <v>237.124474481417</v>
      </c>
      <c r="E47" s="3">
        <v>238.345045915084</v>
      </c>
      <c r="G47" s="1">
        <v>45664</v>
      </c>
      <c r="H47" s="3">
        <v>123.42398071289</v>
      </c>
      <c r="I47">
        <v>126.12826401045901</v>
      </c>
      <c r="J47">
        <v>122.04266111634099</v>
      </c>
      <c r="K47">
        <v>126.118526895499</v>
      </c>
      <c r="M47" s="1">
        <v>45664</v>
      </c>
      <c r="N47" s="3">
        <v>45.270957946777301</v>
      </c>
      <c r="O47">
        <v>45.830949943059601</v>
      </c>
      <c r="P47">
        <v>44.848507318322802</v>
      </c>
      <c r="Q47">
        <v>45.467443473547704</v>
      </c>
    </row>
    <row r="48" spans="1:17" x14ac:dyDescent="0.3">
      <c r="A48" s="1">
        <v>45665</v>
      </c>
      <c r="B48" s="3">
        <v>239.31954956054599</v>
      </c>
      <c r="C48" s="3">
        <v>240.421991552782</v>
      </c>
      <c r="D48" s="3">
        <v>236.73076343272899</v>
      </c>
      <c r="E48" s="3">
        <v>238.945500304761</v>
      </c>
      <c r="G48" s="1">
        <v>45665</v>
      </c>
      <c r="H48" s="3">
        <v>124.377296447753</v>
      </c>
      <c r="I48">
        <v>124.513482475484</v>
      </c>
      <c r="J48">
        <v>122.334498610206</v>
      </c>
      <c r="K48">
        <v>123.45317591363801</v>
      </c>
      <c r="M48" s="1">
        <v>45665</v>
      </c>
      <c r="N48" s="3">
        <v>45.398670196533203</v>
      </c>
      <c r="O48">
        <v>45.447791575419998</v>
      </c>
      <c r="P48">
        <v>44.887799611123597</v>
      </c>
      <c r="Q48">
        <v>45.094115398802003</v>
      </c>
    </row>
    <row r="49" spans="1:17" x14ac:dyDescent="0.3">
      <c r="A49" s="1">
        <v>45667</v>
      </c>
      <c r="B49" s="3">
        <v>236.11061096191401</v>
      </c>
      <c r="C49" s="3">
        <v>239.98886335933199</v>
      </c>
      <c r="D49" s="3">
        <v>234.998331202294</v>
      </c>
      <c r="E49" s="3">
        <v>239.28014642276599</v>
      </c>
      <c r="G49" s="1">
        <v>45667</v>
      </c>
      <c r="H49" s="3">
        <v>120.08740997314401</v>
      </c>
      <c r="I49">
        <v>123.054335659253</v>
      </c>
      <c r="J49">
        <v>119.93177198489199</v>
      </c>
      <c r="K49">
        <v>122.869508590471</v>
      </c>
      <c r="M49" s="1">
        <v>45667</v>
      </c>
      <c r="N49" s="3">
        <v>44.317985534667898</v>
      </c>
      <c r="O49">
        <v>45.241480213839701</v>
      </c>
      <c r="P49">
        <v>43.954482828189398</v>
      </c>
      <c r="Q49">
        <v>45.1923588342163</v>
      </c>
    </row>
    <row r="50" spans="1:17" x14ac:dyDescent="0.3">
      <c r="A50" s="1">
        <v>45670</v>
      </c>
      <c r="B50" s="3">
        <v>240.38261413574199</v>
      </c>
      <c r="C50" s="3">
        <v>240.707428978255</v>
      </c>
      <c r="D50" s="3">
        <v>235.254261492062</v>
      </c>
      <c r="E50" s="3">
        <v>235.91375908384501</v>
      </c>
      <c r="G50" s="1">
        <v>45670</v>
      </c>
      <c r="H50" s="3">
        <v>120.612701416015</v>
      </c>
      <c r="I50">
        <v>120.91426254046399</v>
      </c>
      <c r="J50">
        <v>119.114647751969</v>
      </c>
      <c r="K50">
        <v>119.114647751969</v>
      </c>
      <c r="M50" s="1">
        <v>45670</v>
      </c>
      <c r="N50" s="3">
        <v>44.268863677978501</v>
      </c>
      <c r="O50">
        <v>44.543946399082003</v>
      </c>
      <c r="P50">
        <v>43.9053572276962</v>
      </c>
      <c r="Q50">
        <v>44.3081585326211</v>
      </c>
    </row>
    <row r="51" spans="1:17" x14ac:dyDescent="0.3">
      <c r="A51" s="1">
        <v>45671</v>
      </c>
      <c r="B51" s="3">
        <v>243.59150695800699</v>
      </c>
      <c r="C51" s="3">
        <v>243.837588812127</v>
      </c>
      <c r="D51" s="3">
        <v>238.39425940056199</v>
      </c>
      <c r="E51" s="3">
        <v>238.856894487879</v>
      </c>
      <c r="G51" s="1">
        <v>45671</v>
      </c>
      <c r="H51" s="3">
        <v>121.22555541992099</v>
      </c>
      <c r="I51">
        <v>121.98430829396401</v>
      </c>
      <c r="J51">
        <v>120.320886818967</v>
      </c>
      <c r="K51">
        <v>121.98430829396401</v>
      </c>
      <c r="M51" s="1">
        <v>45671</v>
      </c>
      <c r="N51" s="3">
        <v>44.976222991943303</v>
      </c>
      <c r="O51">
        <v>45.113764362311599</v>
      </c>
      <c r="P51">
        <v>44.435880287901597</v>
      </c>
      <c r="Q51">
        <v>44.799383016406601</v>
      </c>
    </row>
    <row r="52" spans="1:17" x14ac:dyDescent="0.3">
      <c r="A52" s="1">
        <v>45672</v>
      </c>
      <c r="B52" s="3">
        <v>248.39503479003901</v>
      </c>
      <c r="C52" s="3">
        <v>249.694339196952</v>
      </c>
      <c r="D52" s="3">
        <v>239.860902692064</v>
      </c>
      <c r="E52" s="3">
        <v>246.47558427174599</v>
      </c>
      <c r="G52" s="1">
        <v>45672</v>
      </c>
      <c r="H52" s="3">
        <v>126.99403381347599</v>
      </c>
      <c r="I52">
        <v>127.859791070779</v>
      </c>
      <c r="J52">
        <v>124.960965568362</v>
      </c>
      <c r="K52">
        <v>126.176917606324</v>
      </c>
      <c r="M52" s="1">
        <v>45672</v>
      </c>
      <c r="N52" s="3">
        <v>46.273048400878899</v>
      </c>
      <c r="O52">
        <v>46.626728362807</v>
      </c>
      <c r="P52">
        <v>46.017614954887101</v>
      </c>
      <c r="Q52">
        <v>46.2926977040661</v>
      </c>
    </row>
    <row r="53" spans="1:17" x14ac:dyDescent="0.3">
      <c r="A53" s="1">
        <v>45673</v>
      </c>
      <c r="B53" s="3">
        <v>250.28494262695301</v>
      </c>
      <c r="C53" s="3">
        <v>253.01153384400601</v>
      </c>
      <c r="D53" s="3">
        <v>248.375344988282</v>
      </c>
      <c r="E53" s="3">
        <v>250.019170012384</v>
      </c>
      <c r="G53" s="1">
        <v>45673</v>
      </c>
      <c r="H53" s="3">
        <v>132.11076354980401</v>
      </c>
      <c r="I53">
        <v>132.44149896406199</v>
      </c>
      <c r="J53">
        <v>128.30726175634501</v>
      </c>
      <c r="K53">
        <v>128.74501639404701</v>
      </c>
      <c r="M53" s="1">
        <v>45673</v>
      </c>
      <c r="N53" s="3">
        <v>45.8211250305175</v>
      </c>
      <c r="O53">
        <v>46.675849094754</v>
      </c>
      <c r="P53">
        <v>45.015522349702202</v>
      </c>
      <c r="Q53">
        <v>46.174804987503997</v>
      </c>
    </row>
    <row r="54" spans="1:17" x14ac:dyDescent="0.3">
      <c r="A54" s="1">
        <v>45674</v>
      </c>
      <c r="B54" s="3">
        <v>255.09829711914</v>
      </c>
      <c r="C54" s="3">
        <v>256.53540673766202</v>
      </c>
      <c r="D54" s="3">
        <v>248.18831444292201</v>
      </c>
      <c r="E54" s="3">
        <v>250.156969277884</v>
      </c>
      <c r="G54" s="1">
        <v>45674</v>
      </c>
      <c r="H54" s="3">
        <v>134.11463928222599</v>
      </c>
      <c r="I54">
        <v>134.31892575263001</v>
      </c>
      <c r="J54">
        <v>130.86561904631901</v>
      </c>
      <c r="K54">
        <v>132.45122523061499</v>
      </c>
      <c r="M54" s="1">
        <v>45674</v>
      </c>
      <c r="N54" s="3">
        <v>45.713054656982401</v>
      </c>
      <c r="O54">
        <v>46.056911828239002</v>
      </c>
      <c r="P54">
        <v>45.270958468928697</v>
      </c>
      <c r="Q54">
        <v>45.791651866773996</v>
      </c>
    </row>
    <row r="55" spans="1:17" x14ac:dyDescent="0.3">
      <c r="A55" s="1">
        <v>45678</v>
      </c>
      <c r="B55" s="3">
        <v>258.907623291015</v>
      </c>
      <c r="C55" s="3">
        <v>260.10850386711002</v>
      </c>
      <c r="D55" s="3">
        <v>255.43294892531699</v>
      </c>
      <c r="E55" s="3">
        <v>255.99402272776101</v>
      </c>
      <c r="G55" s="1">
        <v>45678</v>
      </c>
      <c r="H55" s="3">
        <v>133.56016540527301</v>
      </c>
      <c r="I55">
        <v>133.87144138660699</v>
      </c>
      <c r="J55">
        <v>131.604905166408</v>
      </c>
      <c r="K55">
        <v>132.72358986838901</v>
      </c>
      <c r="M55" s="1">
        <v>45678</v>
      </c>
      <c r="N55" s="3">
        <v>45.840770721435497</v>
      </c>
      <c r="O55">
        <v>46.322169235562598</v>
      </c>
      <c r="P55">
        <v>45.722878660969698</v>
      </c>
      <c r="Q55">
        <v>45.801472118706599</v>
      </c>
    </row>
    <row r="56" spans="1:17" x14ac:dyDescent="0.3">
      <c r="A56" s="1">
        <v>45679</v>
      </c>
      <c r="B56" s="3">
        <v>258.72064208984301</v>
      </c>
      <c r="C56" s="3">
        <v>259.25218736233899</v>
      </c>
      <c r="D56" s="3">
        <v>256.17123741442998</v>
      </c>
      <c r="E56" s="3">
        <v>258.77969933797698</v>
      </c>
      <c r="G56" s="1">
        <v>45679</v>
      </c>
      <c r="H56" s="3">
        <v>132.29559326171801</v>
      </c>
      <c r="I56">
        <v>134.610770893611</v>
      </c>
      <c r="J56">
        <v>132.12050327770899</v>
      </c>
      <c r="K56">
        <v>133.52126767927999</v>
      </c>
      <c r="M56" s="1">
        <v>45679</v>
      </c>
      <c r="N56" s="3">
        <v>44.986045837402301</v>
      </c>
      <c r="O56">
        <v>45.909540496994801</v>
      </c>
      <c r="P56">
        <v>44.956570012076298</v>
      </c>
      <c r="Q56">
        <v>45.781821914504903</v>
      </c>
    </row>
    <row r="57" spans="1:17" x14ac:dyDescent="0.3">
      <c r="A57" s="1">
        <v>45680</v>
      </c>
      <c r="B57" s="3">
        <v>261.78189086914</v>
      </c>
      <c r="C57" s="3">
        <v>262.67760239191301</v>
      </c>
      <c r="D57" s="3">
        <v>259.67541575937599</v>
      </c>
      <c r="E57" s="3">
        <v>260.54162870023998</v>
      </c>
      <c r="G57" s="1">
        <v>45680</v>
      </c>
      <c r="H57" s="3">
        <v>134.04655456542901</v>
      </c>
      <c r="I57">
        <v>134.435653277211</v>
      </c>
      <c r="J57">
        <v>132.266399014858</v>
      </c>
      <c r="K57">
        <v>132.266399014858</v>
      </c>
      <c r="M57" s="1">
        <v>45680</v>
      </c>
      <c r="N57" s="3">
        <v>45.575511932372997</v>
      </c>
      <c r="O57">
        <v>46.066733235800598</v>
      </c>
      <c r="P57">
        <v>45.241481296133401</v>
      </c>
      <c r="Q57">
        <v>45.241481296133401</v>
      </c>
    </row>
    <row r="58" spans="1:17" x14ac:dyDescent="0.3">
      <c r="A58" s="1">
        <v>45681</v>
      </c>
      <c r="B58" s="3">
        <v>260.68930053710898</v>
      </c>
      <c r="C58" s="3">
        <v>262.91389037684098</v>
      </c>
      <c r="D58" s="3">
        <v>258.88799436692</v>
      </c>
      <c r="E58" s="3">
        <v>259.55732988070599</v>
      </c>
      <c r="G58" s="1">
        <v>45681</v>
      </c>
      <c r="H58" s="3">
        <v>134.06600952148401</v>
      </c>
      <c r="I58">
        <v>135.25276500613001</v>
      </c>
      <c r="J58">
        <v>132.752775437102</v>
      </c>
      <c r="K58">
        <v>132.752775437102</v>
      </c>
      <c r="M58" s="1">
        <v>45681</v>
      </c>
      <c r="N58" s="3">
        <v>45.703231811523402</v>
      </c>
      <c r="O58">
        <v>46.037262457197698</v>
      </c>
      <c r="P58">
        <v>45.339729086081697</v>
      </c>
      <c r="Q58">
        <v>45.418322548035</v>
      </c>
    </row>
    <row r="59" spans="1:17" x14ac:dyDescent="0.3">
      <c r="A59" s="1">
        <v>45684</v>
      </c>
      <c r="B59" s="3">
        <v>261.68344116210898</v>
      </c>
      <c r="C59" s="3">
        <v>261.80155564195599</v>
      </c>
      <c r="D59" s="3">
        <v>258.14970945667199</v>
      </c>
      <c r="E59" s="3">
        <v>260.029778365673</v>
      </c>
      <c r="G59" s="1">
        <v>45684</v>
      </c>
      <c r="H59" s="3">
        <v>132.92787170410099</v>
      </c>
      <c r="I59">
        <v>133.03487607785399</v>
      </c>
      <c r="J59">
        <v>130.46678595095699</v>
      </c>
      <c r="K59">
        <v>131.575733622954</v>
      </c>
      <c r="M59" s="1">
        <v>45684</v>
      </c>
      <c r="N59" s="3">
        <v>46.263221740722599</v>
      </c>
      <c r="O59">
        <v>46.312343120707801</v>
      </c>
      <c r="P59">
        <v>45.565688400857802</v>
      </c>
      <c r="Q59">
        <v>45.732701842351702</v>
      </c>
    </row>
    <row r="60" spans="1:17" x14ac:dyDescent="0.3">
      <c r="A60" s="1">
        <v>45685</v>
      </c>
      <c r="B60" s="3">
        <v>262.95324707031199</v>
      </c>
      <c r="C60" s="3">
        <v>263.14024164800003</v>
      </c>
      <c r="D60" s="3">
        <v>260.67942304491299</v>
      </c>
      <c r="E60" s="3">
        <v>261.68345626011802</v>
      </c>
      <c r="G60" s="1">
        <v>45685</v>
      </c>
      <c r="H60" s="3">
        <v>134.76638793945301</v>
      </c>
      <c r="I60">
        <v>135.05821939329701</v>
      </c>
      <c r="J60">
        <v>131.94538518634499</v>
      </c>
      <c r="K60">
        <v>132.36368040025999</v>
      </c>
      <c r="M60" s="1">
        <v>45685</v>
      </c>
      <c r="N60" s="3">
        <v>46.017608642578097</v>
      </c>
      <c r="O60">
        <v>46.607072666453</v>
      </c>
      <c r="P60">
        <v>45.889890063240898</v>
      </c>
      <c r="Q60">
        <v>46.253396500760601</v>
      </c>
    </row>
    <row r="61" spans="1:17" x14ac:dyDescent="0.3">
      <c r="A61" s="1">
        <v>45686</v>
      </c>
      <c r="B61" s="3">
        <v>262.40200805664</v>
      </c>
      <c r="C61" s="3">
        <v>266.43775675796002</v>
      </c>
      <c r="D61" s="3">
        <v>261.44720919344502</v>
      </c>
      <c r="E61" s="3">
        <v>263.02213917923899</v>
      </c>
      <c r="G61" s="1">
        <v>45686</v>
      </c>
      <c r="H61" s="3">
        <v>134.93176269531199</v>
      </c>
      <c r="I61">
        <v>137.626301532963</v>
      </c>
      <c r="J61">
        <v>134.416185412126</v>
      </c>
      <c r="K61">
        <v>134.698294577067</v>
      </c>
      <c r="M61" s="1">
        <v>45686</v>
      </c>
      <c r="N61" s="3">
        <v>45.929191589355398</v>
      </c>
      <c r="O61">
        <v>46.557954254258803</v>
      </c>
      <c r="P61">
        <v>45.821122303627398</v>
      </c>
      <c r="Q61">
        <v>45.929191589355398</v>
      </c>
    </row>
    <row r="62" spans="1:17" x14ac:dyDescent="0.3">
      <c r="A62" s="1">
        <v>45687</v>
      </c>
      <c r="B62" s="3">
        <v>264.02615356445301</v>
      </c>
      <c r="C62" s="3">
        <v>265.47311606730699</v>
      </c>
      <c r="D62" s="3">
        <v>262.44137080452299</v>
      </c>
      <c r="E62" s="3">
        <v>264.41987852292999</v>
      </c>
      <c r="G62" s="1">
        <v>45687</v>
      </c>
      <c r="H62" s="3">
        <v>136.12826538085901</v>
      </c>
      <c r="I62">
        <v>136.66328724797199</v>
      </c>
      <c r="J62">
        <v>135.106862696946</v>
      </c>
      <c r="K62">
        <v>136.001801618678</v>
      </c>
      <c r="M62" s="1">
        <v>45687</v>
      </c>
      <c r="N62" s="3">
        <v>45.899715423583899</v>
      </c>
      <c r="O62">
        <v>46.341811556420602</v>
      </c>
      <c r="P62">
        <v>45.585334119125498</v>
      </c>
      <c r="Q62">
        <v>46.2828674041601</v>
      </c>
    </row>
    <row r="63" spans="1:17" x14ac:dyDescent="0.3">
      <c r="A63" s="1">
        <v>45688</v>
      </c>
      <c r="B63" s="3">
        <v>263.11071777343699</v>
      </c>
      <c r="C63" s="3">
        <v>266.57556965424197</v>
      </c>
      <c r="D63" s="3">
        <v>262.77605004209403</v>
      </c>
      <c r="E63" s="3">
        <v>265.01049259915601</v>
      </c>
      <c r="G63" s="1">
        <v>45688</v>
      </c>
      <c r="H63" s="3">
        <v>135.55538940429599</v>
      </c>
      <c r="I63">
        <v>136.85777274357201</v>
      </c>
      <c r="J63">
        <v>134.90910615826601</v>
      </c>
      <c r="K63">
        <v>136.25065229290601</v>
      </c>
      <c r="M63" s="1">
        <v>45688</v>
      </c>
      <c r="N63" s="3">
        <v>45.487094879150298</v>
      </c>
      <c r="O63">
        <v>46.007792042788999</v>
      </c>
      <c r="P63">
        <v>45.3495535049625</v>
      </c>
      <c r="Q63">
        <v>45.880073446305403</v>
      </c>
    </row>
    <row r="64" spans="1:17" x14ac:dyDescent="0.3">
      <c r="A64" s="1">
        <v>45691</v>
      </c>
      <c r="B64" s="3">
        <v>262.62838745117102</v>
      </c>
      <c r="C64" s="3">
        <v>263.96708831653899</v>
      </c>
      <c r="D64" s="3">
        <v>257.59848892765302</v>
      </c>
      <c r="E64" s="3">
        <v>257.72642625482899</v>
      </c>
      <c r="G64" s="1">
        <v>45691</v>
      </c>
      <c r="H64" s="3">
        <v>134.31178283691401</v>
      </c>
      <c r="I64">
        <v>135.134336079158</v>
      </c>
      <c r="J64">
        <v>131.129271298817</v>
      </c>
      <c r="K64">
        <v>132.989810528932</v>
      </c>
      <c r="M64" s="1">
        <v>45691</v>
      </c>
      <c r="N64" s="3">
        <v>45.398670196533203</v>
      </c>
      <c r="O64">
        <v>45.663930139787396</v>
      </c>
      <c r="P64">
        <v>44.317984870138197</v>
      </c>
      <c r="Q64">
        <v>44.622539667869397</v>
      </c>
    </row>
    <row r="65" spans="1:17" x14ac:dyDescent="0.3">
      <c r="A65" s="1">
        <v>45692</v>
      </c>
      <c r="B65" s="3">
        <v>263.74069213867102</v>
      </c>
      <c r="C65" s="3">
        <v>265.610908234634</v>
      </c>
      <c r="D65" s="3">
        <v>262.648073078641</v>
      </c>
      <c r="E65" s="3">
        <v>265.610908234634</v>
      </c>
      <c r="G65" s="1">
        <v>45692</v>
      </c>
      <c r="H65" s="3">
        <v>133.92988586425699</v>
      </c>
      <c r="I65">
        <v>135.01683658744</v>
      </c>
      <c r="J65">
        <v>133.45984261936201</v>
      </c>
      <c r="K65">
        <v>134.869942470186</v>
      </c>
      <c r="M65" s="1">
        <v>45692</v>
      </c>
      <c r="N65" s="3">
        <v>45.889896392822202</v>
      </c>
      <c r="O65">
        <v>46.302524264624999</v>
      </c>
      <c r="P65">
        <v>45.457622965538597</v>
      </c>
      <c r="Q65">
        <v>45.536216430625899</v>
      </c>
    </row>
    <row r="66" spans="1:17" x14ac:dyDescent="0.3">
      <c r="A66" s="1">
        <v>45693</v>
      </c>
      <c r="B66" s="3">
        <v>266.191650390625</v>
      </c>
      <c r="C66" s="3">
        <v>266.39838077199403</v>
      </c>
      <c r="D66" s="3">
        <v>264.12455685194499</v>
      </c>
      <c r="E66" s="3">
        <v>264.69548356341198</v>
      </c>
      <c r="G66" s="1">
        <v>45693</v>
      </c>
      <c r="H66" s="3">
        <v>136.04502868652301</v>
      </c>
      <c r="I66">
        <v>136.32901503139601</v>
      </c>
      <c r="J66">
        <v>133.675283219942</v>
      </c>
      <c r="K66">
        <v>134.615354822999</v>
      </c>
      <c r="M66" s="1">
        <v>45693</v>
      </c>
      <c r="N66" s="3">
        <v>46.282867431640597</v>
      </c>
      <c r="O66">
        <v>46.302516731646001</v>
      </c>
      <c r="P66">
        <v>45.821118250815204</v>
      </c>
      <c r="Q66">
        <v>46.155148855465796</v>
      </c>
    </row>
    <row r="67" spans="1:17" x14ac:dyDescent="0.3">
      <c r="A67" s="1">
        <v>45694</v>
      </c>
      <c r="B67" s="3">
        <v>272.56027221679602</v>
      </c>
      <c r="C67" s="3">
        <v>272.63903523691403</v>
      </c>
      <c r="D67" s="3">
        <v>266.939770737358</v>
      </c>
      <c r="E67" s="3">
        <v>268.18003297023802</v>
      </c>
      <c r="G67" s="1">
        <v>45694</v>
      </c>
      <c r="H67" s="3">
        <v>138.15037536621</v>
      </c>
      <c r="I67">
        <v>138.463722569071</v>
      </c>
      <c r="J67">
        <v>137.09280054043799</v>
      </c>
      <c r="K67">
        <v>137.10258750424001</v>
      </c>
      <c r="M67" s="1">
        <v>45694</v>
      </c>
      <c r="N67" s="3">
        <v>46.901809692382798</v>
      </c>
      <c r="O67">
        <v>47.137593809210202</v>
      </c>
      <c r="P67">
        <v>46.341813982545503</v>
      </c>
      <c r="Q67">
        <v>46.607073924767001</v>
      </c>
    </row>
    <row r="68" spans="1:17" x14ac:dyDescent="0.3">
      <c r="A68" s="1">
        <v>45695</v>
      </c>
      <c r="B68" s="3">
        <v>271.47747802734301</v>
      </c>
      <c r="C68" s="3">
        <v>274.18437830877298</v>
      </c>
      <c r="D68" s="3">
        <v>270.40456479323598</v>
      </c>
      <c r="E68" s="3">
        <v>272.924440470261</v>
      </c>
      <c r="G68" s="1">
        <v>45695</v>
      </c>
      <c r="H68" s="3">
        <v>137.07321166992099</v>
      </c>
      <c r="I68">
        <v>139.08064495192099</v>
      </c>
      <c r="J68">
        <v>136.91654553945699</v>
      </c>
      <c r="K68">
        <v>139.07085798812</v>
      </c>
      <c r="M68" s="1">
        <v>45695</v>
      </c>
      <c r="N68" s="3">
        <v>46.567779541015597</v>
      </c>
      <c r="O68">
        <v>47.127771508790701</v>
      </c>
      <c r="P68">
        <v>46.548130239794602</v>
      </c>
      <c r="Q68">
        <v>47.000052924714701</v>
      </c>
    </row>
    <row r="69" spans="1:17" x14ac:dyDescent="0.3">
      <c r="A69" s="1">
        <v>45698</v>
      </c>
      <c r="B69" s="3">
        <v>266.79214477539</v>
      </c>
      <c r="C69" s="3">
        <v>271.851572709094</v>
      </c>
      <c r="D69" s="3">
        <v>265.36485782708598</v>
      </c>
      <c r="E69" s="3">
        <v>271.82204408447399</v>
      </c>
      <c r="G69" s="1">
        <v>45698</v>
      </c>
      <c r="H69" s="3">
        <v>134.45866394042901</v>
      </c>
      <c r="I69">
        <v>137.396366940891</v>
      </c>
      <c r="J69">
        <v>132.793968561887</v>
      </c>
      <c r="K69">
        <v>137.33761527159101</v>
      </c>
      <c r="M69" s="1">
        <v>45698</v>
      </c>
      <c r="N69" s="3">
        <v>45.850589752197202</v>
      </c>
      <c r="O69">
        <v>46.724966726733903</v>
      </c>
      <c r="P69">
        <v>45.585333574751203</v>
      </c>
      <c r="Q69">
        <v>46.646369527697502</v>
      </c>
    </row>
    <row r="70" spans="1:17" x14ac:dyDescent="0.3">
      <c r="A70" s="1">
        <v>45699</v>
      </c>
      <c r="B70" s="3">
        <v>270.68017578125</v>
      </c>
      <c r="C70" s="3">
        <v>271.89090926906999</v>
      </c>
      <c r="D70" s="3">
        <v>265.43372407927001</v>
      </c>
      <c r="E70" s="3">
        <v>266.024326513311</v>
      </c>
      <c r="G70" s="1">
        <v>45699</v>
      </c>
      <c r="H70" s="3">
        <v>134.92869567871</v>
      </c>
      <c r="I70">
        <v>135.339987258165</v>
      </c>
      <c r="J70">
        <v>132.62750390147099</v>
      </c>
      <c r="K70">
        <v>133.969050191153</v>
      </c>
      <c r="M70" s="1">
        <v>45699</v>
      </c>
      <c r="N70" s="3">
        <v>45.968490600585902</v>
      </c>
      <c r="O70">
        <v>46.106031966288398</v>
      </c>
      <c r="P70">
        <v>45.467442770988399</v>
      </c>
      <c r="Q70">
        <v>45.732702725295098</v>
      </c>
    </row>
    <row r="71" spans="1:17" x14ac:dyDescent="0.3">
      <c r="A71" s="1">
        <v>45700</v>
      </c>
      <c r="B71" s="3">
        <v>271.13299560546801</v>
      </c>
      <c r="C71" s="3">
        <v>272.11732301004201</v>
      </c>
      <c r="D71" s="3">
        <v>268.96746329969102</v>
      </c>
      <c r="E71" s="3">
        <v>269.78444182819999</v>
      </c>
      <c r="G71" s="1">
        <v>45700</v>
      </c>
      <c r="H71" s="3">
        <v>134.26281738281199</v>
      </c>
      <c r="I71">
        <v>134.42928542315099</v>
      </c>
      <c r="J71">
        <v>132.78417894784801</v>
      </c>
      <c r="K71">
        <v>133.25420723480201</v>
      </c>
      <c r="M71" s="1">
        <v>45700</v>
      </c>
      <c r="N71" s="3">
        <v>45.398670196533203</v>
      </c>
      <c r="O71">
        <v>45.762176645282103</v>
      </c>
      <c r="P71">
        <v>45.133410253278903</v>
      </c>
      <c r="Q71">
        <v>45.752350120872102</v>
      </c>
    </row>
    <row r="72" spans="1:17" x14ac:dyDescent="0.3">
      <c r="A72" s="1">
        <v>45701</v>
      </c>
      <c r="B72" s="3">
        <v>271.98934936523398</v>
      </c>
      <c r="C72" s="3">
        <v>272.62915615558597</v>
      </c>
      <c r="D72" s="3">
        <v>269.51867802419099</v>
      </c>
      <c r="E72" s="3">
        <v>271.182193702679</v>
      </c>
      <c r="G72" s="1">
        <v>45701</v>
      </c>
      <c r="H72" s="3">
        <v>133.99841308593699</v>
      </c>
      <c r="I72">
        <v>135.232257821285</v>
      </c>
      <c r="J72">
        <v>133.51859785946101</v>
      </c>
      <c r="K72">
        <v>135.10495258556099</v>
      </c>
      <c r="M72" s="1">
        <v>45701</v>
      </c>
      <c r="N72" s="3">
        <v>45.516563415527301</v>
      </c>
      <c r="O72">
        <v>45.752347519868401</v>
      </c>
      <c r="P72">
        <v>45.162883511294901</v>
      </c>
      <c r="Q72">
        <v>45.703226143774103</v>
      </c>
    </row>
    <row r="73" spans="1:17" x14ac:dyDescent="0.3">
      <c r="A73" s="1">
        <v>45702</v>
      </c>
      <c r="B73" s="3">
        <v>272.255126953125</v>
      </c>
      <c r="C73" s="3">
        <v>274.85376585107798</v>
      </c>
      <c r="D73" s="3">
        <v>272.11733672996701</v>
      </c>
      <c r="E73" s="3">
        <v>273.022901165831</v>
      </c>
      <c r="G73" s="1">
        <v>45702</v>
      </c>
      <c r="H73" s="3">
        <v>136.06462097167901</v>
      </c>
      <c r="I73">
        <v>136.68154344359601</v>
      </c>
      <c r="J73">
        <v>133.61653489827</v>
      </c>
      <c r="K73">
        <v>133.61653489827</v>
      </c>
      <c r="M73" s="1">
        <v>45702</v>
      </c>
      <c r="N73" s="3">
        <v>46.135505676269503</v>
      </c>
      <c r="O73">
        <v>46.2632242693888</v>
      </c>
      <c r="P73">
        <v>45.663933656738202</v>
      </c>
      <c r="Q73">
        <v>45.663933656738202</v>
      </c>
    </row>
    <row r="74" spans="1:17" x14ac:dyDescent="0.3">
      <c r="A74" s="1">
        <v>45706</v>
      </c>
      <c r="B74" s="3">
        <v>275.5625</v>
      </c>
      <c r="C74" s="3">
        <v>275.58217573616599</v>
      </c>
      <c r="D74" s="3">
        <v>271.69407003394099</v>
      </c>
      <c r="E74" s="3">
        <v>272.42249282218302</v>
      </c>
      <c r="G74" s="1">
        <v>45706</v>
      </c>
      <c r="H74" s="3">
        <v>137.78807067871</v>
      </c>
      <c r="I74">
        <v>137.856609312768</v>
      </c>
      <c r="J74">
        <v>136.00585700619499</v>
      </c>
      <c r="K74">
        <v>136.51506304718899</v>
      </c>
      <c r="M74" s="1">
        <v>45706</v>
      </c>
      <c r="N74" s="3">
        <v>45.713054656982401</v>
      </c>
      <c r="O74">
        <v>45.830950471669802</v>
      </c>
      <c r="P74">
        <v>45.349551930999098</v>
      </c>
      <c r="Q74">
        <v>45.742530484514901</v>
      </c>
    </row>
    <row r="75" spans="1:17" x14ac:dyDescent="0.3">
      <c r="A75" s="1">
        <v>45707</v>
      </c>
      <c r="B75" s="3">
        <v>274.873443603515</v>
      </c>
      <c r="C75" s="3">
        <v>275.85777106494203</v>
      </c>
      <c r="D75" s="3">
        <v>272.87526005838998</v>
      </c>
      <c r="E75" s="3">
        <v>274.01708351835998</v>
      </c>
      <c r="G75" s="1">
        <v>45707</v>
      </c>
      <c r="H75" s="3">
        <v>137.76847839355401</v>
      </c>
      <c r="I75">
        <v>138.003485066704</v>
      </c>
      <c r="J75">
        <v>136.36816555100901</v>
      </c>
      <c r="K75">
        <v>137.10259128846101</v>
      </c>
      <c r="M75" s="1">
        <v>45707</v>
      </c>
      <c r="N75" s="3">
        <v>45.202178955078097</v>
      </c>
      <c r="O75">
        <v>45.251304079536098</v>
      </c>
      <c r="P75">
        <v>44.622537715049603</v>
      </c>
      <c r="Q75">
        <v>45.0744641251056</v>
      </c>
    </row>
    <row r="76" spans="1:17" x14ac:dyDescent="0.3">
      <c r="A76" s="1">
        <v>45708</v>
      </c>
      <c r="B76" s="3">
        <v>262.618560791015</v>
      </c>
      <c r="C76" s="3">
        <v>274.37143335649898</v>
      </c>
      <c r="D76" s="3">
        <v>261.57517606081802</v>
      </c>
      <c r="E76" s="3">
        <v>274.31237611058498</v>
      </c>
      <c r="G76" s="1">
        <v>45708</v>
      </c>
      <c r="H76" s="3">
        <v>131.55033874511699</v>
      </c>
      <c r="I76">
        <v>138.14059666639201</v>
      </c>
      <c r="J76">
        <v>129.679997554077</v>
      </c>
      <c r="K76">
        <v>137.33761732877801</v>
      </c>
      <c r="M76" s="1">
        <v>45708</v>
      </c>
      <c r="N76" s="3">
        <v>44.504653930663999</v>
      </c>
      <c r="O76">
        <v>45.379027341301999</v>
      </c>
      <c r="P76">
        <v>44.249220475536703</v>
      </c>
      <c r="Q76">
        <v>45.094121804200299</v>
      </c>
    </row>
    <row r="77" spans="1:17" x14ac:dyDescent="0.3">
      <c r="A77" s="1">
        <v>45709</v>
      </c>
      <c r="B77" s="3">
        <v>260.09869384765602</v>
      </c>
      <c r="C77" s="3">
        <v>264.98097996717598</v>
      </c>
      <c r="D77" s="3">
        <v>258.72064132976402</v>
      </c>
      <c r="E77" s="3">
        <v>264.114766944704</v>
      </c>
      <c r="G77" s="1">
        <v>45709</v>
      </c>
      <c r="H77" s="3">
        <v>128.95536804199199</v>
      </c>
      <c r="I77">
        <v>132.78417776137201</v>
      </c>
      <c r="J77">
        <v>128.19156647929299</v>
      </c>
      <c r="K77">
        <v>132.37288620429101</v>
      </c>
      <c r="M77" s="1">
        <v>45709</v>
      </c>
      <c r="N77" s="3">
        <v>44.0232543945312</v>
      </c>
      <c r="O77">
        <v>44.710961218531203</v>
      </c>
      <c r="P77">
        <v>43.757994441965003</v>
      </c>
      <c r="Q77">
        <v>44.455527790719898</v>
      </c>
    </row>
    <row r="78" spans="1:17" x14ac:dyDescent="0.3">
      <c r="A78" s="1">
        <v>45712</v>
      </c>
      <c r="B78" s="3">
        <v>257.24411010742102</v>
      </c>
      <c r="C78" s="3">
        <v>262.81540660113399</v>
      </c>
      <c r="D78" s="3">
        <v>254.55688558533399</v>
      </c>
      <c r="E78" s="3">
        <v>261.329062666585</v>
      </c>
      <c r="G78" s="1">
        <v>45712</v>
      </c>
      <c r="H78" s="3">
        <v>127.271095275878</v>
      </c>
      <c r="I78">
        <v>130.20879845539301</v>
      </c>
      <c r="J78">
        <v>126.22330730305799</v>
      </c>
      <c r="K78">
        <v>130.00315265837801</v>
      </c>
      <c r="M78" s="1">
        <v>45712</v>
      </c>
      <c r="N78" s="3">
        <v>43.679397583007798</v>
      </c>
      <c r="O78">
        <v>44.593069511001097</v>
      </c>
      <c r="P78">
        <v>43.659748281062399</v>
      </c>
      <c r="Q78">
        <v>44.239389571426798</v>
      </c>
    </row>
    <row r="79" spans="1:17" x14ac:dyDescent="0.3">
      <c r="A79" s="1">
        <v>45713</v>
      </c>
      <c r="B79" s="3">
        <v>253.36587524414</v>
      </c>
      <c r="C79" s="3">
        <v>258.87811487674998</v>
      </c>
      <c r="D79" s="3">
        <v>249.37936115624001</v>
      </c>
      <c r="E79" s="3">
        <v>258.12019356749101</v>
      </c>
      <c r="G79" s="1">
        <v>45713</v>
      </c>
      <c r="H79" s="3">
        <v>126.908767700195</v>
      </c>
      <c r="I79">
        <v>128.56366106959601</v>
      </c>
      <c r="J79">
        <v>123.755624676241</v>
      </c>
      <c r="K79">
        <v>128.309065537826</v>
      </c>
      <c r="M79" s="1">
        <v>45713</v>
      </c>
      <c r="N79" s="3">
        <v>43.168525695800703</v>
      </c>
      <c r="O79">
        <v>44.052725518523197</v>
      </c>
      <c r="P79">
        <v>42.588884422620602</v>
      </c>
      <c r="Q79">
        <v>43.748166968980797</v>
      </c>
    </row>
    <row r="80" spans="1:17" x14ac:dyDescent="0.3">
      <c r="A80" s="1">
        <v>45714</v>
      </c>
      <c r="B80" s="3">
        <v>254.734115600585</v>
      </c>
      <c r="C80" s="3">
        <v>256.82088504076103</v>
      </c>
      <c r="D80" s="3">
        <v>252.903250877126</v>
      </c>
      <c r="E80" s="3">
        <v>253.12965701046301</v>
      </c>
      <c r="G80" s="1">
        <v>45714</v>
      </c>
      <c r="H80" s="3">
        <v>128.32865905761699</v>
      </c>
      <c r="I80">
        <v>129.493950274898</v>
      </c>
      <c r="J80">
        <v>127.447339215219</v>
      </c>
      <c r="K80">
        <v>127.701949698145</v>
      </c>
      <c r="M80" s="1">
        <v>45714</v>
      </c>
      <c r="N80" s="3">
        <v>43.168525695800703</v>
      </c>
      <c r="O80">
        <v>43.767816270343701</v>
      </c>
      <c r="P80">
        <v>43.089932238070404</v>
      </c>
      <c r="Q80">
        <v>43.266772202614902</v>
      </c>
    </row>
    <row r="81" spans="1:17" x14ac:dyDescent="0.3">
      <c r="A81" s="1">
        <v>45715</v>
      </c>
      <c r="B81" s="3">
        <v>254.989990234375</v>
      </c>
      <c r="C81" s="3">
        <v>259.50807924500498</v>
      </c>
      <c r="D81" s="3">
        <v>253.818638274476</v>
      </c>
      <c r="E81" s="3">
        <v>256.10228495589899</v>
      </c>
      <c r="G81" s="1">
        <v>45715</v>
      </c>
      <c r="H81" s="3">
        <v>126.55624389648401</v>
      </c>
      <c r="I81">
        <v>130.11085417715199</v>
      </c>
      <c r="J81">
        <v>126.135165385714</v>
      </c>
      <c r="K81">
        <v>129.06308126594601</v>
      </c>
      <c r="M81" s="1">
        <v>45715</v>
      </c>
      <c r="N81" s="3">
        <v>43.345363616943303</v>
      </c>
      <c r="O81">
        <v>43.993775540465201</v>
      </c>
      <c r="P81">
        <v>43.168523660735502</v>
      </c>
      <c r="Q81">
        <v>43.315891540149003</v>
      </c>
    </row>
    <row r="82" spans="1:17" x14ac:dyDescent="0.3">
      <c r="A82" s="1">
        <v>45716</v>
      </c>
      <c r="B82" s="3">
        <v>260.50225830078102</v>
      </c>
      <c r="C82" s="3">
        <v>260.65975430031699</v>
      </c>
      <c r="D82" s="3">
        <v>253.84822504631001</v>
      </c>
      <c r="E82" s="3">
        <v>256.64371144966799</v>
      </c>
      <c r="G82" s="1">
        <v>45716</v>
      </c>
      <c r="H82" s="3">
        <v>130.34588623046801</v>
      </c>
      <c r="I82">
        <v>130.63965952679399</v>
      </c>
      <c r="J82">
        <v>126.311445449516</v>
      </c>
      <c r="K82">
        <v>127.202537361065</v>
      </c>
      <c r="M82" s="1">
        <v>45716</v>
      </c>
      <c r="N82" s="3">
        <v>45.290599822997997</v>
      </c>
      <c r="O82">
        <v>45.388846326125297</v>
      </c>
      <c r="P82">
        <v>43.423961236229999</v>
      </c>
      <c r="Q82">
        <v>43.541853292261898</v>
      </c>
    </row>
    <row r="83" spans="1:17" x14ac:dyDescent="0.3">
      <c r="A83" s="1">
        <v>45719</v>
      </c>
      <c r="B83" s="3">
        <v>256.53543090820301</v>
      </c>
      <c r="C83" s="3">
        <v>262.14610973219402</v>
      </c>
      <c r="D83" s="3">
        <v>253.779325895293</v>
      </c>
      <c r="E83" s="3">
        <v>259.86246269904501</v>
      </c>
      <c r="G83" s="1">
        <v>45719</v>
      </c>
      <c r="H83" s="3">
        <v>126.448532104492</v>
      </c>
      <c r="I83">
        <v>131.20761148161699</v>
      </c>
      <c r="J83">
        <v>125.07760256683601</v>
      </c>
      <c r="K83">
        <v>130.561313246493</v>
      </c>
      <c r="M83" s="1">
        <v>45719</v>
      </c>
      <c r="N83" s="3">
        <v>44.760086059570298</v>
      </c>
      <c r="O83">
        <v>46.135503446463197</v>
      </c>
      <c r="P83">
        <v>44.4260554267481</v>
      </c>
      <c r="Q83">
        <v>45.398671498860203</v>
      </c>
    </row>
    <row r="84" spans="1:17" x14ac:dyDescent="0.3">
      <c r="A84" s="1">
        <v>45720</v>
      </c>
      <c r="B84" s="3">
        <v>246.32794189453099</v>
      </c>
      <c r="C84" s="3">
        <v>253.198558240838</v>
      </c>
      <c r="D84" s="3">
        <v>242.095330898008</v>
      </c>
      <c r="E84" s="3">
        <v>251.27910771685299</v>
      </c>
      <c r="G84" s="1">
        <v>45720</v>
      </c>
      <c r="H84" s="3">
        <v>119.19239807128901</v>
      </c>
      <c r="I84">
        <v>123.94168284762</v>
      </c>
      <c r="J84">
        <v>116.77368819795601</v>
      </c>
      <c r="K84">
        <v>123.843760913555</v>
      </c>
      <c r="M84" s="1">
        <v>45720</v>
      </c>
      <c r="N84" s="3">
        <v>41.920822143554602</v>
      </c>
      <c r="O84">
        <v>44.052724442853197</v>
      </c>
      <c r="P84">
        <v>41.292059506180998</v>
      </c>
      <c r="Q84">
        <v>43.944655161857</v>
      </c>
    </row>
    <row r="85" spans="1:17" x14ac:dyDescent="0.3">
      <c r="A85" s="1">
        <v>45721</v>
      </c>
      <c r="B85" s="3">
        <v>247.58787536621</v>
      </c>
      <c r="C85" s="3">
        <v>249.08405725382801</v>
      </c>
      <c r="D85" s="3">
        <v>243.94586690708999</v>
      </c>
      <c r="E85" s="3">
        <v>247.31226488949699</v>
      </c>
      <c r="G85" s="1">
        <v>45721</v>
      </c>
      <c r="H85" s="3">
        <v>121.1802444458</v>
      </c>
      <c r="I85">
        <v>121.797159364341</v>
      </c>
      <c r="J85">
        <v>118.91821560685401</v>
      </c>
      <c r="K85">
        <v>119.466584423334</v>
      </c>
      <c r="M85" s="1">
        <v>45721</v>
      </c>
      <c r="N85" s="3">
        <v>41.547500610351499</v>
      </c>
      <c r="O85">
        <v>41.979774027612997</v>
      </c>
      <c r="P85">
        <v>40.977682073863797</v>
      </c>
      <c r="Q85">
        <v>41.901180564347797</v>
      </c>
    </row>
    <row r="86" spans="1:17" x14ac:dyDescent="0.3">
      <c r="A86" s="1">
        <v>45722</v>
      </c>
      <c r="B86" s="3">
        <v>242.67608642578099</v>
      </c>
      <c r="C86" s="3">
        <v>245.45189708437499</v>
      </c>
      <c r="D86" s="3">
        <v>240.02825816346899</v>
      </c>
      <c r="E86" s="3">
        <v>244.221487754072</v>
      </c>
      <c r="G86" s="1">
        <v>45722</v>
      </c>
      <c r="H86" s="3">
        <v>116.89120483398401</v>
      </c>
      <c r="I86">
        <v>120.57312054111701</v>
      </c>
      <c r="J86">
        <v>116.13719021503201</v>
      </c>
      <c r="K86">
        <v>118.291510226787</v>
      </c>
      <c r="M86" s="1">
        <v>45722</v>
      </c>
      <c r="N86" s="3">
        <v>40.732067108154297</v>
      </c>
      <c r="O86">
        <v>41.154517703275097</v>
      </c>
      <c r="P86">
        <v>40.240845834545901</v>
      </c>
      <c r="Q86">
        <v>40.859785688654298</v>
      </c>
    </row>
    <row r="87" spans="1:17" x14ac:dyDescent="0.3">
      <c r="A87" s="1">
        <v>45723</v>
      </c>
      <c r="B87" s="3">
        <v>238.48284912109301</v>
      </c>
      <c r="C87" s="3">
        <v>242.85326532410701</v>
      </c>
      <c r="D87" s="3">
        <v>235.667672063634</v>
      </c>
      <c r="E87" s="3">
        <v>241.386612042754</v>
      </c>
      <c r="G87" s="1">
        <v>45723</v>
      </c>
      <c r="H87" s="3">
        <v>116.812858581542</v>
      </c>
      <c r="I87">
        <v>117.008702449867</v>
      </c>
      <c r="J87">
        <v>113.05259504779799</v>
      </c>
      <c r="K87">
        <v>116.264489773462</v>
      </c>
      <c r="M87" s="1">
        <v>45723</v>
      </c>
      <c r="N87" s="3">
        <v>40.929801940917898</v>
      </c>
      <c r="O87">
        <v>41.256052012236403</v>
      </c>
      <c r="P87">
        <v>40.148773442997097</v>
      </c>
      <c r="Q87">
        <v>40.8408239630362</v>
      </c>
    </row>
    <row r="88" spans="1:17" x14ac:dyDescent="0.3">
      <c r="A88" s="1">
        <v>45726</v>
      </c>
      <c r="B88" s="3">
        <v>228.58052062988199</v>
      </c>
      <c r="C88" s="3">
        <v>233.787606208715</v>
      </c>
      <c r="D88" s="3">
        <v>225.115683815702</v>
      </c>
      <c r="E88" s="3">
        <v>232.507992545089</v>
      </c>
      <c r="G88" s="1">
        <v>45726</v>
      </c>
      <c r="H88" s="3">
        <v>109.370681762695</v>
      </c>
      <c r="I88">
        <v>113.865363630275</v>
      </c>
      <c r="J88">
        <v>106.95197183738399</v>
      </c>
      <c r="K88">
        <v>113.59117922061399</v>
      </c>
      <c r="M88" s="1">
        <v>45726</v>
      </c>
      <c r="N88" s="3">
        <v>39.377632141113203</v>
      </c>
      <c r="O88">
        <v>40.158656841061401</v>
      </c>
      <c r="P88">
        <v>38.735013014812701</v>
      </c>
      <c r="Q88">
        <v>39.941158058047399</v>
      </c>
    </row>
    <row r="89" spans="1:17" x14ac:dyDescent="0.3">
      <c r="A89" s="1">
        <v>45727</v>
      </c>
      <c r="B89" s="3">
        <v>225.54879760742099</v>
      </c>
      <c r="C89" s="3">
        <v>229.66329427383999</v>
      </c>
      <c r="D89" s="3">
        <v>223.137198291327</v>
      </c>
      <c r="E89" s="3">
        <v>228.11789292463999</v>
      </c>
      <c r="G89" s="1">
        <v>45727</v>
      </c>
      <c r="H89" s="3">
        <v>109.713409423828</v>
      </c>
      <c r="I89">
        <v>111.15288500810701</v>
      </c>
      <c r="J89">
        <v>108.04870666834201</v>
      </c>
      <c r="K89">
        <v>109.39026031899699</v>
      </c>
      <c r="M89" s="1">
        <v>45727</v>
      </c>
      <c r="N89" s="3">
        <v>39.160129547119098</v>
      </c>
      <c r="O89">
        <v>40.198203405086197</v>
      </c>
      <c r="P89">
        <v>38.823990950395597</v>
      </c>
      <c r="Q89">
        <v>39.249107521880397</v>
      </c>
    </row>
    <row r="90" spans="1:17" x14ac:dyDescent="0.3">
      <c r="A90" s="1">
        <v>45728</v>
      </c>
      <c r="B90" s="3">
        <v>224.32821655273401</v>
      </c>
      <c r="C90" s="3">
        <v>230.64761190621701</v>
      </c>
      <c r="D90" s="3">
        <v>223.698247594771</v>
      </c>
      <c r="E90" s="3">
        <v>230.33261991741301</v>
      </c>
      <c r="G90" s="1">
        <v>45728</v>
      </c>
      <c r="H90" s="3">
        <v>111.63271331787099</v>
      </c>
      <c r="I90">
        <v>113.19948674743701</v>
      </c>
      <c r="J90">
        <v>110.21282653159901</v>
      </c>
      <c r="K90">
        <v>112.61194764522</v>
      </c>
      <c r="M90" s="1">
        <v>45728</v>
      </c>
      <c r="N90" s="3">
        <v>39.456722259521399</v>
      </c>
      <c r="O90">
        <v>40.040021488855899</v>
      </c>
      <c r="P90">
        <v>38.754786985463298</v>
      </c>
      <c r="Q90">
        <v>39.8521807704293</v>
      </c>
    </row>
    <row r="91" spans="1:17" x14ac:dyDescent="0.3">
      <c r="A91" s="1">
        <v>45729</v>
      </c>
      <c r="B91" s="3">
        <v>221.66069030761699</v>
      </c>
      <c r="C91" s="3">
        <v>225.903139011842</v>
      </c>
      <c r="D91" s="3">
        <v>220.71572939199601</v>
      </c>
      <c r="E91" s="3">
        <v>225.70627653515001</v>
      </c>
      <c r="G91" s="1">
        <v>45729</v>
      </c>
      <c r="H91" s="3">
        <v>109.36089324951099</v>
      </c>
      <c r="I91">
        <v>112.46506436705999</v>
      </c>
      <c r="J91">
        <v>108.920240777405</v>
      </c>
      <c r="K91">
        <v>111.632716658101</v>
      </c>
      <c r="M91" s="1">
        <v>45729</v>
      </c>
      <c r="N91" s="3">
        <v>39.219444274902301</v>
      </c>
      <c r="O91">
        <v>39.733538802694603</v>
      </c>
      <c r="P91">
        <v>38.883309461616399</v>
      </c>
      <c r="Q91">
        <v>39.516040027707902</v>
      </c>
    </row>
    <row r="92" spans="1:17" x14ac:dyDescent="0.3">
      <c r="A92" s="1">
        <v>45730</v>
      </c>
      <c r="B92" s="3">
        <v>228.79705810546801</v>
      </c>
      <c r="C92" s="3">
        <v>229.48608426601899</v>
      </c>
      <c r="D92" s="3">
        <v>224.01322644843901</v>
      </c>
      <c r="E92" s="3">
        <v>224.54475662382299</v>
      </c>
      <c r="G92" s="1">
        <v>45730</v>
      </c>
      <c r="H92" s="3">
        <v>112.94487762451099</v>
      </c>
      <c r="I92">
        <v>113.36594866134701</v>
      </c>
      <c r="J92">
        <v>110.20302613873901</v>
      </c>
      <c r="K92">
        <v>111.622912848249</v>
      </c>
      <c r="M92" s="1">
        <v>45730</v>
      </c>
      <c r="N92" s="3">
        <v>40.425590515136697</v>
      </c>
      <c r="O92">
        <v>40.554115093874799</v>
      </c>
      <c r="P92">
        <v>39.713766720736899</v>
      </c>
      <c r="Q92">
        <v>39.8027446950369</v>
      </c>
    </row>
    <row r="93" spans="1:17" x14ac:dyDescent="0.3">
      <c r="A93" s="1">
        <v>45733</v>
      </c>
      <c r="B93" s="3">
        <v>230.26370239257801</v>
      </c>
      <c r="C93" s="3">
        <v>231.976437482493</v>
      </c>
      <c r="D93" s="3">
        <v>226.84810011900299</v>
      </c>
      <c r="E93" s="3">
        <v>227.556802031762</v>
      </c>
      <c r="G93" s="1">
        <v>45733</v>
      </c>
      <c r="H93" s="3">
        <v>115.51047515869099</v>
      </c>
      <c r="I93">
        <v>116.822652983182</v>
      </c>
      <c r="J93">
        <v>112.45526150532299</v>
      </c>
      <c r="K93">
        <v>112.582566743567</v>
      </c>
      <c r="M93" s="1">
        <v>45733</v>
      </c>
      <c r="N93" s="3">
        <v>40.969345092773402</v>
      </c>
      <c r="O93">
        <v>41.295598937989801</v>
      </c>
      <c r="P93">
        <v>40.129000450673097</v>
      </c>
      <c r="Q93">
        <v>40.455250524517602</v>
      </c>
    </row>
    <row r="94" spans="1:17" x14ac:dyDescent="0.3">
      <c r="A94" s="1">
        <v>45734</v>
      </c>
      <c r="B94" s="3">
        <v>231.28741455078099</v>
      </c>
      <c r="C94" s="3">
        <v>232.468604448154</v>
      </c>
      <c r="D94" s="3">
        <v>229.86014279896901</v>
      </c>
      <c r="E94" s="3">
        <v>230.6476077371</v>
      </c>
      <c r="G94" s="1">
        <v>45734</v>
      </c>
      <c r="H94" s="3">
        <v>115.65736389160099</v>
      </c>
      <c r="I94">
        <v>116.734520128534</v>
      </c>
      <c r="J94">
        <v>114.84459762872</v>
      </c>
      <c r="K94">
        <v>115.823831929744</v>
      </c>
      <c r="M94" s="1">
        <v>45734</v>
      </c>
      <c r="N94" s="3">
        <v>41.176959991455</v>
      </c>
      <c r="O94">
        <v>41.354915936068103</v>
      </c>
      <c r="P94">
        <v>40.8210481022289</v>
      </c>
      <c r="Q94">
        <v>41.246164661985503</v>
      </c>
    </row>
    <row r="95" spans="1:17" x14ac:dyDescent="0.3">
      <c r="A95" s="1">
        <v>45735</v>
      </c>
      <c r="B95" s="3">
        <v>235.362533569335</v>
      </c>
      <c r="C95" s="3">
        <v>238.53206911141399</v>
      </c>
      <c r="D95" s="3">
        <v>231.208670592316</v>
      </c>
      <c r="E95" s="3">
        <v>232.04535491987301</v>
      </c>
      <c r="G95" s="1">
        <v>45735</v>
      </c>
      <c r="H95" s="3">
        <v>117.36122894287099</v>
      </c>
      <c r="I95">
        <v>118.73215845218201</v>
      </c>
      <c r="J95">
        <v>113.816405570912</v>
      </c>
      <c r="K95">
        <v>114.795639867424</v>
      </c>
      <c r="M95" s="1">
        <v>45735</v>
      </c>
      <c r="N95" s="3">
        <v>41.730598449707003</v>
      </c>
      <c r="O95">
        <v>42.2150349274918</v>
      </c>
      <c r="P95">
        <v>40.830933937853899</v>
      </c>
      <c r="Q95">
        <v>41.246165743294</v>
      </c>
    </row>
    <row r="96" spans="1:17" x14ac:dyDescent="0.3">
      <c r="A96" s="1">
        <v>45736</v>
      </c>
      <c r="B96" s="3">
        <v>235.26409912109301</v>
      </c>
      <c r="C96" s="3">
        <v>237.970999616689</v>
      </c>
      <c r="D96" s="3">
        <v>232.498141381464</v>
      </c>
      <c r="E96" s="3">
        <v>232.852499865309</v>
      </c>
      <c r="G96" s="1">
        <v>45736</v>
      </c>
      <c r="H96" s="3">
        <v>117.968360900878</v>
      </c>
      <c r="I96">
        <v>119.28053131668599</v>
      </c>
      <c r="J96">
        <v>116.35262276259</v>
      </c>
      <c r="K96">
        <v>116.35262276259</v>
      </c>
      <c r="M96" s="1">
        <v>45736</v>
      </c>
      <c r="N96" s="3">
        <v>41.997535705566399</v>
      </c>
      <c r="O96">
        <v>42.234811580552702</v>
      </c>
      <c r="P96">
        <v>41.176964337789798</v>
      </c>
      <c r="Q96">
        <v>41.2857118519793</v>
      </c>
    </row>
    <row r="97" spans="1:17" x14ac:dyDescent="0.3">
      <c r="A97" s="1">
        <v>45737</v>
      </c>
      <c r="B97" s="3">
        <v>237.84304809570301</v>
      </c>
      <c r="C97" s="3">
        <v>238.50254568913201</v>
      </c>
      <c r="D97" s="3">
        <v>232.79344343809501</v>
      </c>
      <c r="E97" s="3">
        <v>234.08291000283299</v>
      </c>
      <c r="G97" s="1">
        <v>45737</v>
      </c>
      <c r="H97" s="3">
        <v>117.645210266113</v>
      </c>
      <c r="I97">
        <v>118.36984156894199</v>
      </c>
      <c r="J97">
        <v>115.84342270859899</v>
      </c>
      <c r="K97">
        <v>116.87161425903901</v>
      </c>
      <c r="M97" s="1">
        <v>45737</v>
      </c>
      <c r="N97" s="3">
        <v>41.987648010253899</v>
      </c>
      <c r="O97">
        <v>42.175488726792402</v>
      </c>
      <c r="P97">
        <v>41.4142335523387</v>
      </c>
      <c r="Q97">
        <v>41.681167478812498</v>
      </c>
    </row>
    <row r="98" spans="1:17" x14ac:dyDescent="0.3">
      <c r="A98" s="1">
        <v>45740</v>
      </c>
      <c r="B98" s="3">
        <v>244.172271728515</v>
      </c>
      <c r="C98" s="3">
        <v>244.792402845787</v>
      </c>
      <c r="D98" s="3">
        <v>240.57948244257099</v>
      </c>
      <c r="E98" s="3">
        <v>241.63270503355201</v>
      </c>
      <c r="G98" s="1">
        <v>45740</v>
      </c>
      <c r="H98" s="3">
        <v>121.68943786621</v>
      </c>
      <c r="I98">
        <v>122.228019696106</v>
      </c>
      <c r="J98">
        <v>119.466579389386</v>
      </c>
      <c r="K98">
        <v>119.77013961843799</v>
      </c>
      <c r="M98" s="1">
        <v>45740</v>
      </c>
      <c r="N98" s="3">
        <v>42.5808296203613</v>
      </c>
      <c r="O98">
        <v>42.6599228258777</v>
      </c>
      <c r="P98">
        <v>42.264464341038703</v>
      </c>
      <c r="Q98">
        <v>42.442420282079098</v>
      </c>
    </row>
    <row r="99" spans="1:17" x14ac:dyDescent="0.3">
      <c r="A99" s="1">
        <v>45741</v>
      </c>
      <c r="B99" s="3">
        <v>247.19415283203099</v>
      </c>
      <c r="C99" s="3">
        <v>247.87334116333</v>
      </c>
      <c r="D99" s="3">
        <v>243.739153932753</v>
      </c>
      <c r="E99" s="3">
        <v>245.40266969616101</v>
      </c>
      <c r="G99" s="1">
        <v>45741</v>
      </c>
      <c r="H99" s="3">
        <v>122.600135803222</v>
      </c>
      <c r="I99">
        <v>123.432490965081</v>
      </c>
      <c r="J99">
        <v>121.57194423363499</v>
      </c>
      <c r="K99">
        <v>122.306369985182</v>
      </c>
      <c r="M99" s="1">
        <v>45741</v>
      </c>
      <c r="N99" s="3">
        <v>42.788448333740199</v>
      </c>
      <c r="O99">
        <v>43.035608971104899</v>
      </c>
      <c r="P99">
        <v>42.551176233838397</v>
      </c>
      <c r="Q99">
        <v>42.857653010492498</v>
      </c>
    </row>
    <row r="100" spans="1:17" x14ac:dyDescent="0.3">
      <c r="A100" s="1">
        <v>45742</v>
      </c>
      <c r="B100" s="3">
        <v>247.09571838378901</v>
      </c>
      <c r="C100" s="3">
        <v>250.678669698275</v>
      </c>
      <c r="D100" s="3">
        <v>245.86530907222499</v>
      </c>
      <c r="E100" s="3">
        <v>248.64111968854101</v>
      </c>
      <c r="G100" s="1">
        <v>45742</v>
      </c>
      <c r="H100" s="3">
        <v>119.66242980957</v>
      </c>
      <c r="I100">
        <v>123.716459259221</v>
      </c>
      <c r="J100">
        <v>119.08468515217299</v>
      </c>
      <c r="K100">
        <v>123.15829600081901</v>
      </c>
      <c r="M100" s="1">
        <v>45742</v>
      </c>
      <c r="N100" s="3">
        <v>42.333671569824197</v>
      </c>
      <c r="O100">
        <v>43.223451328825497</v>
      </c>
      <c r="P100">
        <v>42.244693593923998</v>
      </c>
      <c r="Q100">
        <v>42.966402166726503</v>
      </c>
    </row>
    <row r="101" spans="1:17" x14ac:dyDescent="0.3">
      <c r="A101" s="1">
        <v>45743</v>
      </c>
      <c r="B101" s="3">
        <v>244.23132324218699</v>
      </c>
      <c r="C101" s="3">
        <v>246.711832633413</v>
      </c>
      <c r="D101" s="3">
        <v>243.30605303166999</v>
      </c>
      <c r="E101" s="3">
        <v>245.619228557962</v>
      </c>
      <c r="G101" s="1">
        <v>45743</v>
      </c>
      <c r="H101" s="3">
        <v>116.5288772583</v>
      </c>
      <c r="I101">
        <v>117.351430452884</v>
      </c>
      <c r="J101">
        <v>115.099196131311</v>
      </c>
      <c r="K101">
        <v>116.460331158752</v>
      </c>
      <c r="M101" s="1">
        <v>45743</v>
      </c>
      <c r="N101" s="3">
        <v>42.076625823974602</v>
      </c>
      <c r="O101">
        <v>42.600605137979798</v>
      </c>
      <c r="P101">
        <v>42.037079219158997</v>
      </c>
      <c r="Q101">
        <v>42.333671212532302</v>
      </c>
    </row>
    <row r="102" spans="1:17" x14ac:dyDescent="0.3">
      <c r="A102" s="1">
        <v>45744</v>
      </c>
      <c r="B102" s="3">
        <v>239.04393005371</v>
      </c>
      <c r="C102" s="3">
        <v>245.59953953293501</v>
      </c>
      <c r="D102" s="3">
        <v>237.33119486348099</v>
      </c>
      <c r="E102" s="3">
        <v>243.06982576687699</v>
      </c>
      <c r="G102" s="1">
        <v>45744</v>
      </c>
      <c r="H102" s="3">
        <v>112.935096740722</v>
      </c>
      <c r="I102">
        <v>116.949955987755</v>
      </c>
      <c r="J102">
        <v>112.249628229153</v>
      </c>
      <c r="K102">
        <v>116.24490607686801</v>
      </c>
      <c r="M102" s="1">
        <v>45744</v>
      </c>
      <c r="N102" s="3">
        <v>40.781501770019503</v>
      </c>
      <c r="O102">
        <v>42.135940894033602</v>
      </c>
      <c r="P102">
        <v>40.524456387963497</v>
      </c>
      <c r="Q102">
        <v>41.957984948236501</v>
      </c>
    </row>
    <row r="103" spans="1:17" x14ac:dyDescent="0.3">
      <c r="A103" s="1">
        <v>45747</v>
      </c>
      <c r="B103" s="3">
        <v>241.45553588867099</v>
      </c>
      <c r="C103" s="3">
        <v>242.00675687898701</v>
      </c>
      <c r="D103" s="3">
        <v>233.639973228272</v>
      </c>
      <c r="E103" s="3">
        <v>235.657847583256</v>
      </c>
      <c r="G103" s="1">
        <v>45747</v>
      </c>
      <c r="H103" s="3">
        <v>114.247261047363</v>
      </c>
      <c r="I103">
        <v>114.599785983966</v>
      </c>
      <c r="J103">
        <v>109.85050124540101</v>
      </c>
      <c r="K103">
        <v>111.34872849048401</v>
      </c>
      <c r="M103" s="1">
        <v>45747</v>
      </c>
      <c r="N103" s="3">
        <v>41.256050109863203</v>
      </c>
      <c r="O103">
        <v>41.424121292055197</v>
      </c>
      <c r="P103">
        <v>40.1388830549445</v>
      </c>
      <c r="Q103">
        <v>40.316839002502199</v>
      </c>
    </row>
    <row r="104" spans="1:17" x14ac:dyDescent="0.3">
      <c r="A104" s="1">
        <v>45748</v>
      </c>
      <c r="B104" s="3">
        <v>239.84123229980401</v>
      </c>
      <c r="C104" s="3">
        <v>241.839415840295</v>
      </c>
      <c r="D104" s="3">
        <v>237.104803164955</v>
      </c>
      <c r="E104" s="3">
        <v>238.81752333129299</v>
      </c>
      <c r="G104" s="1">
        <v>45748</v>
      </c>
      <c r="H104" s="3">
        <v>113.33657073974599</v>
      </c>
      <c r="I104">
        <v>114.452897194324</v>
      </c>
      <c r="J104">
        <v>111.18225836413001</v>
      </c>
      <c r="K104">
        <v>113.581379303837</v>
      </c>
      <c r="M104" s="1">
        <v>45748</v>
      </c>
      <c r="N104" s="3">
        <v>41.018779754638601</v>
      </c>
      <c r="O104">
        <v>41.226393778407903</v>
      </c>
      <c r="P104">
        <v>40.504685192420503</v>
      </c>
      <c r="Q104">
        <v>40.850708565369303</v>
      </c>
    </row>
    <row r="105" spans="1:17" x14ac:dyDescent="0.3">
      <c r="A105" s="1">
        <v>45749</v>
      </c>
      <c r="B105" s="3">
        <v>241.96737670898401</v>
      </c>
      <c r="C105" s="3">
        <v>243.374957728276</v>
      </c>
      <c r="D105" s="3">
        <v>237.67570850174599</v>
      </c>
      <c r="E105" s="3">
        <v>237.813513741534</v>
      </c>
      <c r="G105" s="1">
        <v>45749</v>
      </c>
      <c r="H105" s="3">
        <v>116.79327392578099</v>
      </c>
      <c r="I105">
        <v>117.850848783204</v>
      </c>
      <c r="J105">
        <v>111.51520154468599</v>
      </c>
      <c r="K105">
        <v>111.60333651828699</v>
      </c>
      <c r="M105" s="1">
        <v>45749</v>
      </c>
      <c r="N105" s="3">
        <v>41.374687194824197</v>
      </c>
      <c r="O105">
        <v>41.493327010436602</v>
      </c>
      <c r="P105">
        <v>40.356386624734299</v>
      </c>
      <c r="Q105">
        <v>40.415706532540497</v>
      </c>
    </row>
    <row r="106" spans="1:17" x14ac:dyDescent="0.3">
      <c r="A106" s="1">
        <v>45750</v>
      </c>
      <c r="B106" s="3">
        <v>225.10583496093699</v>
      </c>
      <c r="C106" s="3">
        <v>231.45474367154699</v>
      </c>
      <c r="D106" s="3">
        <v>223.73762047905501</v>
      </c>
      <c r="E106" s="3">
        <v>230.59838364191799</v>
      </c>
      <c r="G106" s="1">
        <v>45750</v>
      </c>
      <c r="H106" s="3">
        <v>105.688758850097</v>
      </c>
      <c r="I106">
        <v>109.076908649286</v>
      </c>
      <c r="J106">
        <v>104.66055984133899</v>
      </c>
      <c r="K106">
        <v>107.82348993409001</v>
      </c>
      <c r="M106" s="1">
        <v>45750</v>
      </c>
      <c r="N106" s="3">
        <v>36.797275543212798</v>
      </c>
      <c r="O106">
        <v>38.398875358398101</v>
      </c>
      <c r="P106">
        <v>36.599546286325001</v>
      </c>
      <c r="Q106">
        <v>38.191261335783203</v>
      </c>
    </row>
    <row r="107" spans="1:17" x14ac:dyDescent="0.3">
      <c r="A107" s="1">
        <v>45751</v>
      </c>
      <c r="B107" s="3">
        <v>208.25930786132801</v>
      </c>
      <c r="C107" s="3">
        <v>215.60800337192001</v>
      </c>
      <c r="D107" s="3">
        <v>206.922274675295</v>
      </c>
      <c r="E107" s="3">
        <v>213.240970741301</v>
      </c>
      <c r="G107" s="1">
        <v>45751</v>
      </c>
      <c r="H107" s="3">
        <v>97.7569580078125</v>
      </c>
      <c r="I107">
        <v>101.546589814106</v>
      </c>
      <c r="J107">
        <v>95.289283487888298</v>
      </c>
      <c r="K107">
        <v>99.431447696564405</v>
      </c>
      <c r="M107" s="1">
        <v>45751</v>
      </c>
      <c r="N107" s="3">
        <v>33.999412536621001</v>
      </c>
      <c r="O107">
        <v>35.3835134460437</v>
      </c>
      <c r="P107">
        <v>33.287588780761197</v>
      </c>
      <c r="Q107">
        <v>34.889192231445797</v>
      </c>
    </row>
    <row r="108" spans="1:17" x14ac:dyDescent="0.3">
      <c r="A108" s="1">
        <v>45754</v>
      </c>
      <c r="B108" s="3">
        <v>212.37933349609301</v>
      </c>
      <c r="C108" s="3">
        <v>219.916205530838</v>
      </c>
      <c r="D108" s="3">
        <v>200.21733980840699</v>
      </c>
      <c r="E108" s="3">
        <v>203.79264998756199</v>
      </c>
      <c r="G108" s="1">
        <v>45754</v>
      </c>
      <c r="H108" s="3">
        <v>98.824325561523395</v>
      </c>
      <c r="I108">
        <v>102.173305135441</v>
      </c>
      <c r="J108">
        <v>92.371174993142304</v>
      </c>
      <c r="K108">
        <v>94.270884489460002</v>
      </c>
      <c r="M108" s="1">
        <v>45754</v>
      </c>
      <c r="N108" s="3">
        <v>35.1759033203125</v>
      </c>
      <c r="O108">
        <v>36.213977231174603</v>
      </c>
      <c r="P108">
        <v>33.159071637203702</v>
      </c>
      <c r="Q108">
        <v>34.5728307685755</v>
      </c>
    </row>
    <row r="109" spans="1:17" x14ac:dyDescent="0.3">
      <c r="A109" s="1">
        <v>45755</v>
      </c>
      <c r="B109" s="3">
        <v>214.78596496582</v>
      </c>
      <c r="C109" s="3">
        <v>225.650549052668</v>
      </c>
      <c r="D109" s="3">
        <v>211.200756491053</v>
      </c>
      <c r="E109" s="3">
        <v>221.37207030821699</v>
      </c>
      <c r="G109" s="1">
        <v>45755</v>
      </c>
      <c r="H109" s="3">
        <v>98.226989746093693</v>
      </c>
      <c r="I109">
        <v>104.719317903714</v>
      </c>
      <c r="J109">
        <v>96.229350887669099</v>
      </c>
      <c r="K109">
        <v>103.035033720868</v>
      </c>
      <c r="M109" s="1">
        <v>45755</v>
      </c>
      <c r="N109" s="3">
        <v>34.632144927978501</v>
      </c>
      <c r="O109">
        <v>36.906025653042803</v>
      </c>
      <c r="P109">
        <v>33.940098207868601</v>
      </c>
      <c r="Q109">
        <v>36.441362479793199</v>
      </c>
    </row>
    <row r="110" spans="1:17" x14ac:dyDescent="0.3">
      <c r="A110" s="1">
        <v>45756</v>
      </c>
      <c r="B110" s="3">
        <v>232.08808898925699</v>
      </c>
      <c r="C110" s="3">
        <v>235.19791432492099</v>
      </c>
      <c r="D110" s="3">
        <v>208.97238005467699</v>
      </c>
      <c r="E110" s="3">
        <v>210.45796569487601</v>
      </c>
      <c r="G110" s="1">
        <v>45756</v>
      </c>
      <c r="H110" s="3">
        <v>109.380470275878</v>
      </c>
      <c r="I110">
        <v>111.534790256948</v>
      </c>
      <c r="J110">
        <v>95.857246741972602</v>
      </c>
      <c r="K110">
        <v>96.160806989687501</v>
      </c>
      <c r="M110" s="1">
        <v>45756</v>
      </c>
      <c r="N110" s="3">
        <v>36.728069305419901</v>
      </c>
      <c r="O110">
        <v>37.420116018007803</v>
      </c>
      <c r="P110">
        <v>32.694406213566999</v>
      </c>
      <c r="Q110">
        <v>33.6632753825618</v>
      </c>
    </row>
    <row r="111" spans="1:17" x14ac:dyDescent="0.3">
      <c r="A111" s="1">
        <v>45757</v>
      </c>
      <c r="B111" s="3">
        <v>224.92756652832</v>
      </c>
      <c r="C111" s="3">
        <v>228.13643689579499</v>
      </c>
      <c r="D111" s="3">
        <v>217.98493519741399</v>
      </c>
      <c r="E111" s="3">
        <v>227.78979420757199</v>
      </c>
      <c r="G111" s="1">
        <v>45757</v>
      </c>
      <c r="H111" s="3">
        <v>104.36679077148401</v>
      </c>
      <c r="I111">
        <v>106.60923815665301</v>
      </c>
      <c r="J111">
        <v>101.262619914284</v>
      </c>
      <c r="K111">
        <v>106.511308752429</v>
      </c>
      <c r="M111" s="1">
        <v>45757</v>
      </c>
      <c r="N111" s="3">
        <v>35.44282913208</v>
      </c>
      <c r="O111">
        <v>35.986585478391902</v>
      </c>
      <c r="P111">
        <v>34.2366879481729</v>
      </c>
      <c r="Q111">
        <v>35.907492274793299</v>
      </c>
    </row>
    <row r="112" spans="1:17" x14ac:dyDescent="0.3">
      <c r="A112" s="1">
        <v>45758</v>
      </c>
      <c r="B112" s="3">
        <v>233.93022155761699</v>
      </c>
      <c r="C112" s="3">
        <v>236.28735566743001</v>
      </c>
      <c r="D112" s="3">
        <v>222.837851526295</v>
      </c>
      <c r="E112" s="3">
        <v>224.13526059945801</v>
      </c>
      <c r="G112" s="1">
        <v>45758</v>
      </c>
      <c r="H112" s="3">
        <v>105.87480926513599</v>
      </c>
      <c r="I112">
        <v>106.93237657186501</v>
      </c>
      <c r="J112">
        <v>100.753410876262</v>
      </c>
      <c r="K112">
        <v>100.753410876262</v>
      </c>
      <c r="M112" s="1">
        <v>45758</v>
      </c>
      <c r="N112" s="3">
        <v>35.541698455810497</v>
      </c>
      <c r="O112">
        <v>35.818517147620497</v>
      </c>
      <c r="P112">
        <v>34.4146466147307</v>
      </c>
      <c r="Q112">
        <v>34.8002165844294</v>
      </c>
    </row>
    <row r="113" spans="1:17" x14ac:dyDescent="0.3">
      <c r="A113" s="1">
        <v>45761</v>
      </c>
      <c r="B113" s="3">
        <v>232.464431762695</v>
      </c>
      <c r="C113" s="3">
        <v>237.47580467962399</v>
      </c>
      <c r="D113" s="3">
        <v>231.38490987281199</v>
      </c>
      <c r="E113" s="3">
        <v>234.82156570866499</v>
      </c>
      <c r="G113" s="1">
        <v>45761</v>
      </c>
      <c r="H113" s="3">
        <v>106.84425354003901</v>
      </c>
      <c r="I113">
        <v>109.184622885834</v>
      </c>
      <c r="J113">
        <v>106.29588473060301</v>
      </c>
      <c r="K113">
        <v>108.185807201367</v>
      </c>
      <c r="M113" s="1">
        <v>45761</v>
      </c>
      <c r="N113" s="3">
        <v>36.253517150878899</v>
      </c>
      <c r="O113">
        <v>36.5698862073301</v>
      </c>
      <c r="P113">
        <v>35.858062430215199</v>
      </c>
      <c r="Q113">
        <v>36.075564977971801</v>
      </c>
    </row>
    <row r="114" spans="1:17" x14ac:dyDescent="0.3">
      <c r="A114" s="1">
        <v>45762</v>
      </c>
      <c r="B114" s="3">
        <v>230.88973999023401</v>
      </c>
      <c r="C114" s="3">
        <v>236.356684619503</v>
      </c>
      <c r="D114" s="3">
        <v>230.582721355986</v>
      </c>
      <c r="E114" s="3">
        <v>233.831200957318</v>
      </c>
      <c r="G114" s="1">
        <v>45762</v>
      </c>
      <c r="H114" s="3">
        <v>108.14663696289</v>
      </c>
      <c r="I114">
        <v>109.821126695842</v>
      </c>
      <c r="J114">
        <v>107.774523152702</v>
      </c>
      <c r="K114">
        <v>107.80389898593501</v>
      </c>
      <c r="M114" s="1">
        <v>45762</v>
      </c>
      <c r="N114" s="3">
        <v>37.558528900146399</v>
      </c>
      <c r="O114">
        <v>38.309895514050702</v>
      </c>
      <c r="P114">
        <v>37.3706844181416</v>
      </c>
      <c r="Q114">
        <v>37.3706844181416</v>
      </c>
    </row>
    <row r="115" spans="1:17" x14ac:dyDescent="0.3">
      <c r="A115" s="1">
        <v>45763</v>
      </c>
      <c r="B115" s="3">
        <v>227.403549194335</v>
      </c>
      <c r="C115" s="3">
        <v>231.33540044425499</v>
      </c>
      <c r="D115" s="3">
        <v>225.73968539929001</v>
      </c>
      <c r="E115" s="3">
        <v>229.770581737925</v>
      </c>
      <c r="G115" s="1">
        <v>45763</v>
      </c>
      <c r="H115" s="3">
        <v>105.620216369628</v>
      </c>
      <c r="I115">
        <v>108.02913194630899</v>
      </c>
      <c r="J115">
        <v>104.43534371632001</v>
      </c>
      <c r="K115">
        <v>107.30450062754301</v>
      </c>
      <c r="M115" s="1">
        <v>45763</v>
      </c>
      <c r="N115" s="3">
        <v>36.9060249328613</v>
      </c>
      <c r="O115">
        <v>37.7265962155669</v>
      </c>
      <c r="P115">
        <v>36.550113042966103</v>
      </c>
      <c r="Q115">
        <v>37.430004231111504</v>
      </c>
    </row>
    <row r="116" spans="1:17" x14ac:dyDescent="0.3">
      <c r="A116" s="1">
        <v>45764</v>
      </c>
      <c r="B116" s="3">
        <v>229.73097229003901</v>
      </c>
      <c r="C116" s="3">
        <v>232.08809125254001</v>
      </c>
      <c r="D116" s="3">
        <v>228.33451814771499</v>
      </c>
      <c r="E116" s="3">
        <v>228.58211575683001</v>
      </c>
      <c r="G116" s="1">
        <v>45764</v>
      </c>
      <c r="H116" s="3">
        <v>106.912803649902</v>
      </c>
      <c r="I116">
        <v>108.450201237683</v>
      </c>
      <c r="J116">
        <v>105.904193492888</v>
      </c>
      <c r="K116">
        <v>106.26650541086499</v>
      </c>
      <c r="M116" s="1">
        <v>45764</v>
      </c>
      <c r="N116" s="3">
        <v>36.985115051269503</v>
      </c>
      <c r="O116">
        <v>37.4398896872517</v>
      </c>
      <c r="P116">
        <v>36.817047639812898</v>
      </c>
      <c r="Q116">
        <v>37.083977790788502</v>
      </c>
    </row>
    <row r="117" spans="1:17" x14ac:dyDescent="0.3">
      <c r="A117" s="1">
        <v>45768</v>
      </c>
      <c r="B117" s="3">
        <v>226.78950500488199</v>
      </c>
      <c r="C117" s="3">
        <v>229.582398097571</v>
      </c>
      <c r="D117" s="3">
        <v>224.16496135596401</v>
      </c>
      <c r="E117" s="3">
        <v>228.413744669778</v>
      </c>
      <c r="G117" s="1">
        <v>45768</v>
      </c>
      <c r="H117" s="3">
        <v>104.09261322021401</v>
      </c>
      <c r="I117">
        <v>106.08045773295601</v>
      </c>
      <c r="J117">
        <v>102.604172841249</v>
      </c>
      <c r="K117">
        <v>105.894400817844</v>
      </c>
      <c r="M117" s="1">
        <v>45768</v>
      </c>
      <c r="N117" s="3">
        <v>36.500679016113203</v>
      </c>
      <c r="O117">
        <v>36.856590916864597</v>
      </c>
      <c r="P117">
        <v>36.075566213962198</v>
      </c>
      <c r="Q117">
        <v>36.648976898550302</v>
      </c>
    </row>
    <row r="118" spans="1:17" x14ac:dyDescent="0.3">
      <c r="A118" s="1">
        <v>45769</v>
      </c>
      <c r="B118" s="3">
        <v>233.326080322265</v>
      </c>
      <c r="C118" s="3">
        <v>233.72224556588199</v>
      </c>
      <c r="D118" s="3">
        <v>229.146631453097</v>
      </c>
      <c r="E118" s="3">
        <v>229.750770226474</v>
      </c>
      <c r="G118" s="1">
        <v>45769</v>
      </c>
      <c r="H118" s="3">
        <v>108.087882995605</v>
      </c>
      <c r="I118">
        <v>108.401237683351</v>
      </c>
      <c r="J118">
        <v>105.727932137789</v>
      </c>
      <c r="K118">
        <v>105.776889371864</v>
      </c>
      <c r="M118" s="1">
        <v>45769</v>
      </c>
      <c r="N118" s="3">
        <v>37.884780883788999</v>
      </c>
      <c r="O118">
        <v>38.052852072499903</v>
      </c>
      <c r="P118">
        <v>36.975231579990698</v>
      </c>
      <c r="Q118">
        <v>37.143298997329602</v>
      </c>
    </row>
    <row r="119" spans="1:17" x14ac:dyDescent="0.3">
      <c r="A119" s="1">
        <v>45770</v>
      </c>
      <c r="B119" s="3">
        <v>238.56524658203099</v>
      </c>
      <c r="C119" s="3">
        <v>244.418442414624</v>
      </c>
      <c r="D119" s="3">
        <v>237.69369818612401</v>
      </c>
      <c r="E119" s="3">
        <v>237.91158528510101</v>
      </c>
      <c r="G119" s="1">
        <v>45770</v>
      </c>
      <c r="H119" s="3">
        <v>109.97779846191401</v>
      </c>
      <c r="I119">
        <v>114.18850881087501</v>
      </c>
      <c r="J119">
        <v>109.605692128898</v>
      </c>
      <c r="K119">
        <v>110.89828106633</v>
      </c>
      <c r="M119" s="1">
        <v>45770</v>
      </c>
      <c r="N119" s="3">
        <v>38.3098945617675</v>
      </c>
      <c r="O119">
        <v>39.674222185370702</v>
      </c>
      <c r="P119">
        <v>38.2308013562849</v>
      </c>
      <c r="Q119">
        <v>38.9623984215131</v>
      </c>
    </row>
    <row r="120" spans="1:17" x14ac:dyDescent="0.3">
      <c r="A120" s="1">
        <v>45771</v>
      </c>
      <c r="B120" s="3">
        <v>242.28910827636699</v>
      </c>
      <c r="C120" s="3">
        <v>243.11113412666</v>
      </c>
      <c r="D120" s="3">
        <v>235.29695442919299</v>
      </c>
      <c r="E120" s="3">
        <v>237.43620133269101</v>
      </c>
      <c r="G120" s="1">
        <v>45771</v>
      </c>
      <c r="H120" s="3">
        <v>113.199485778808</v>
      </c>
      <c r="I120">
        <v>113.493259062885</v>
      </c>
      <c r="J120">
        <v>108.93002355041899</v>
      </c>
      <c r="K120">
        <v>109.54694595278799</v>
      </c>
      <c r="M120" s="1">
        <v>45771</v>
      </c>
      <c r="N120" s="3">
        <v>39.130474090576101</v>
      </c>
      <c r="O120">
        <v>39.2491101410507</v>
      </c>
      <c r="P120">
        <v>38.161601069022097</v>
      </c>
      <c r="Q120">
        <v>38.220920979945397</v>
      </c>
    </row>
    <row r="121" spans="1:17" x14ac:dyDescent="0.3">
      <c r="A121" s="1">
        <v>45772</v>
      </c>
      <c r="B121" s="3">
        <v>241.20959472656199</v>
      </c>
      <c r="C121" s="3">
        <v>243.259695079398</v>
      </c>
      <c r="D121" s="3">
        <v>239.42688891181899</v>
      </c>
      <c r="E121" s="3">
        <v>242.29901514345701</v>
      </c>
      <c r="G121" s="1">
        <v>45772</v>
      </c>
      <c r="H121" s="3">
        <v>113.600982666015</v>
      </c>
      <c r="I121">
        <v>114.668344555564</v>
      </c>
      <c r="J121">
        <v>112.582578012951</v>
      </c>
      <c r="K121">
        <v>113.30720936324001</v>
      </c>
      <c r="M121" s="1">
        <v>45772</v>
      </c>
      <c r="N121" s="3">
        <v>39.239219665527301</v>
      </c>
      <c r="O121">
        <v>39.3380861788498</v>
      </c>
      <c r="P121">
        <v>38.873422994663599</v>
      </c>
      <c r="Q121">
        <v>39.090925552601298</v>
      </c>
    </row>
    <row r="122" spans="1:17" x14ac:dyDescent="0.3">
      <c r="A122" s="1">
        <v>45775</v>
      </c>
      <c r="B122" s="3">
        <v>240.88275146484301</v>
      </c>
      <c r="C122" s="3">
        <v>244.46795983480001</v>
      </c>
      <c r="D122" s="3">
        <v>238.525617504666</v>
      </c>
      <c r="E122" s="3">
        <v>242.209870958322</v>
      </c>
      <c r="G122" s="1">
        <v>45775</v>
      </c>
      <c r="H122" s="3">
        <v>113.42470550537099</v>
      </c>
      <c r="I122">
        <v>115.45172011359</v>
      </c>
      <c r="J122">
        <v>111.466236996136</v>
      </c>
      <c r="K122">
        <v>113.47366273552301</v>
      </c>
      <c r="M122" s="1">
        <v>45775</v>
      </c>
      <c r="N122" s="3">
        <v>39.328197479247997</v>
      </c>
      <c r="O122">
        <v>39.6247932466176</v>
      </c>
      <c r="P122">
        <v>39.011832180667497</v>
      </c>
      <c r="Q122">
        <v>39.347970781830803</v>
      </c>
    </row>
    <row r="123" spans="1:17" x14ac:dyDescent="0.3">
      <c r="A123" s="1">
        <v>45776</v>
      </c>
      <c r="B123" s="3">
        <v>242.26930236816401</v>
      </c>
      <c r="C123" s="3">
        <v>242.89325317551399</v>
      </c>
      <c r="D123" s="3">
        <v>239.367465659495</v>
      </c>
      <c r="E123" s="3">
        <v>239.86266087493999</v>
      </c>
      <c r="G123" s="1">
        <v>45776</v>
      </c>
      <c r="H123" s="3">
        <v>113.796813964843</v>
      </c>
      <c r="I123">
        <v>114.05141696768401</v>
      </c>
      <c r="J123">
        <v>111.857934288111</v>
      </c>
      <c r="K123">
        <v>112.98404772524999</v>
      </c>
      <c r="M123" s="1">
        <v>45776</v>
      </c>
      <c r="N123" s="3">
        <v>39.535812377929602</v>
      </c>
      <c r="O123">
        <v>39.684106479392199</v>
      </c>
      <c r="P123">
        <v>39.031602627390697</v>
      </c>
      <c r="Q123">
        <v>39.179900500224903</v>
      </c>
    </row>
    <row r="124" spans="1:17" x14ac:dyDescent="0.3">
      <c r="A124" s="1">
        <v>45777</v>
      </c>
      <c r="B124" s="3">
        <v>242.26930236816401</v>
      </c>
      <c r="C124" s="3">
        <v>242.86354267156</v>
      </c>
      <c r="D124" s="3">
        <v>236.13878318301599</v>
      </c>
      <c r="E124" s="3">
        <v>238.892082484073</v>
      </c>
      <c r="G124" s="1">
        <v>45777</v>
      </c>
      <c r="H124" s="3">
        <v>113.93007659912099</v>
      </c>
      <c r="I124">
        <v>114.32491462724499</v>
      </c>
      <c r="J124">
        <v>110.58383767813</v>
      </c>
      <c r="K124">
        <v>111.649898094793</v>
      </c>
      <c r="M124" s="1">
        <v>45777</v>
      </c>
      <c r="N124" s="3">
        <v>39.4270629882812</v>
      </c>
      <c r="O124">
        <v>39.545699029385297</v>
      </c>
      <c r="P124">
        <v>38.379100606308697</v>
      </c>
      <c r="Q124">
        <v>38.912968448334603</v>
      </c>
    </row>
    <row r="125" spans="1:17" x14ac:dyDescent="0.3">
      <c r="A125" s="1">
        <v>45778</v>
      </c>
      <c r="B125" s="3">
        <v>244.51750183105401</v>
      </c>
      <c r="C125" s="3">
        <v>246.062508541868</v>
      </c>
      <c r="D125" s="3">
        <v>239.84285761711701</v>
      </c>
      <c r="E125" s="3">
        <v>240.50641741665001</v>
      </c>
      <c r="G125" s="1">
        <v>45778</v>
      </c>
      <c r="H125" s="3">
        <v>115.25277709960901</v>
      </c>
      <c r="I125">
        <v>116.299091420537</v>
      </c>
      <c r="J125">
        <v>113.189752459563</v>
      </c>
      <c r="K125">
        <v>114.04852456296599</v>
      </c>
      <c r="M125" s="1">
        <v>45778</v>
      </c>
      <c r="N125" s="3">
        <v>39.713768005371001</v>
      </c>
      <c r="O125">
        <v>39.980701936905596</v>
      </c>
      <c r="P125">
        <v>39.130472542213198</v>
      </c>
      <c r="Q125">
        <v>39.367744633773697</v>
      </c>
    </row>
    <row r="126" spans="1:17" x14ac:dyDescent="0.3">
      <c r="A126" s="1">
        <v>45779</v>
      </c>
      <c r="B126" s="3">
        <v>250.08348083496</v>
      </c>
      <c r="C126" s="3">
        <v>251.18281481145399</v>
      </c>
      <c r="D126" s="3">
        <v>247.06280212773001</v>
      </c>
      <c r="E126" s="3">
        <v>248.84549280342</v>
      </c>
      <c r="G126" s="1">
        <v>45779</v>
      </c>
      <c r="H126" s="3">
        <v>118.66811370849599</v>
      </c>
      <c r="I126">
        <v>118.95437108056301</v>
      </c>
      <c r="J126">
        <v>116.93083096428801</v>
      </c>
      <c r="K126">
        <v>117.75999154732899</v>
      </c>
      <c r="M126" s="1">
        <v>45779</v>
      </c>
      <c r="N126" s="3">
        <v>40.603546142578097</v>
      </c>
      <c r="O126">
        <v>40.761728787707803</v>
      </c>
      <c r="P126">
        <v>40.237749482847903</v>
      </c>
      <c r="Q126">
        <v>40.445363497448398</v>
      </c>
    </row>
    <row r="127" spans="1:17" x14ac:dyDescent="0.3">
      <c r="A127" s="1">
        <v>45782</v>
      </c>
      <c r="B127" s="3">
        <v>250.13301086425699</v>
      </c>
      <c r="C127" s="3">
        <v>252.70803209178499</v>
      </c>
      <c r="D127" s="3">
        <v>248.18194045918901</v>
      </c>
      <c r="E127" s="3">
        <v>248.76626720064499</v>
      </c>
      <c r="G127" s="1">
        <v>45782</v>
      </c>
      <c r="H127" s="3">
        <v>118.056114196777</v>
      </c>
      <c r="I127">
        <v>119.30972432497801</v>
      </c>
      <c r="J127">
        <v>116.86173466569799</v>
      </c>
      <c r="K127">
        <v>117.207215103463</v>
      </c>
      <c r="M127" s="1">
        <v>45782</v>
      </c>
      <c r="N127" s="3">
        <v>40.652980804443303</v>
      </c>
      <c r="O127">
        <v>41.018781265170603</v>
      </c>
      <c r="P127">
        <v>40.158659526957599</v>
      </c>
      <c r="Q127">
        <v>40.386046862036402</v>
      </c>
    </row>
    <row r="128" spans="1:17" x14ac:dyDescent="0.3">
      <c r="A128" s="1">
        <v>45783</v>
      </c>
      <c r="B128" s="3">
        <v>246.85481262207</v>
      </c>
      <c r="C128" s="3">
        <v>250.22213401116801</v>
      </c>
      <c r="D128" s="3">
        <v>246.60721501663099</v>
      </c>
      <c r="E128" s="3">
        <v>247.59760543838499</v>
      </c>
      <c r="G128" s="1">
        <v>45783</v>
      </c>
      <c r="H128" s="3">
        <v>116.802513122558</v>
      </c>
      <c r="I128">
        <v>117.61192767198</v>
      </c>
      <c r="J128">
        <v>115.696968176385</v>
      </c>
      <c r="K128">
        <v>116.289221438978</v>
      </c>
      <c r="M128" s="1">
        <v>45783</v>
      </c>
      <c r="N128" s="3">
        <v>40.3761596679687</v>
      </c>
      <c r="O128">
        <v>40.801276242752898</v>
      </c>
      <c r="P128">
        <v>40.099340976061598</v>
      </c>
      <c r="Q128">
        <v>40.188318951513402</v>
      </c>
    </row>
    <row r="129" spans="1:17" x14ac:dyDescent="0.3">
      <c r="A129" s="1">
        <v>45784</v>
      </c>
      <c r="B129" s="3">
        <v>246.99346923828099</v>
      </c>
      <c r="C129" s="3">
        <v>250.02406154233299</v>
      </c>
      <c r="D129" s="3">
        <v>246.43885301429199</v>
      </c>
      <c r="E129" s="3">
        <v>247.449055486362</v>
      </c>
      <c r="G129" s="1">
        <v>45784</v>
      </c>
      <c r="H129" s="3">
        <v>117.56256866455</v>
      </c>
      <c r="I129">
        <v>118.45095231307999</v>
      </c>
      <c r="J129">
        <v>116.67418501602</v>
      </c>
      <c r="K129">
        <v>116.802511700808</v>
      </c>
      <c r="M129" s="1">
        <v>45784</v>
      </c>
      <c r="N129" s="3">
        <v>40.465137481689403</v>
      </c>
      <c r="O129">
        <v>40.870480752378398</v>
      </c>
      <c r="P129">
        <v>40.395932808989201</v>
      </c>
      <c r="Q129">
        <v>40.573888759181699</v>
      </c>
    </row>
    <row r="130" spans="1:17" x14ac:dyDescent="0.3">
      <c r="A130" s="1">
        <v>45785</v>
      </c>
      <c r="B130" s="3">
        <v>251.034255981445</v>
      </c>
      <c r="C130" s="3">
        <v>253.42110047316601</v>
      </c>
      <c r="D130" s="3">
        <v>249.13270822626399</v>
      </c>
      <c r="E130" s="3">
        <v>249.15252026567501</v>
      </c>
      <c r="G130" s="1">
        <v>45785</v>
      </c>
      <c r="H130" s="3">
        <v>120.306678771972</v>
      </c>
      <c r="I130">
        <v>121.66886951599599</v>
      </c>
      <c r="J130">
        <v>118.441076912982</v>
      </c>
      <c r="K130">
        <v>118.441076912982</v>
      </c>
      <c r="M130" s="1">
        <v>45785</v>
      </c>
      <c r="N130" s="3">
        <v>41.127529144287102</v>
      </c>
      <c r="O130">
        <v>41.671285571458299</v>
      </c>
      <c r="P130">
        <v>40.781505755516399</v>
      </c>
      <c r="Q130">
        <v>40.8210523631965</v>
      </c>
    </row>
    <row r="131" spans="1:17" x14ac:dyDescent="0.3">
      <c r="A131" s="1">
        <v>45786</v>
      </c>
      <c r="B131" s="3">
        <v>250.64801025390599</v>
      </c>
      <c r="C131" s="3">
        <v>253.05465172976099</v>
      </c>
      <c r="D131" s="3">
        <v>249.91511589996</v>
      </c>
      <c r="E131" s="3">
        <v>252.05436284215901</v>
      </c>
      <c r="G131" s="1">
        <v>45786</v>
      </c>
      <c r="H131" s="3">
        <v>120.129005432128</v>
      </c>
      <c r="I131">
        <v>121.639261412324</v>
      </c>
      <c r="J131">
        <v>119.901978655664</v>
      </c>
      <c r="K131">
        <v>120.90880844488601</v>
      </c>
      <c r="M131" s="1">
        <v>45786</v>
      </c>
      <c r="N131" s="3">
        <v>41.3153686523437</v>
      </c>
      <c r="O131">
        <v>41.503209359066503</v>
      </c>
      <c r="P131">
        <v>41.216502145090899</v>
      </c>
      <c r="Q131">
        <v>41.256048747991997</v>
      </c>
    </row>
    <row r="132" spans="1:17" x14ac:dyDescent="0.3">
      <c r="A132" s="1">
        <v>45789</v>
      </c>
      <c r="B132" s="3">
        <v>257.551025390625</v>
      </c>
      <c r="C132" s="3">
        <v>261.06692963579098</v>
      </c>
      <c r="D132" s="3">
        <v>256.21402245760601</v>
      </c>
      <c r="E132" s="3">
        <v>260.373644228486</v>
      </c>
      <c r="G132" s="1">
        <v>45789</v>
      </c>
      <c r="H132" s="3">
        <v>125.41981506347599</v>
      </c>
      <c r="I132">
        <v>127.532189790714</v>
      </c>
      <c r="J132">
        <v>124.80782329240699</v>
      </c>
      <c r="K132">
        <v>125.775168525152</v>
      </c>
      <c r="M132" s="1">
        <v>45789</v>
      </c>
      <c r="N132" s="3">
        <v>42.867542266845703</v>
      </c>
      <c r="O132">
        <v>43.460726297919898</v>
      </c>
      <c r="P132">
        <v>42.452310427995997</v>
      </c>
      <c r="Q132">
        <v>42.827995659074801</v>
      </c>
    </row>
    <row r="133" spans="1:17" x14ac:dyDescent="0.3">
      <c r="A133" s="1">
        <v>45790</v>
      </c>
      <c r="B133" s="3">
        <v>260.48260498046801</v>
      </c>
      <c r="C133" s="3">
        <v>261.13626631205102</v>
      </c>
      <c r="D133" s="3">
        <v>257.88778680693503</v>
      </c>
      <c r="E133" s="3">
        <v>258.52162098572097</v>
      </c>
      <c r="G133" s="1">
        <v>45790</v>
      </c>
      <c r="H133" s="3">
        <v>127.68026733398401</v>
      </c>
      <c r="I133">
        <v>128.43045130944901</v>
      </c>
      <c r="J133">
        <v>125.587631039744</v>
      </c>
      <c r="K133">
        <v>126.110788230577</v>
      </c>
      <c r="M133" s="1">
        <v>45790</v>
      </c>
      <c r="N133" s="3">
        <v>43.777088165283203</v>
      </c>
      <c r="O133">
        <v>43.984705954022203</v>
      </c>
      <c r="P133">
        <v>42.926855022116001</v>
      </c>
      <c r="Q133">
        <v>42.926855022116001</v>
      </c>
    </row>
    <row r="134" spans="1:17" x14ac:dyDescent="0.3">
      <c r="A134" s="1">
        <v>45791</v>
      </c>
      <c r="B134" s="3">
        <v>263.08734130859301</v>
      </c>
      <c r="C134" s="3">
        <v>264.07773178743997</v>
      </c>
      <c r="D134" s="3">
        <v>259.76952715959197</v>
      </c>
      <c r="E134" s="3">
        <v>260.47269593676401</v>
      </c>
      <c r="G134" s="1">
        <v>45791</v>
      </c>
      <c r="H134" s="3">
        <v>129.34841918945301</v>
      </c>
      <c r="I134">
        <v>129.871591361974</v>
      </c>
      <c r="J134">
        <v>127.46308651776801</v>
      </c>
      <c r="K134">
        <v>127.690113267629</v>
      </c>
      <c r="M134" s="1">
        <v>45791</v>
      </c>
      <c r="N134" s="3">
        <v>44.231868743896399</v>
      </c>
      <c r="O134">
        <v>44.409820930810199</v>
      </c>
      <c r="P134">
        <v>43.628796193191697</v>
      </c>
      <c r="Q134">
        <v>43.688112331705597</v>
      </c>
    </row>
    <row r="135" spans="1:17" x14ac:dyDescent="0.3">
      <c r="A135" s="1">
        <v>45792</v>
      </c>
      <c r="B135" s="3">
        <v>264.91952514648398</v>
      </c>
      <c r="C135" s="3">
        <v>266.93001650052702</v>
      </c>
      <c r="D135" s="3">
        <v>262.21577862944002</v>
      </c>
      <c r="E135" s="3">
        <v>264.40453300617003</v>
      </c>
      <c r="G135" s="1">
        <v>45792</v>
      </c>
      <c r="H135" s="3">
        <v>130.79946899414</v>
      </c>
      <c r="I135">
        <v>131.312760711989</v>
      </c>
      <c r="J135">
        <v>128.34162117919601</v>
      </c>
      <c r="K135">
        <v>128.578513462958</v>
      </c>
      <c r="M135" s="1">
        <v>45792</v>
      </c>
      <c r="N135" s="3">
        <v>43.875957489013601</v>
      </c>
      <c r="O135">
        <v>44.469141511330498</v>
      </c>
      <c r="P135">
        <v>43.510157029591902</v>
      </c>
      <c r="Q135">
        <v>44.093456285797998</v>
      </c>
    </row>
    <row r="136" spans="1:17" x14ac:dyDescent="0.3">
      <c r="A136" s="1">
        <v>45793</v>
      </c>
      <c r="B136" s="3">
        <v>264.98886108398398</v>
      </c>
      <c r="C136" s="3">
        <v>265.88020642629198</v>
      </c>
      <c r="D136" s="3">
        <v>262.166242313076</v>
      </c>
      <c r="E136" s="3">
        <v>264.929440076118</v>
      </c>
      <c r="G136" s="1">
        <v>45793</v>
      </c>
      <c r="H136" s="3">
        <v>130.473709106445</v>
      </c>
      <c r="I136">
        <v>131.26338508800799</v>
      </c>
      <c r="J136">
        <v>130.08874413643201</v>
      </c>
      <c r="K136">
        <v>130.57242425232101</v>
      </c>
      <c r="M136" s="1">
        <v>45793</v>
      </c>
      <c r="N136" s="3">
        <v>44.182430267333899</v>
      </c>
      <c r="O136">
        <v>44.281296776353003</v>
      </c>
      <c r="P136">
        <v>43.164129738353303</v>
      </c>
      <c r="Q136">
        <v>43.836406914196303</v>
      </c>
    </row>
    <row r="137" spans="1:17" x14ac:dyDescent="0.3">
      <c r="A137" s="1">
        <v>45796</v>
      </c>
      <c r="B137" s="3">
        <v>262.33462524414</v>
      </c>
      <c r="C137" s="3">
        <v>265.741570784271</v>
      </c>
      <c r="D137" s="3">
        <v>259.41296134905099</v>
      </c>
      <c r="E137" s="3">
        <v>262.99816991499398</v>
      </c>
      <c r="G137" s="1">
        <v>45796</v>
      </c>
      <c r="H137" s="3">
        <v>129.15101623535099</v>
      </c>
      <c r="I137">
        <v>130.424372389372</v>
      </c>
      <c r="J137">
        <v>127.40387555788701</v>
      </c>
      <c r="K137">
        <v>128.61799358466101</v>
      </c>
      <c r="M137" s="1">
        <v>45796</v>
      </c>
      <c r="N137" s="3">
        <v>44.261524200439403</v>
      </c>
      <c r="O137">
        <v>44.6273208613799</v>
      </c>
      <c r="P137">
        <v>43.609020315699098</v>
      </c>
      <c r="Q137">
        <v>43.609020315699098</v>
      </c>
    </row>
    <row r="138" spans="1:17" x14ac:dyDescent="0.3">
      <c r="A138" s="1">
        <v>45797</v>
      </c>
      <c r="B138" s="3">
        <v>263.12692260742102</v>
      </c>
      <c r="C138" s="3">
        <v>264.09751611112102</v>
      </c>
      <c r="D138" s="3">
        <v>259.77939811280203</v>
      </c>
      <c r="E138" s="3">
        <v>259.99728521672102</v>
      </c>
      <c r="G138" s="1">
        <v>45797</v>
      </c>
      <c r="H138" s="3">
        <v>127.46310424804599</v>
      </c>
      <c r="I138">
        <v>128.70683386241899</v>
      </c>
      <c r="J138">
        <v>126.466132396584</v>
      </c>
      <c r="K138">
        <v>128.19354216967599</v>
      </c>
      <c r="M138" s="1">
        <v>45797</v>
      </c>
      <c r="N138" s="3">
        <v>44.182430267333899</v>
      </c>
      <c r="O138">
        <v>44.399932815804299</v>
      </c>
      <c r="P138">
        <v>43.905611584823902</v>
      </c>
      <c r="Q138">
        <v>44.083567529686498</v>
      </c>
    </row>
    <row r="139" spans="1:17" x14ac:dyDescent="0.3">
      <c r="A139" s="1">
        <v>45798</v>
      </c>
      <c r="B139" s="3">
        <v>258.53152465820301</v>
      </c>
      <c r="C139" s="3">
        <v>263.09721000365897</v>
      </c>
      <c r="D139" s="3">
        <v>258.22450604481003</v>
      </c>
      <c r="E139" s="3">
        <v>261.80971454261203</v>
      </c>
      <c r="G139" s="1">
        <v>45798</v>
      </c>
      <c r="H139" s="3">
        <v>123.68253326416</v>
      </c>
      <c r="I139">
        <v>126.979414334407</v>
      </c>
      <c r="J139">
        <v>123.45549896925201</v>
      </c>
      <c r="K139">
        <v>126.43651114935101</v>
      </c>
      <c r="M139" s="1">
        <v>45798</v>
      </c>
      <c r="N139" s="3">
        <v>42.7587890625</v>
      </c>
      <c r="O139">
        <v>43.984707448782203</v>
      </c>
      <c r="P139">
        <v>42.659926318881098</v>
      </c>
      <c r="Q139">
        <v>43.866067630793303</v>
      </c>
    </row>
    <row r="140" spans="1:17" x14ac:dyDescent="0.3">
      <c r="A140" s="1">
        <v>45799</v>
      </c>
      <c r="B140" s="3">
        <v>258.16510009765602</v>
      </c>
      <c r="C140" s="3">
        <v>259.77941119398798</v>
      </c>
      <c r="D140" s="3">
        <v>256.38237909645898</v>
      </c>
      <c r="E140" s="3">
        <v>256.94690892471999</v>
      </c>
      <c r="G140" s="1">
        <v>45799</v>
      </c>
      <c r="H140" s="3">
        <v>124.63014221191401</v>
      </c>
      <c r="I140">
        <v>125.429683707327</v>
      </c>
      <c r="J140">
        <v>123.001440157891</v>
      </c>
      <c r="K140">
        <v>123.001440157891</v>
      </c>
      <c r="M140" s="1">
        <v>45799</v>
      </c>
      <c r="N140" s="3">
        <v>42.818107604980398</v>
      </c>
      <c r="O140">
        <v>43.075152993009198</v>
      </c>
      <c r="P140">
        <v>42.472080470613797</v>
      </c>
      <c r="Q140">
        <v>42.689583025280101</v>
      </c>
    </row>
    <row r="141" spans="1:17" x14ac:dyDescent="0.3">
      <c r="A141" s="1">
        <v>45800</v>
      </c>
      <c r="B141" s="3">
        <v>258.20468139648398</v>
      </c>
      <c r="C141" s="3">
        <v>259.472379942104</v>
      </c>
      <c r="D141" s="3">
        <v>253.53995091856399</v>
      </c>
      <c r="E141" s="3">
        <v>254.342164751572</v>
      </c>
      <c r="G141" s="1">
        <v>45800</v>
      </c>
      <c r="H141" s="3">
        <v>124.44259643554599</v>
      </c>
      <c r="I141">
        <v>124.936142071847</v>
      </c>
      <c r="J141">
        <v>122.28086413865999</v>
      </c>
      <c r="K141">
        <v>122.498025423577</v>
      </c>
      <c r="M141" s="1">
        <v>45800</v>
      </c>
      <c r="N141" s="3">
        <v>42.709358215332003</v>
      </c>
      <c r="O141">
        <v>42.936745545546103</v>
      </c>
      <c r="P141">
        <v>41.869009798761098</v>
      </c>
      <c r="Q141">
        <v>41.997534384142</v>
      </c>
    </row>
    <row r="142" spans="1:17" x14ac:dyDescent="0.3">
      <c r="A142" s="1">
        <v>45804</v>
      </c>
      <c r="B142" s="3">
        <v>262.74069213867102</v>
      </c>
      <c r="C142" s="3">
        <v>262.75057549067998</v>
      </c>
      <c r="D142" s="3">
        <v>259.47238550421099</v>
      </c>
      <c r="E142" s="3">
        <v>259.52192316152701</v>
      </c>
      <c r="G142" s="1">
        <v>45804</v>
      </c>
      <c r="H142" s="3">
        <v>127.542068481445</v>
      </c>
      <c r="I142">
        <v>127.85792985287</v>
      </c>
      <c r="J142">
        <v>125.182913438841</v>
      </c>
      <c r="K142">
        <v>125.89362035182</v>
      </c>
      <c r="M142" s="1">
        <v>45804</v>
      </c>
      <c r="N142" s="3">
        <v>43.7177734375</v>
      </c>
      <c r="O142">
        <v>43.7177734375</v>
      </c>
      <c r="P142">
        <v>42.808220358064297</v>
      </c>
      <c r="Q142">
        <v>43.2926568522266</v>
      </c>
    </row>
    <row r="143" spans="1:17" x14ac:dyDescent="0.3">
      <c r="A143" s="1">
        <v>45805</v>
      </c>
      <c r="B143" s="3">
        <v>260.95797729492102</v>
      </c>
      <c r="C143" s="3">
        <v>264.15694941861699</v>
      </c>
      <c r="D143" s="3">
        <v>260.37365054000202</v>
      </c>
      <c r="E143" s="3">
        <v>263.681551108571</v>
      </c>
      <c r="G143" s="1">
        <v>45805</v>
      </c>
      <c r="H143" s="3">
        <v>125.864013671875</v>
      </c>
      <c r="I143">
        <v>127.74935413730699</v>
      </c>
      <c r="J143">
        <v>125.627106337808</v>
      </c>
      <c r="K143">
        <v>127.54207339909</v>
      </c>
      <c r="M143" s="1">
        <v>45805</v>
      </c>
      <c r="N143" s="3">
        <v>43.5595893859863</v>
      </c>
      <c r="O143">
        <v>43.935270816099099</v>
      </c>
      <c r="P143">
        <v>43.460722874347297</v>
      </c>
      <c r="Q143">
        <v>43.707883496387097</v>
      </c>
    </row>
    <row r="144" spans="1:17" x14ac:dyDescent="0.3">
      <c r="A144" s="1">
        <v>45806</v>
      </c>
      <c r="B144" s="3">
        <v>261.829498291015</v>
      </c>
      <c r="C144" s="3">
        <v>262.85951274259702</v>
      </c>
      <c r="D144" s="3">
        <v>260.00718363010299</v>
      </c>
      <c r="E144" s="3">
        <v>262.25535889792201</v>
      </c>
      <c r="G144" s="1">
        <v>45806</v>
      </c>
      <c r="H144" s="3">
        <v>126.50562286376901</v>
      </c>
      <c r="I144">
        <v>126.742515132912</v>
      </c>
      <c r="J144">
        <v>125.291497268052</v>
      </c>
      <c r="K144">
        <v>126.44639979648301</v>
      </c>
      <c r="M144" s="1">
        <v>45806</v>
      </c>
      <c r="N144" s="3">
        <v>43.737548828125</v>
      </c>
      <c r="O144">
        <v>43.955047628354997</v>
      </c>
      <c r="P144">
        <v>43.4014102044544</v>
      </c>
      <c r="Q144">
        <v>43.866069646460701</v>
      </c>
    </row>
    <row r="145" spans="1:17" x14ac:dyDescent="0.3">
      <c r="A145" s="1">
        <v>45807</v>
      </c>
      <c r="B145" s="3">
        <v>261.46307373046801</v>
      </c>
      <c r="C145" s="3">
        <v>262.78027970472903</v>
      </c>
      <c r="D145" s="3">
        <v>260.20528876410998</v>
      </c>
      <c r="E145" s="3">
        <v>260.918371083257</v>
      </c>
      <c r="G145" s="1">
        <v>45807</v>
      </c>
      <c r="H145" s="3">
        <v>126.37728881835901</v>
      </c>
      <c r="I145">
        <v>126.673419199362</v>
      </c>
      <c r="J145">
        <v>124.71897525273801</v>
      </c>
      <c r="K145">
        <v>125.962712309681</v>
      </c>
      <c r="M145" s="1">
        <v>45807</v>
      </c>
      <c r="N145" s="3">
        <v>43.628795623779297</v>
      </c>
      <c r="O145">
        <v>43.796863042537801</v>
      </c>
      <c r="P145">
        <v>43.223452339945801</v>
      </c>
      <c r="Q145">
        <v>43.688111761518996</v>
      </c>
    </row>
    <row r="146" spans="1:17" x14ac:dyDescent="0.3">
      <c r="A146" s="1">
        <v>45810</v>
      </c>
      <c r="B146" s="3">
        <v>262.11672973632801</v>
      </c>
      <c r="C146" s="3">
        <v>262.48316935241502</v>
      </c>
      <c r="D146" s="3">
        <v>259.38324253087302</v>
      </c>
      <c r="E146" s="3">
        <v>260.49247495502402</v>
      </c>
      <c r="G146" s="1">
        <v>45810</v>
      </c>
      <c r="H146" s="3">
        <v>126.74251556396401</v>
      </c>
      <c r="I146">
        <v>126.81161918391101</v>
      </c>
      <c r="J146">
        <v>124.728855960316</v>
      </c>
      <c r="K146">
        <v>125.83440091583</v>
      </c>
      <c r="M146" s="1">
        <v>45810</v>
      </c>
      <c r="N146" s="3">
        <v>43.5793647766113</v>
      </c>
      <c r="O146">
        <v>43.648569452388898</v>
      </c>
      <c r="P146">
        <v>42.867540944187503</v>
      </c>
      <c r="Q146">
        <v>43.381635515230002</v>
      </c>
    </row>
    <row r="147" spans="1:17" x14ac:dyDescent="0.3">
      <c r="A147" s="1">
        <v>45811</v>
      </c>
      <c r="B147" s="3">
        <v>263.71124267578102</v>
      </c>
      <c r="C147" s="3">
        <v>264.01826128387103</v>
      </c>
      <c r="D147" s="3">
        <v>260.353834914164</v>
      </c>
      <c r="E147" s="3">
        <v>261.19567280460899</v>
      </c>
      <c r="G147" s="1">
        <v>45811</v>
      </c>
      <c r="H147" s="3">
        <v>127.018898010253</v>
      </c>
      <c r="I147">
        <v>127.512443647648</v>
      </c>
      <c r="J147">
        <v>125.488911052875</v>
      </c>
      <c r="K147">
        <v>126.466129306262</v>
      </c>
      <c r="M147" s="1">
        <v>45811</v>
      </c>
      <c r="N147" s="3">
        <v>44.142887115478501</v>
      </c>
      <c r="O147">
        <v>44.221976550749403</v>
      </c>
      <c r="P147">
        <v>43.440948106326204</v>
      </c>
      <c r="Q147">
        <v>43.510152776452699</v>
      </c>
    </row>
    <row r="148" spans="1:17" x14ac:dyDescent="0.3">
      <c r="A148" s="1">
        <v>45812</v>
      </c>
      <c r="B148" s="3">
        <v>261.68096923828102</v>
      </c>
      <c r="C148" s="3">
        <v>264.55309553497</v>
      </c>
      <c r="D148" s="3">
        <v>261.64134515696702</v>
      </c>
      <c r="E148" s="3">
        <v>263.36464511443501</v>
      </c>
      <c r="G148" s="1">
        <v>45812</v>
      </c>
      <c r="H148" s="3">
        <v>126.50562286376901</v>
      </c>
      <c r="I148">
        <v>127.74935246222</v>
      </c>
      <c r="J148">
        <v>126.50562286376901</v>
      </c>
      <c r="K148">
        <v>127.176837708763</v>
      </c>
      <c r="M148" s="1">
        <v>45812</v>
      </c>
      <c r="N148" s="3">
        <v>43.856182098388601</v>
      </c>
      <c r="O148">
        <v>44.577890674032503</v>
      </c>
      <c r="P148">
        <v>43.836408795736098</v>
      </c>
      <c r="Q148">
        <v>44.093454187475203</v>
      </c>
    </row>
    <row r="149" spans="1:17" x14ac:dyDescent="0.3">
      <c r="A149" s="1">
        <v>45813</v>
      </c>
      <c r="B149" s="3">
        <v>259.43280029296801</v>
      </c>
      <c r="C149" s="3">
        <v>262.19596799161098</v>
      </c>
      <c r="D149" s="3">
        <v>257.80854538577898</v>
      </c>
      <c r="E149" s="3">
        <v>262.19596799161098</v>
      </c>
      <c r="G149" s="1">
        <v>45813</v>
      </c>
      <c r="H149" s="3">
        <v>128.93385314941401</v>
      </c>
      <c r="I149">
        <v>129.35831021541799</v>
      </c>
      <c r="J149">
        <v>125.69619508212701</v>
      </c>
      <c r="K149">
        <v>126.712897855962</v>
      </c>
      <c r="M149" s="1">
        <v>45813</v>
      </c>
      <c r="N149" s="3">
        <v>43.875957489013601</v>
      </c>
      <c r="O149">
        <v>44.073686753576602</v>
      </c>
      <c r="P149">
        <v>43.510157029591902</v>
      </c>
      <c r="Q149">
        <v>43.945162165904897</v>
      </c>
    </row>
    <row r="150" spans="1:17" x14ac:dyDescent="0.3">
      <c r="A150" s="1">
        <v>45814</v>
      </c>
      <c r="B150" s="3">
        <v>263.17645263671801</v>
      </c>
      <c r="C150" s="3">
        <v>264.08759488174599</v>
      </c>
      <c r="D150" s="3">
        <v>261.720577535519</v>
      </c>
      <c r="E150" s="3">
        <v>261.78988189324002</v>
      </c>
      <c r="G150" s="1">
        <v>45814</v>
      </c>
      <c r="H150" s="3">
        <v>130.11837768554599</v>
      </c>
      <c r="I150">
        <v>131.845787398016</v>
      </c>
      <c r="J150">
        <v>129.13128642127799</v>
      </c>
      <c r="K150">
        <v>130.37501599200201</v>
      </c>
      <c r="M150" s="1">
        <v>45814</v>
      </c>
      <c r="N150" s="3">
        <v>44.7212524414062</v>
      </c>
      <c r="O150">
        <v>44.920143118903702</v>
      </c>
      <c r="P150">
        <v>44.393075995061601</v>
      </c>
      <c r="Q150">
        <v>44.442798664435998</v>
      </c>
    </row>
    <row r="151" spans="1:17" x14ac:dyDescent="0.3">
      <c r="A151" s="1">
        <v>45817</v>
      </c>
      <c r="B151" s="3">
        <v>264.17672729492102</v>
      </c>
      <c r="C151" s="3">
        <v>265.32558379310501</v>
      </c>
      <c r="D151" s="3">
        <v>260.81931953433298</v>
      </c>
      <c r="E151" s="3">
        <v>263.44384806606803</v>
      </c>
      <c r="G151" s="1">
        <v>45817</v>
      </c>
      <c r="H151" s="3">
        <v>130.24668884277301</v>
      </c>
      <c r="I151">
        <v>131.18442252811599</v>
      </c>
      <c r="J151">
        <v>129.417535798584</v>
      </c>
      <c r="K151">
        <v>130.52307319083599</v>
      </c>
      <c r="M151" s="1">
        <v>45817</v>
      </c>
      <c r="N151" s="3">
        <v>44.621803283691399</v>
      </c>
      <c r="O151">
        <v>45.148874200830299</v>
      </c>
      <c r="P151">
        <v>44.532300961429797</v>
      </c>
      <c r="Q151">
        <v>44.860477407587801</v>
      </c>
    </row>
    <row r="152" spans="1:17" x14ac:dyDescent="0.3">
      <c r="A152" s="1">
        <v>45818</v>
      </c>
      <c r="B152" s="3">
        <v>266.01885986328102</v>
      </c>
      <c r="C152" s="3">
        <v>266.31596488504198</v>
      </c>
      <c r="D152" s="3">
        <v>263.29528634131299</v>
      </c>
      <c r="E152" s="3">
        <v>263.32499684348898</v>
      </c>
      <c r="G152" s="1">
        <v>45818</v>
      </c>
      <c r="H152" s="3">
        <v>130.11837768554599</v>
      </c>
      <c r="I152">
        <v>130.75011549220599</v>
      </c>
      <c r="J152">
        <v>129.457013284087</v>
      </c>
      <c r="K152">
        <v>129.90121640246201</v>
      </c>
      <c r="M152" s="1">
        <v>45818</v>
      </c>
      <c r="N152" s="3">
        <v>44.840587615966797</v>
      </c>
      <c r="O152">
        <v>44.949979764771101</v>
      </c>
      <c r="P152">
        <v>44.502468153115402</v>
      </c>
      <c r="Q152">
        <v>44.552190822500201</v>
      </c>
    </row>
    <row r="153" spans="1:17" x14ac:dyDescent="0.3">
      <c r="A153" s="1">
        <v>45819</v>
      </c>
      <c r="B153" s="3">
        <v>265.57318115234301</v>
      </c>
      <c r="C153" s="3">
        <v>267.02905625719501</v>
      </c>
      <c r="D153" s="3">
        <v>263.23587430336602</v>
      </c>
      <c r="E153" s="3">
        <v>266.09808685821099</v>
      </c>
      <c r="G153" s="1">
        <v>45819</v>
      </c>
      <c r="H153" s="3">
        <v>130.10848999023401</v>
      </c>
      <c r="I153">
        <v>131.72731897228601</v>
      </c>
      <c r="J153">
        <v>129.723525020777</v>
      </c>
      <c r="K153">
        <v>130.32565126139599</v>
      </c>
      <c r="M153" s="1">
        <v>45819</v>
      </c>
      <c r="N153" s="3">
        <v>44.482578277587798</v>
      </c>
      <c r="O153">
        <v>45.158817202544803</v>
      </c>
      <c r="P153">
        <v>44.303573633123001</v>
      </c>
      <c r="Q153">
        <v>44.949979715201302</v>
      </c>
    </row>
    <row r="154" spans="1:17" x14ac:dyDescent="0.3">
      <c r="A154" s="1">
        <v>45820</v>
      </c>
      <c r="B154" s="3">
        <v>265.66229248046801</v>
      </c>
      <c r="C154" s="3">
        <v>265.71183013156298</v>
      </c>
      <c r="D154" s="3">
        <v>262.59210663653801</v>
      </c>
      <c r="E154" s="3">
        <v>264.29554898900801</v>
      </c>
      <c r="G154" s="1">
        <v>45820</v>
      </c>
      <c r="H154" s="3">
        <v>130.21707153320301</v>
      </c>
      <c r="I154">
        <v>130.296040637977</v>
      </c>
      <c r="J154">
        <v>128.124442973041</v>
      </c>
      <c r="K154">
        <v>128.97334202209399</v>
      </c>
      <c r="M154" s="1">
        <v>45820</v>
      </c>
      <c r="N154" s="3">
        <v>44.3731880187988</v>
      </c>
      <c r="O154">
        <v>44.403024656544702</v>
      </c>
      <c r="P154">
        <v>43.776508374233799</v>
      </c>
      <c r="Q154">
        <v>44.154407505709798</v>
      </c>
    </row>
    <row r="155" spans="1:17" x14ac:dyDescent="0.3">
      <c r="A155" s="1">
        <v>45821</v>
      </c>
      <c r="B155" s="3">
        <v>262.40396118164</v>
      </c>
      <c r="C155" s="3">
        <v>264.45404643769302</v>
      </c>
      <c r="D155" s="3">
        <v>260.18546602647803</v>
      </c>
      <c r="E155" s="3">
        <v>262.53268655140101</v>
      </c>
      <c r="G155" s="1">
        <v>45821</v>
      </c>
      <c r="H155" s="3">
        <v>127.81845092773401</v>
      </c>
      <c r="I155">
        <v>129.378056904576</v>
      </c>
      <c r="J155">
        <v>127.14722104798901</v>
      </c>
      <c r="K155">
        <v>128.50941178790001</v>
      </c>
      <c r="M155" s="1">
        <v>45821</v>
      </c>
      <c r="N155" s="3">
        <v>43.846118927001903</v>
      </c>
      <c r="O155">
        <v>44.214071231699997</v>
      </c>
      <c r="P155">
        <v>43.418497143056896</v>
      </c>
      <c r="Q155">
        <v>43.756616604929803</v>
      </c>
    </row>
    <row r="156" spans="1:17" x14ac:dyDescent="0.3">
      <c r="A156" s="1">
        <v>45824</v>
      </c>
      <c r="B156" s="3">
        <v>267.76193237304602</v>
      </c>
      <c r="C156" s="3">
        <v>269.11879260104399</v>
      </c>
      <c r="D156" s="3">
        <v>264.28568264317499</v>
      </c>
      <c r="E156" s="3">
        <v>264.43423515738903</v>
      </c>
      <c r="G156" s="1">
        <v>45824</v>
      </c>
      <c r="H156" s="3">
        <v>129.21023559570301</v>
      </c>
      <c r="I156">
        <v>131.08571796418201</v>
      </c>
      <c r="J156">
        <v>128.60810934473099</v>
      </c>
      <c r="K156">
        <v>128.60810934473099</v>
      </c>
      <c r="M156" s="1">
        <v>45824</v>
      </c>
      <c r="N156" s="3">
        <v>44.164348602294901</v>
      </c>
      <c r="O156">
        <v>44.641693055911297</v>
      </c>
      <c r="P156">
        <v>44.104679122994099</v>
      </c>
      <c r="Q156">
        <v>44.3930759158863</v>
      </c>
    </row>
    <row r="157" spans="1:17" x14ac:dyDescent="0.3">
      <c r="A157" s="1">
        <v>45825</v>
      </c>
      <c r="B157" s="3">
        <v>266.93002319335898</v>
      </c>
      <c r="C157" s="3">
        <v>267.98974822865603</v>
      </c>
      <c r="D157" s="3">
        <v>265.22655041044902</v>
      </c>
      <c r="E157" s="3">
        <v>265.59302026536301</v>
      </c>
      <c r="G157" s="1">
        <v>45825</v>
      </c>
      <c r="H157" s="3">
        <v>128.41069030761699</v>
      </c>
      <c r="I157">
        <v>129.47675060866399</v>
      </c>
      <c r="J157">
        <v>127.986248322232</v>
      </c>
      <c r="K157">
        <v>128.16391750816501</v>
      </c>
      <c r="M157" s="1">
        <v>45825</v>
      </c>
      <c r="N157" s="3">
        <v>43.985343933105398</v>
      </c>
      <c r="O157">
        <v>44.422908733607102</v>
      </c>
      <c r="P157">
        <v>43.816286098910403</v>
      </c>
      <c r="Q157">
        <v>44.025123585950098</v>
      </c>
    </row>
    <row r="158" spans="1:17" x14ac:dyDescent="0.3">
      <c r="A158" s="1">
        <v>45826</v>
      </c>
      <c r="B158" s="3">
        <v>271.32736206054602</v>
      </c>
      <c r="C158" s="3">
        <v>275.05123986332501</v>
      </c>
      <c r="D158" s="3">
        <v>267.128116180353</v>
      </c>
      <c r="E158" s="3">
        <v>267.40542430028501</v>
      </c>
      <c r="G158" s="1">
        <v>45826</v>
      </c>
      <c r="H158" s="3">
        <v>130.80934143066401</v>
      </c>
      <c r="I158">
        <v>131.24366400637001</v>
      </c>
      <c r="J158">
        <v>128.252763553086</v>
      </c>
      <c r="K158">
        <v>128.34161321580299</v>
      </c>
      <c r="M158" s="1">
        <v>45826</v>
      </c>
      <c r="N158" s="3">
        <v>44.810756683349602</v>
      </c>
      <c r="O158">
        <v>44.949981681000601</v>
      </c>
      <c r="P158">
        <v>43.965456093387601</v>
      </c>
      <c r="Q158">
        <v>44.015178764891999</v>
      </c>
    </row>
    <row r="159" spans="1:17" x14ac:dyDescent="0.3">
      <c r="A159" s="1">
        <v>45828</v>
      </c>
      <c r="B159" s="3">
        <v>272.35736083984301</v>
      </c>
      <c r="C159" s="3">
        <v>274.63524667714103</v>
      </c>
      <c r="D159" s="3">
        <v>271.17879384226399</v>
      </c>
      <c r="E159" s="3">
        <v>272.92189062341998</v>
      </c>
      <c r="G159" s="1">
        <v>45828</v>
      </c>
      <c r="H159" s="3">
        <v>130.99688720703099</v>
      </c>
      <c r="I159">
        <v>131.64835598899001</v>
      </c>
      <c r="J159">
        <v>130.20721118989101</v>
      </c>
      <c r="K159">
        <v>131.628625008379</v>
      </c>
      <c r="M159" s="1">
        <v>45828</v>
      </c>
      <c r="N159" s="3">
        <v>45.248321533203097</v>
      </c>
      <c r="O159">
        <v>45.397493341410502</v>
      </c>
      <c r="P159">
        <v>45.019594209255899</v>
      </c>
      <c r="Q159">
        <v>45.059373863924101</v>
      </c>
    </row>
    <row r="160" spans="1:17" x14ac:dyDescent="0.3">
      <c r="A160" s="1">
        <v>45831</v>
      </c>
      <c r="B160" s="3">
        <v>275.59591674804602</v>
      </c>
      <c r="C160" s="3">
        <v>275.87322484203901</v>
      </c>
      <c r="D160" s="3">
        <v>269.49510845589901</v>
      </c>
      <c r="E160" s="3">
        <v>272.41677213043499</v>
      </c>
      <c r="G160" s="1">
        <v>45831</v>
      </c>
      <c r="H160" s="3">
        <v>132.27023315429599</v>
      </c>
      <c r="I160">
        <v>132.36894830824301</v>
      </c>
      <c r="J160">
        <v>129.21024412376099</v>
      </c>
      <c r="K160">
        <v>130.355273637545</v>
      </c>
      <c r="M160" s="1">
        <v>45831</v>
      </c>
      <c r="N160" s="3">
        <v>46.043895721435497</v>
      </c>
      <c r="O160">
        <v>46.113508220401599</v>
      </c>
      <c r="P160">
        <v>44.860479445415699</v>
      </c>
      <c r="Q160">
        <v>45.148876251758999</v>
      </c>
    </row>
    <row r="161" spans="1:17" x14ac:dyDescent="0.3">
      <c r="A161" s="1">
        <v>45832</v>
      </c>
      <c r="B161" s="3">
        <v>278.55722045898398</v>
      </c>
      <c r="C161" s="3">
        <v>279.99326843987899</v>
      </c>
      <c r="D161" s="3">
        <v>276.82403721615702</v>
      </c>
      <c r="E161" s="3">
        <v>277.51729237869699</v>
      </c>
      <c r="G161" s="1">
        <v>45832</v>
      </c>
      <c r="H161" s="3">
        <v>134.14569091796801</v>
      </c>
      <c r="I161">
        <v>134.91562086545301</v>
      </c>
      <c r="J161">
        <v>133.26718033369301</v>
      </c>
      <c r="K161">
        <v>133.92852964438899</v>
      </c>
      <c r="M161" s="1">
        <v>45832</v>
      </c>
      <c r="N161" s="3">
        <v>46.401905059814403</v>
      </c>
      <c r="O161">
        <v>46.928972207675002</v>
      </c>
      <c r="P161">
        <v>46.312402733423298</v>
      </c>
      <c r="Q161">
        <v>46.491407386205502</v>
      </c>
    </row>
    <row r="162" spans="1:17" x14ac:dyDescent="0.3">
      <c r="A162" s="1">
        <v>45833</v>
      </c>
      <c r="B162" s="3">
        <v>281.33029174804602</v>
      </c>
      <c r="C162" s="3">
        <v>281.54817884280601</v>
      </c>
      <c r="D162" s="3">
        <v>278.21056806460302</v>
      </c>
      <c r="E162" s="3">
        <v>278.79489476774899</v>
      </c>
      <c r="G162" s="1">
        <v>45833</v>
      </c>
      <c r="H162" s="3">
        <v>135.94219970703099</v>
      </c>
      <c r="I162">
        <v>136.11000340168499</v>
      </c>
      <c r="J162">
        <v>133.66202147112</v>
      </c>
      <c r="K162">
        <v>134.36284778045001</v>
      </c>
      <c r="M162" s="1">
        <v>45833</v>
      </c>
      <c r="N162" s="3">
        <v>46.590850830078097</v>
      </c>
      <c r="O162">
        <v>46.720132805949497</v>
      </c>
      <c r="P162">
        <v>46.203008696060301</v>
      </c>
      <c r="Q162">
        <v>46.3223476554477</v>
      </c>
    </row>
    <row r="163" spans="1:17" x14ac:dyDescent="0.3">
      <c r="A163" s="1">
        <v>45834</v>
      </c>
      <c r="B163" s="3">
        <v>285.97525024414</v>
      </c>
      <c r="C163" s="3">
        <v>286.62891158590202</v>
      </c>
      <c r="D163" s="3">
        <v>281.73638021139902</v>
      </c>
      <c r="E163" s="3">
        <v>281.964180901872</v>
      </c>
      <c r="G163" s="1">
        <v>45834</v>
      </c>
      <c r="H163" s="3">
        <v>137.94599914550699</v>
      </c>
      <c r="I163">
        <v>138.39018718584899</v>
      </c>
      <c r="J163">
        <v>136.060651284747</v>
      </c>
      <c r="K163">
        <v>136.22845498612901</v>
      </c>
      <c r="M163" s="1">
        <v>45834</v>
      </c>
      <c r="N163" s="3">
        <v>47.197479248046797</v>
      </c>
      <c r="O163">
        <v>47.316818212454201</v>
      </c>
      <c r="P163">
        <v>46.640579255199299</v>
      </c>
      <c r="Q163">
        <v>46.690301926903999</v>
      </c>
    </row>
    <row r="164" spans="1:17" x14ac:dyDescent="0.3">
      <c r="A164" s="1">
        <v>45835</v>
      </c>
      <c r="B164" s="3">
        <v>284.350982666015</v>
      </c>
      <c r="C164" s="3">
        <v>285.92573005163598</v>
      </c>
      <c r="D164" s="3">
        <v>282.30089744051003</v>
      </c>
      <c r="E164" s="3">
        <v>283.063487193046</v>
      </c>
      <c r="G164" s="1">
        <v>45835</v>
      </c>
      <c r="H164" s="3">
        <v>138.87388610839801</v>
      </c>
      <c r="I164">
        <v>140.06825822161599</v>
      </c>
      <c r="J164">
        <v>137.30441445789501</v>
      </c>
      <c r="K164">
        <v>138.439563499293</v>
      </c>
      <c r="M164" s="1">
        <v>45835</v>
      </c>
      <c r="N164" s="3">
        <v>46.859359741210902</v>
      </c>
      <c r="O164">
        <v>47.4063167168269</v>
      </c>
      <c r="P164">
        <v>46.650522244018802</v>
      </c>
      <c r="Q164">
        <v>47.187536202738499</v>
      </c>
    </row>
    <row r="165" spans="1:17" x14ac:dyDescent="0.3">
      <c r="A165" s="1">
        <v>45838</v>
      </c>
      <c r="B165" s="3">
        <v>287.12408447265602</v>
      </c>
      <c r="C165" s="3">
        <v>289.83774449670199</v>
      </c>
      <c r="D165" s="3">
        <v>286.14360764849903</v>
      </c>
      <c r="E165" s="3">
        <v>287.60936609684398</v>
      </c>
      <c r="G165" s="1">
        <v>45838</v>
      </c>
      <c r="H165" s="3">
        <v>139.04167175292901</v>
      </c>
      <c r="I165">
        <v>140.018897496346</v>
      </c>
      <c r="J165">
        <v>137.74858464693801</v>
      </c>
      <c r="K165">
        <v>139.68327502997599</v>
      </c>
      <c r="M165" s="1">
        <v>45838</v>
      </c>
      <c r="N165" s="3">
        <v>47.058254241943303</v>
      </c>
      <c r="O165">
        <v>47.356594065718298</v>
      </c>
      <c r="P165">
        <v>46.769857435069</v>
      </c>
      <c r="Q165">
        <v>47.356594065718298</v>
      </c>
    </row>
    <row r="166" spans="1:17" x14ac:dyDescent="0.3">
      <c r="A166" s="1">
        <v>45839</v>
      </c>
      <c r="B166" s="3">
        <v>287.61929321289</v>
      </c>
      <c r="C166" s="3">
        <v>288.332375543387</v>
      </c>
      <c r="D166" s="3">
        <v>283.83599445318799</v>
      </c>
      <c r="E166" s="3">
        <v>288.09469150799401</v>
      </c>
      <c r="G166" s="1">
        <v>45839</v>
      </c>
      <c r="H166" s="3">
        <v>139.24897766113199</v>
      </c>
      <c r="I166">
        <v>139.78200033876701</v>
      </c>
      <c r="J166">
        <v>137.66962554800699</v>
      </c>
      <c r="K166">
        <v>138.73568596509401</v>
      </c>
      <c r="M166" s="1">
        <v>45839</v>
      </c>
      <c r="N166" s="3">
        <v>47.883663177490199</v>
      </c>
      <c r="O166">
        <v>48.1521663531068</v>
      </c>
      <c r="P166">
        <v>46.680353324291097</v>
      </c>
      <c r="Q166">
        <v>46.759912630841697</v>
      </c>
    </row>
    <row r="167" spans="1:17" x14ac:dyDescent="0.3">
      <c r="A167" s="1">
        <v>45840</v>
      </c>
      <c r="B167" s="3">
        <v>289.19403076171801</v>
      </c>
      <c r="C167" s="3">
        <v>290.00615823892701</v>
      </c>
      <c r="D167" s="3">
        <v>286.91614466393997</v>
      </c>
      <c r="E167" s="3">
        <v>289.23365484518001</v>
      </c>
      <c r="G167" s="1">
        <v>45840</v>
      </c>
      <c r="H167" s="3">
        <v>141.015853881835</v>
      </c>
      <c r="I167">
        <v>141.03559992376699</v>
      </c>
      <c r="J167">
        <v>139.16011754752799</v>
      </c>
      <c r="K167">
        <v>139.791855332979</v>
      </c>
      <c r="M167" s="1">
        <v>45840</v>
      </c>
      <c r="N167" s="3">
        <v>48.440563201904297</v>
      </c>
      <c r="O167">
        <v>48.460453028563599</v>
      </c>
      <c r="P167">
        <v>47.794160906659201</v>
      </c>
      <c r="Q167">
        <v>48.0925007193566</v>
      </c>
    </row>
    <row r="168" spans="1:17" x14ac:dyDescent="0.3">
      <c r="A168" s="1">
        <v>45841</v>
      </c>
      <c r="B168" s="3">
        <v>294.56787109375</v>
      </c>
      <c r="C168" s="3">
        <v>294.96592971043202</v>
      </c>
      <c r="D168" s="3">
        <v>289.80103791942997</v>
      </c>
      <c r="E168" s="3">
        <v>290.73649237209202</v>
      </c>
      <c r="G168" s="1">
        <v>45841</v>
      </c>
      <c r="H168" s="3">
        <v>142.27932739257801</v>
      </c>
      <c r="I168">
        <v>142.693903896232</v>
      </c>
      <c r="J168">
        <v>140.82830209887999</v>
      </c>
      <c r="K168">
        <v>141.509397448389</v>
      </c>
      <c r="M168" s="1">
        <v>45841</v>
      </c>
      <c r="N168" s="3">
        <v>48.659347534179602</v>
      </c>
      <c r="O168">
        <v>49.037246653767902</v>
      </c>
      <c r="P168">
        <v>48.540012367739998</v>
      </c>
      <c r="Q168">
        <v>48.679237360852298</v>
      </c>
    </row>
    <row r="169" spans="1:17" x14ac:dyDescent="0.3">
      <c r="A169" s="1">
        <v>45845</v>
      </c>
      <c r="B169" s="3">
        <v>290.557373046875</v>
      </c>
      <c r="C169" s="3">
        <v>294.607688598001</v>
      </c>
      <c r="D169" s="3">
        <v>288.67650278974497</v>
      </c>
      <c r="E169" s="3">
        <v>293.821502323598</v>
      </c>
      <c r="G169" s="1">
        <v>45845</v>
      </c>
      <c r="H169" s="3">
        <v>141.884506225585</v>
      </c>
      <c r="I169">
        <v>143.28617403790199</v>
      </c>
      <c r="J169">
        <v>140.660507614267</v>
      </c>
      <c r="K169">
        <v>142.24972517996</v>
      </c>
      <c r="M169" s="1">
        <v>45845</v>
      </c>
      <c r="N169" s="3">
        <v>48.390838623046797</v>
      </c>
      <c r="O169">
        <v>48.937795557014297</v>
      </c>
      <c r="P169">
        <v>48.102441838258002</v>
      </c>
      <c r="Q169">
        <v>48.470397926545701</v>
      </c>
    </row>
    <row r="170" spans="1:17" x14ac:dyDescent="0.3">
      <c r="A170" s="1">
        <v>45846</v>
      </c>
      <c r="B170" s="3">
        <v>281.41183471679602</v>
      </c>
      <c r="C170" s="3">
        <v>288.29836729820198</v>
      </c>
      <c r="D170" s="3">
        <v>278.95378401211002</v>
      </c>
      <c r="E170" s="3">
        <v>287.87042467023599</v>
      </c>
      <c r="G170" s="1">
        <v>45846</v>
      </c>
      <c r="H170" s="3">
        <v>139.30819702148401</v>
      </c>
      <c r="I170">
        <v>142.200367239207</v>
      </c>
      <c r="J170">
        <v>139.19961637832401</v>
      </c>
      <c r="K170">
        <v>141.75617917603199</v>
      </c>
      <c r="M170" s="1">
        <v>45846</v>
      </c>
      <c r="N170" s="3">
        <v>46.889194488525298</v>
      </c>
      <c r="O170">
        <v>47.525653764932599</v>
      </c>
      <c r="P170">
        <v>46.501348560467903</v>
      </c>
      <c r="Q170">
        <v>47.237256969811703</v>
      </c>
    </row>
    <row r="171" spans="1:17" x14ac:dyDescent="0.3">
      <c r="A171" s="1">
        <v>45847</v>
      </c>
      <c r="B171" s="3">
        <v>281.79000854492102</v>
      </c>
      <c r="C171" s="3">
        <v>285.81047057229699</v>
      </c>
      <c r="D171" s="3">
        <v>281.113305834649</v>
      </c>
      <c r="E171" s="3">
        <v>285.790547900278</v>
      </c>
      <c r="G171" s="1">
        <v>45847</v>
      </c>
      <c r="H171" s="3">
        <v>139.72277832031199</v>
      </c>
      <c r="I171">
        <v>141.09483464244599</v>
      </c>
      <c r="J171">
        <v>139.08115992998799</v>
      </c>
      <c r="K171">
        <v>141.055342555321</v>
      </c>
      <c r="M171" s="1">
        <v>45847</v>
      </c>
      <c r="N171" s="3">
        <v>46.580909729003899</v>
      </c>
      <c r="O171">
        <v>47.187536186579898</v>
      </c>
      <c r="P171">
        <v>46.451627747816303</v>
      </c>
      <c r="Q171">
        <v>46.899139379929501</v>
      </c>
    </row>
    <row r="172" spans="1:17" x14ac:dyDescent="0.3">
      <c r="A172" s="1">
        <v>45848</v>
      </c>
      <c r="B172" s="3">
        <v>286.79568481445301</v>
      </c>
      <c r="C172" s="3">
        <v>286.91509937261401</v>
      </c>
      <c r="D172" s="3">
        <v>281.63079258445799</v>
      </c>
      <c r="E172" s="3">
        <v>281.63079258445799</v>
      </c>
      <c r="G172" s="1">
        <v>45848</v>
      </c>
      <c r="H172" s="3">
        <v>141.24288940429599</v>
      </c>
      <c r="I172">
        <v>141.31199302443201</v>
      </c>
      <c r="J172">
        <v>139.49574866138599</v>
      </c>
      <c r="K172">
        <v>139.93005617808299</v>
      </c>
      <c r="M172" s="1">
        <v>45848</v>
      </c>
      <c r="N172" s="3">
        <v>46.710189819335902</v>
      </c>
      <c r="O172">
        <v>46.958806961157201</v>
      </c>
      <c r="P172">
        <v>46.5212383636499</v>
      </c>
      <c r="Q172">
        <v>46.640577323113597</v>
      </c>
    </row>
    <row r="173" spans="1:17" x14ac:dyDescent="0.3">
      <c r="A173" s="1">
        <v>45849</v>
      </c>
      <c r="B173" s="3">
        <v>285.472076416015</v>
      </c>
      <c r="C173" s="3">
        <v>285.98957994715698</v>
      </c>
      <c r="D173" s="3">
        <v>282.27761579845702</v>
      </c>
      <c r="E173" s="3">
        <v>284.13856335563202</v>
      </c>
      <c r="G173" s="1">
        <v>45849</v>
      </c>
      <c r="H173" s="3">
        <v>140.44334411621</v>
      </c>
      <c r="I173">
        <v>140.611147824006</v>
      </c>
      <c r="J173">
        <v>139.29831463285799</v>
      </c>
      <c r="K173">
        <v>140.02876759192401</v>
      </c>
      <c r="M173" s="1">
        <v>45849</v>
      </c>
      <c r="N173" s="3">
        <v>46.4715156555175</v>
      </c>
      <c r="O173">
        <v>46.551074961760797</v>
      </c>
      <c r="P173">
        <v>45.994171198847603</v>
      </c>
      <c r="Q173">
        <v>46.382013332792098</v>
      </c>
    </row>
    <row r="174" spans="1:17" x14ac:dyDescent="0.3">
      <c r="A174" s="1">
        <v>45852</v>
      </c>
      <c r="B174" s="3">
        <v>287.30322265625</v>
      </c>
      <c r="C174" s="3">
        <v>287.900295437914</v>
      </c>
      <c r="D174" s="3">
        <v>283.879863648379</v>
      </c>
      <c r="E174" s="3">
        <v>285.68110406956401</v>
      </c>
      <c r="G174" s="1">
        <v>45852</v>
      </c>
      <c r="H174" s="3">
        <v>142.11152648925699</v>
      </c>
      <c r="I174">
        <v>142.19049559557601</v>
      </c>
      <c r="J174">
        <v>140.16695554888</v>
      </c>
      <c r="K174">
        <v>140.611143592834</v>
      </c>
      <c r="M174" s="1">
        <v>45852</v>
      </c>
      <c r="N174" s="3">
        <v>46.809635162353501</v>
      </c>
      <c r="O174">
        <v>46.809635162353501</v>
      </c>
      <c r="P174">
        <v>46.292511052092401</v>
      </c>
      <c r="Q174">
        <v>46.5510750040212</v>
      </c>
    </row>
    <row r="175" spans="1:17" x14ac:dyDescent="0.3">
      <c r="A175" s="1">
        <v>45853</v>
      </c>
      <c r="B175" s="3">
        <v>285.16360473632801</v>
      </c>
      <c r="C175" s="3">
        <v>290.537502810582</v>
      </c>
      <c r="D175" s="3">
        <v>284.098804679919</v>
      </c>
      <c r="E175" s="3">
        <v>286.60660150995699</v>
      </c>
      <c r="G175" s="1">
        <v>45853</v>
      </c>
      <c r="H175" s="3">
        <v>139.76225280761699</v>
      </c>
      <c r="I175">
        <v>142.14114644278001</v>
      </c>
      <c r="J175">
        <v>139.722775783027</v>
      </c>
      <c r="K175">
        <v>141.44030499631401</v>
      </c>
      <c r="M175" s="1">
        <v>45853</v>
      </c>
      <c r="N175" s="3">
        <v>45.894725799560497</v>
      </c>
      <c r="O175">
        <v>46.749965578976798</v>
      </c>
      <c r="P175">
        <v>45.695831327809202</v>
      </c>
      <c r="Q175">
        <v>46.620687396895498</v>
      </c>
    </row>
    <row r="176" spans="1:17" x14ac:dyDescent="0.3">
      <c r="A176" s="1">
        <v>45854</v>
      </c>
      <c r="B176" s="3">
        <v>284.43713378906199</v>
      </c>
      <c r="C176" s="3">
        <v>289.32338154204001</v>
      </c>
      <c r="D176" s="3">
        <v>281.64073174918002</v>
      </c>
      <c r="E176" s="3">
        <v>287.00463769720199</v>
      </c>
      <c r="G176" s="1">
        <v>45854</v>
      </c>
      <c r="H176" s="3">
        <v>137.98548889160099</v>
      </c>
      <c r="I176">
        <v>138.19278469584501</v>
      </c>
      <c r="J176">
        <v>133.51396642031699</v>
      </c>
      <c r="K176">
        <v>137.69923903621699</v>
      </c>
      <c r="M176" s="1">
        <v>45854</v>
      </c>
      <c r="N176" s="3">
        <v>45.775386810302699</v>
      </c>
      <c r="O176">
        <v>46.302457729136997</v>
      </c>
      <c r="P176">
        <v>44.761028419273998</v>
      </c>
      <c r="Q176">
        <v>45.994171108445101</v>
      </c>
    </row>
    <row r="177" spans="1:17" x14ac:dyDescent="0.3">
      <c r="A177" s="1">
        <v>45855</v>
      </c>
      <c r="B177" s="3">
        <v>288.49740600585898</v>
      </c>
      <c r="C177" s="3">
        <v>288.89546466051002</v>
      </c>
      <c r="D177" s="3">
        <v>282.068669141947</v>
      </c>
      <c r="E177" s="3">
        <v>282.068669141947</v>
      </c>
      <c r="G177" s="1">
        <v>45855</v>
      </c>
      <c r="H177" s="3">
        <v>139.08114624023401</v>
      </c>
      <c r="I177">
        <v>139.86095673510201</v>
      </c>
      <c r="J177">
        <v>137.334005633294</v>
      </c>
      <c r="K177">
        <v>137.462317249275</v>
      </c>
      <c r="M177" s="1">
        <v>45855</v>
      </c>
      <c r="N177" s="3">
        <v>46.759914398193303</v>
      </c>
      <c r="O177">
        <v>46.958808878490501</v>
      </c>
      <c r="P177">
        <v>45.188652176801597</v>
      </c>
      <c r="Q177">
        <v>45.387546657098802</v>
      </c>
    </row>
    <row r="178" spans="1:17" x14ac:dyDescent="0.3">
      <c r="A178" s="1">
        <v>45856</v>
      </c>
      <c r="B178" s="3">
        <v>289.860748291015</v>
      </c>
      <c r="C178" s="3">
        <v>291.08480816107101</v>
      </c>
      <c r="D178" s="3">
        <v>286.835478475961</v>
      </c>
      <c r="E178" s="3">
        <v>288.11921525073501</v>
      </c>
      <c r="G178" s="1">
        <v>45856</v>
      </c>
      <c r="H178" s="3">
        <v>139.01206970214801</v>
      </c>
      <c r="I178">
        <v>139.92019189148601</v>
      </c>
      <c r="J178">
        <v>138.39019736284899</v>
      </c>
      <c r="K178">
        <v>139.62406148887601</v>
      </c>
      <c r="M178" s="1">
        <v>45856</v>
      </c>
      <c r="N178" s="3">
        <v>47.058254241943303</v>
      </c>
      <c r="O178">
        <v>47.117923724137</v>
      </c>
      <c r="P178">
        <v>46.640579247377701</v>
      </c>
      <c r="Q178">
        <v>46.749967607671103</v>
      </c>
    </row>
    <row r="179" spans="1:17" x14ac:dyDescent="0.3">
      <c r="A179" s="1">
        <v>45859</v>
      </c>
      <c r="B179" s="3">
        <v>289.56222534179602</v>
      </c>
      <c r="C179" s="3">
        <v>292.75668616305302</v>
      </c>
      <c r="D179" s="3">
        <v>289.17409766869002</v>
      </c>
      <c r="E179" s="3">
        <v>289.59207898050198</v>
      </c>
      <c r="G179" s="1">
        <v>45859</v>
      </c>
      <c r="H179" s="3">
        <v>138.65670776367099</v>
      </c>
      <c r="I179">
        <v>140.68024781914301</v>
      </c>
      <c r="J179">
        <v>138.37044286929699</v>
      </c>
      <c r="K179">
        <v>139.41677223619601</v>
      </c>
      <c r="M179" s="1">
        <v>45859</v>
      </c>
      <c r="N179" s="3">
        <v>47.217369079589801</v>
      </c>
      <c r="O179">
        <v>47.774272866082804</v>
      </c>
      <c r="P179">
        <v>46.938919083141599</v>
      </c>
      <c r="Q179">
        <v>47.277038561798697</v>
      </c>
    </row>
    <row r="180" spans="1:17" x14ac:dyDescent="0.3">
      <c r="A180" s="1">
        <v>45860</v>
      </c>
      <c r="B180" s="3">
        <v>290.01998901367102</v>
      </c>
      <c r="C180" s="3">
        <v>292.20935706825901</v>
      </c>
      <c r="D180" s="3">
        <v>287.78087501826798</v>
      </c>
      <c r="E180" s="3">
        <v>290.08965762675501</v>
      </c>
      <c r="G180" s="1">
        <v>45860</v>
      </c>
      <c r="H180" s="3">
        <v>138.23225402832</v>
      </c>
      <c r="I180">
        <v>139.07128762772001</v>
      </c>
      <c r="J180">
        <v>137.13658212245099</v>
      </c>
      <c r="K180">
        <v>138.982453028767</v>
      </c>
      <c r="M180" s="1">
        <v>45860</v>
      </c>
      <c r="N180" s="3">
        <v>47.505764007568303</v>
      </c>
      <c r="O180">
        <v>47.903549159104202</v>
      </c>
      <c r="P180">
        <v>47.197477385410799</v>
      </c>
      <c r="Q180">
        <v>47.336702378128201</v>
      </c>
    </row>
    <row r="181" spans="1:17" x14ac:dyDescent="0.3">
      <c r="A181" s="1">
        <v>45861</v>
      </c>
      <c r="B181" s="3">
        <v>295.32421875</v>
      </c>
      <c r="C181" s="3">
        <v>295.55308652202501</v>
      </c>
      <c r="D181" s="3">
        <v>291.134565801218</v>
      </c>
      <c r="E181" s="3">
        <v>291.42317122021501</v>
      </c>
      <c r="G181" s="1">
        <v>45861</v>
      </c>
      <c r="H181" s="3">
        <v>140.374252319335</v>
      </c>
      <c r="I181">
        <v>140.788828834052</v>
      </c>
      <c r="J181">
        <v>138.123670428021</v>
      </c>
      <c r="K181">
        <v>138.962704009448</v>
      </c>
      <c r="M181" s="1">
        <v>45861</v>
      </c>
      <c r="N181" s="3">
        <v>47.873714447021399</v>
      </c>
      <c r="O181">
        <v>48.042776069861503</v>
      </c>
      <c r="P181">
        <v>47.545541804655898</v>
      </c>
      <c r="Q181">
        <v>47.744432475860997</v>
      </c>
    </row>
    <row r="182" spans="1:17" x14ac:dyDescent="0.3">
      <c r="A182" s="1">
        <v>45862</v>
      </c>
      <c r="B182" s="3">
        <v>295.11520385742102</v>
      </c>
      <c r="C182" s="3">
        <v>298.14050407118901</v>
      </c>
      <c r="D182" s="3">
        <v>294.76692154199202</v>
      </c>
      <c r="E182" s="3">
        <v>295.98102008785202</v>
      </c>
      <c r="G182" s="1">
        <v>45862</v>
      </c>
      <c r="H182" s="3">
        <v>140.66050720214801</v>
      </c>
      <c r="I182">
        <v>141.86475976699899</v>
      </c>
      <c r="J182">
        <v>140.01890389577699</v>
      </c>
      <c r="K182">
        <v>140.63089566873501</v>
      </c>
      <c r="M182" s="1">
        <v>45862</v>
      </c>
      <c r="N182" s="3">
        <v>48.1223335266113</v>
      </c>
      <c r="O182">
        <v>48.728959961681099</v>
      </c>
      <c r="P182">
        <v>47.943328880407201</v>
      </c>
      <c r="Q182">
        <v>48.221782659833899</v>
      </c>
    </row>
    <row r="183" spans="1:17" x14ac:dyDescent="0.3">
      <c r="A183" s="1">
        <v>45863</v>
      </c>
      <c r="B183" s="3">
        <v>297.175201416015</v>
      </c>
      <c r="C183" s="3">
        <v>297.45384549542803</v>
      </c>
      <c r="D183" s="3">
        <v>294.52806747662697</v>
      </c>
      <c r="E183" s="3">
        <v>295.26450783430403</v>
      </c>
      <c r="G183" s="1">
        <v>45863</v>
      </c>
      <c r="H183" s="3">
        <v>141.16392517089801</v>
      </c>
      <c r="I183">
        <v>141.52915920371501</v>
      </c>
      <c r="J183">
        <v>140.21632593214099</v>
      </c>
      <c r="K183">
        <v>141.07509056635499</v>
      </c>
      <c r="M183" s="1">
        <v>45863</v>
      </c>
      <c r="N183" s="3">
        <v>48.182003021240199</v>
      </c>
      <c r="O183">
        <v>48.281448360896597</v>
      </c>
      <c r="P183">
        <v>47.674821925641702</v>
      </c>
      <c r="Q183">
        <v>48.122333541288398</v>
      </c>
    </row>
    <row r="184" spans="1:17" x14ac:dyDescent="0.3">
      <c r="A184" s="1">
        <v>45866</v>
      </c>
      <c r="B184" s="3">
        <v>296.83685302734301</v>
      </c>
      <c r="C184" s="3">
        <v>297.98128299458898</v>
      </c>
      <c r="D184" s="3">
        <v>295.38392533944699</v>
      </c>
      <c r="E184" s="3">
        <v>296.219857586042</v>
      </c>
      <c r="G184" s="1">
        <v>45866</v>
      </c>
      <c r="H184" s="3">
        <v>140.7197265625</v>
      </c>
      <c r="I184">
        <v>141.29224129643299</v>
      </c>
      <c r="J184">
        <v>140.18670391328899</v>
      </c>
      <c r="K184">
        <v>141.19352614644501</v>
      </c>
      <c r="M184" s="1">
        <v>45866</v>
      </c>
      <c r="N184" s="3">
        <v>47.963218688964801</v>
      </c>
      <c r="O184">
        <v>48.271505311443697</v>
      </c>
      <c r="P184">
        <v>47.814050679582003</v>
      </c>
      <c r="Q184">
        <v>48.182002988375402</v>
      </c>
    </row>
    <row r="185" spans="1:17" x14ac:dyDescent="0.3">
      <c r="A185" s="1">
        <v>45867</v>
      </c>
      <c r="B185" s="3">
        <v>295.60287475585898</v>
      </c>
      <c r="C185" s="3">
        <v>299.83231247997799</v>
      </c>
      <c r="D185" s="3">
        <v>294.76694247360098</v>
      </c>
      <c r="E185" s="3">
        <v>298.54854523189999</v>
      </c>
      <c r="G185" s="1">
        <v>45867</v>
      </c>
      <c r="H185" s="3">
        <v>141.70681762695301</v>
      </c>
      <c r="I185">
        <v>142.19049776234499</v>
      </c>
      <c r="J185">
        <v>140.26567283467</v>
      </c>
      <c r="K185">
        <v>141.647594561765</v>
      </c>
      <c r="M185" s="1">
        <v>45867</v>
      </c>
      <c r="N185" s="3">
        <v>47.684768676757798</v>
      </c>
      <c r="O185">
        <v>48.241668647898798</v>
      </c>
      <c r="P185">
        <v>47.625099196879901</v>
      </c>
      <c r="Q185">
        <v>48.122333481739503</v>
      </c>
    </row>
    <row r="186" spans="1:17" x14ac:dyDescent="0.3">
      <c r="A186" s="1">
        <v>45868</v>
      </c>
      <c r="B186" s="3">
        <v>298.18032836914</v>
      </c>
      <c r="C186" s="3">
        <v>299.15556747472101</v>
      </c>
      <c r="D186" s="3">
        <v>295.94121436888202</v>
      </c>
      <c r="E186" s="3">
        <v>295.98102934357701</v>
      </c>
      <c r="G186" s="1">
        <v>45868</v>
      </c>
      <c r="H186" s="3">
        <v>143.06900024414</v>
      </c>
      <c r="I186">
        <v>143.60202286235599</v>
      </c>
      <c r="J186">
        <v>141.43042524525001</v>
      </c>
      <c r="K186">
        <v>141.97332841497999</v>
      </c>
      <c r="M186" s="1">
        <v>45868</v>
      </c>
      <c r="N186" s="3">
        <v>47.694713592529297</v>
      </c>
      <c r="O186">
        <v>48.231727552025298</v>
      </c>
      <c r="P186">
        <v>47.475933078124598</v>
      </c>
      <c r="Q186">
        <v>47.993053416605903</v>
      </c>
    </row>
    <row r="187" spans="1:17" x14ac:dyDescent="0.3">
      <c r="A187" s="1">
        <v>45869</v>
      </c>
      <c r="B187" s="3">
        <v>294.80670166015602</v>
      </c>
      <c r="C187" s="3">
        <v>299.523788919639</v>
      </c>
      <c r="D187" s="3">
        <v>294.07029169712501</v>
      </c>
      <c r="E187" s="3">
        <v>297.69269497782801</v>
      </c>
      <c r="G187" s="1">
        <v>45869</v>
      </c>
      <c r="H187" s="3">
        <v>141.59797668457</v>
      </c>
      <c r="I187">
        <v>143.82441266682901</v>
      </c>
      <c r="J187">
        <v>141.140753485951</v>
      </c>
      <c r="K187">
        <v>142.33348921451301</v>
      </c>
      <c r="M187" s="1">
        <v>45869</v>
      </c>
      <c r="N187" s="3">
        <v>47.008529663085902</v>
      </c>
      <c r="O187">
        <v>47.764324105559197</v>
      </c>
      <c r="P187">
        <v>46.928970356722097</v>
      </c>
      <c r="Q187">
        <v>47.4958171369762</v>
      </c>
    </row>
    <row r="188" spans="1:17" x14ac:dyDescent="0.3">
      <c r="A188" s="1">
        <v>45870</v>
      </c>
      <c r="B188" s="3">
        <v>287.969970703125</v>
      </c>
      <c r="C188" s="3">
        <v>290.38820663449701</v>
      </c>
      <c r="D188" s="3">
        <v>282.86478571249597</v>
      </c>
      <c r="E188" s="3">
        <v>288.99498616189101</v>
      </c>
      <c r="G188" s="1">
        <v>45870</v>
      </c>
      <c r="H188" s="3">
        <v>138.24835205078099</v>
      </c>
      <c r="I188">
        <v>138.725458453638</v>
      </c>
      <c r="J188">
        <v>135.34602301579201</v>
      </c>
      <c r="K188">
        <v>138.42727074346601</v>
      </c>
      <c r="M188" s="1">
        <v>45870</v>
      </c>
      <c r="N188" s="3">
        <v>45.407436370849602</v>
      </c>
      <c r="O188">
        <v>46.153287824899998</v>
      </c>
      <c r="P188">
        <v>45.069316893269502</v>
      </c>
      <c r="Q188">
        <v>46.103565153349301</v>
      </c>
    </row>
    <row r="189" spans="1:17" x14ac:dyDescent="0.3">
      <c r="A189" s="1">
        <v>45873</v>
      </c>
      <c r="B189" s="3">
        <v>292.83630371093699</v>
      </c>
      <c r="C189" s="3">
        <v>292.89601098582</v>
      </c>
      <c r="D189" s="3">
        <v>288.85565674576901</v>
      </c>
      <c r="E189" s="3">
        <v>288.85565674576901</v>
      </c>
      <c r="G189" s="1">
        <v>45873</v>
      </c>
      <c r="H189" s="3">
        <v>140.504623413085</v>
      </c>
      <c r="I189">
        <v>140.92208014983601</v>
      </c>
      <c r="J189">
        <v>138.86461372110401</v>
      </c>
      <c r="K189">
        <v>139.33175577191801</v>
      </c>
      <c r="M189" s="1">
        <v>45873</v>
      </c>
      <c r="N189" s="3">
        <v>45.596382141113203</v>
      </c>
      <c r="O189">
        <v>45.8549460921625</v>
      </c>
      <c r="P189">
        <v>45.387544653140303</v>
      </c>
      <c r="Q189">
        <v>45.705774290126598</v>
      </c>
    </row>
    <row r="190" spans="1:17" x14ac:dyDescent="0.3">
      <c r="A190" s="1">
        <v>45874</v>
      </c>
      <c r="B190" s="3">
        <v>289.96026611328102</v>
      </c>
      <c r="C190" s="3">
        <v>294.35889428779399</v>
      </c>
      <c r="D190" s="3">
        <v>285.85024334176001</v>
      </c>
      <c r="E190" s="3">
        <v>293.26421031948303</v>
      </c>
      <c r="G190" s="1">
        <v>45874</v>
      </c>
      <c r="H190" s="3">
        <v>139.61007690429599</v>
      </c>
      <c r="I190">
        <v>141.846462053235</v>
      </c>
      <c r="J190">
        <v>138.56642746816701</v>
      </c>
      <c r="K190">
        <v>140.80281261710499</v>
      </c>
      <c r="M190" s="1">
        <v>45874</v>
      </c>
      <c r="N190" s="3">
        <v>45.307991027832003</v>
      </c>
      <c r="O190">
        <v>45.7455558485143</v>
      </c>
      <c r="P190">
        <v>44.502470091761197</v>
      </c>
      <c r="Q190">
        <v>45.695833176963497</v>
      </c>
    </row>
    <row r="191" spans="1:17" x14ac:dyDescent="0.3">
      <c r="A191" s="1">
        <v>45875</v>
      </c>
      <c r="B191" s="3">
        <v>289.94039916992102</v>
      </c>
      <c r="C191" s="3">
        <v>291.87101550926701</v>
      </c>
      <c r="D191" s="3">
        <v>288.75615418743803</v>
      </c>
      <c r="E191" s="3">
        <v>290.885784666657</v>
      </c>
      <c r="G191" s="1">
        <v>45875</v>
      </c>
      <c r="H191" s="3">
        <v>140.44499206542901</v>
      </c>
      <c r="I191">
        <v>140.99166703055101</v>
      </c>
      <c r="J191">
        <v>139.65976388831101</v>
      </c>
      <c r="K191">
        <v>140.29589062050999</v>
      </c>
      <c r="M191" s="1">
        <v>45875</v>
      </c>
      <c r="N191" s="3">
        <v>45.1687622070312</v>
      </c>
      <c r="O191">
        <v>45.685886336735201</v>
      </c>
      <c r="P191">
        <v>45.138929362839498</v>
      </c>
      <c r="Q191">
        <v>45.457159012873298</v>
      </c>
    </row>
    <row r="192" spans="1:17" x14ac:dyDescent="0.3">
      <c r="A192" s="1">
        <v>45876</v>
      </c>
      <c r="B192" s="3">
        <v>285.55172729492102</v>
      </c>
      <c r="C192" s="3">
        <v>292.04017125169599</v>
      </c>
      <c r="D192" s="3">
        <v>285.02429275946201</v>
      </c>
      <c r="E192" s="3">
        <v>291.52269805254298</v>
      </c>
      <c r="G192" s="1">
        <v>45876</v>
      </c>
      <c r="H192" s="3">
        <v>140.06727600097599</v>
      </c>
      <c r="I192">
        <v>141.84645301036801</v>
      </c>
      <c r="J192">
        <v>139.74922024218401</v>
      </c>
      <c r="K192">
        <v>141.36934662249399</v>
      </c>
      <c r="M192" s="1">
        <v>45876</v>
      </c>
      <c r="N192" s="3">
        <v>44.6715278625488</v>
      </c>
      <c r="O192">
        <v>45.506881641499199</v>
      </c>
      <c r="P192">
        <v>44.532302864989802</v>
      </c>
      <c r="Q192">
        <v>45.457158970027699</v>
      </c>
    </row>
    <row r="193" spans="1:17" x14ac:dyDescent="0.3">
      <c r="A193" s="1">
        <v>45877</v>
      </c>
      <c r="B193" s="3">
        <v>287.36291503906199</v>
      </c>
      <c r="C193" s="3">
        <v>289.820965762593</v>
      </c>
      <c r="D193" s="3">
        <v>283.33249175217799</v>
      </c>
      <c r="E193" s="3">
        <v>287.581851837633</v>
      </c>
      <c r="G193" s="1">
        <v>45877</v>
      </c>
      <c r="H193" s="3">
        <v>142.31359863281199</v>
      </c>
      <c r="I193">
        <v>143.05906032044001</v>
      </c>
      <c r="J193">
        <v>140.425101757405</v>
      </c>
      <c r="K193">
        <v>140.76304074917999</v>
      </c>
      <c r="M193" s="1">
        <v>45877</v>
      </c>
      <c r="N193" s="3">
        <v>45.755496978759702</v>
      </c>
      <c r="O193">
        <v>46.043893772898201</v>
      </c>
      <c r="P193">
        <v>44.731195571380901</v>
      </c>
      <c r="Q193">
        <v>44.900257199998698</v>
      </c>
    </row>
    <row r="194" spans="1:17" x14ac:dyDescent="0.3">
      <c r="A194" s="1">
        <v>45880</v>
      </c>
      <c r="B194" s="3">
        <v>288.15902709960898</v>
      </c>
      <c r="C194" s="3">
        <v>289.91052145664901</v>
      </c>
      <c r="D194" s="3">
        <v>287.38280216772603</v>
      </c>
      <c r="E194" s="3">
        <v>287.99979757897597</v>
      </c>
      <c r="G194" s="1">
        <v>45880</v>
      </c>
      <c r="H194" s="3">
        <v>143.00938415527301</v>
      </c>
      <c r="I194">
        <v>143.31750591256801</v>
      </c>
      <c r="J194">
        <v>141.796765185851</v>
      </c>
      <c r="K194">
        <v>142.70126239797801</v>
      </c>
      <c r="M194" s="1">
        <v>45880</v>
      </c>
      <c r="N194" s="3">
        <v>45.904670715332003</v>
      </c>
      <c r="O194">
        <v>46.262680020577498</v>
      </c>
      <c r="P194">
        <v>45.556608220563596</v>
      </c>
      <c r="Q194">
        <v>45.8052253721401</v>
      </c>
    </row>
    <row r="195" spans="1:17" x14ac:dyDescent="0.3">
      <c r="A195" s="1">
        <v>45881</v>
      </c>
      <c r="B195" s="3">
        <v>291.43313598632801</v>
      </c>
      <c r="C195" s="3">
        <v>293.32393731146601</v>
      </c>
      <c r="D195" s="3">
        <v>288.93527017752899</v>
      </c>
      <c r="E195" s="3">
        <v>290.08966149717497</v>
      </c>
      <c r="G195" s="1">
        <v>45881</v>
      </c>
      <c r="H195" s="3">
        <v>146.39872741699199</v>
      </c>
      <c r="I195">
        <v>147.33304181351301</v>
      </c>
      <c r="J195">
        <v>143.94368757691501</v>
      </c>
      <c r="K195">
        <v>144.19217480294901</v>
      </c>
      <c r="M195" s="1">
        <v>45881</v>
      </c>
      <c r="N195" s="3">
        <v>47.237258911132798</v>
      </c>
      <c r="O195">
        <v>47.396373736773803</v>
      </c>
      <c r="P195">
        <v>46.103565304241002</v>
      </c>
      <c r="Q195">
        <v>46.222900475072599</v>
      </c>
    </row>
    <row r="196" spans="1:17" x14ac:dyDescent="0.3">
      <c r="A196" s="1">
        <v>45882</v>
      </c>
      <c r="B196" s="3">
        <v>289.12435913085898</v>
      </c>
      <c r="C196" s="3">
        <v>293.12489866954502</v>
      </c>
      <c r="D196" s="3">
        <v>285.77066869398601</v>
      </c>
      <c r="E196" s="3">
        <v>292.52782588013503</v>
      </c>
      <c r="G196" s="1">
        <v>45882</v>
      </c>
      <c r="H196" s="3">
        <v>146.86589050292901</v>
      </c>
      <c r="I196">
        <v>148.177910388886</v>
      </c>
      <c r="J196">
        <v>144.510236358957</v>
      </c>
      <c r="K196">
        <v>147.25352998442401</v>
      </c>
      <c r="M196" s="1">
        <v>45882</v>
      </c>
      <c r="N196" s="3">
        <v>46.9786987304687</v>
      </c>
      <c r="O196">
        <v>47.495819068476798</v>
      </c>
      <c r="P196">
        <v>46.730081578366203</v>
      </c>
      <c r="Q196">
        <v>47.416263552474298</v>
      </c>
    </row>
    <row r="197" spans="1:17" x14ac:dyDescent="0.3">
      <c r="A197" s="1">
        <v>45883</v>
      </c>
      <c r="B197" s="3">
        <v>292.73678588867102</v>
      </c>
      <c r="C197" s="3">
        <v>292.77660086250398</v>
      </c>
      <c r="D197" s="3">
        <v>288.23866568319897</v>
      </c>
      <c r="E197" s="3">
        <v>289.17408979382401</v>
      </c>
      <c r="G197" s="1">
        <v>45883</v>
      </c>
      <c r="H197" s="3">
        <v>147.61135864257801</v>
      </c>
      <c r="I197">
        <v>147.76046009054599</v>
      </c>
      <c r="J197">
        <v>145.28552165226799</v>
      </c>
      <c r="K197">
        <v>146.11050113169401</v>
      </c>
      <c r="M197" s="1">
        <v>45883</v>
      </c>
      <c r="N197" s="3">
        <v>47.446094512939403</v>
      </c>
      <c r="O197">
        <v>47.4659843395495</v>
      </c>
      <c r="P197">
        <v>46.630630589908797</v>
      </c>
      <c r="Q197">
        <v>46.829525062413097</v>
      </c>
    </row>
    <row r="198" spans="1:17" x14ac:dyDescent="0.3">
      <c r="A198" s="1">
        <v>45884</v>
      </c>
      <c r="B198" s="3">
        <v>289.08453369140602</v>
      </c>
      <c r="C198" s="3">
        <v>294.07030389201299</v>
      </c>
      <c r="D198" s="3">
        <v>288.41779231072201</v>
      </c>
      <c r="E198" s="3">
        <v>293.41349347750702</v>
      </c>
      <c r="G198" s="1">
        <v>45884</v>
      </c>
      <c r="H198" s="3">
        <v>143.75483703613199</v>
      </c>
      <c r="I198">
        <v>147.909536238459</v>
      </c>
      <c r="J198">
        <v>143.585867539844</v>
      </c>
      <c r="K198">
        <v>147.730632712904</v>
      </c>
      <c r="M198" s="1">
        <v>45884</v>
      </c>
      <c r="N198" s="3">
        <v>46.680355072021399</v>
      </c>
      <c r="O198">
        <v>47.555488508859703</v>
      </c>
      <c r="P198">
        <v>46.640579210853502</v>
      </c>
      <c r="Q198">
        <v>47.485876009819997</v>
      </c>
    </row>
    <row r="199" spans="1:17" x14ac:dyDescent="0.3">
      <c r="A199" s="1">
        <v>45887</v>
      </c>
      <c r="B199" s="3">
        <v>290.11950683593699</v>
      </c>
      <c r="C199" s="3">
        <v>290.48771182814897</v>
      </c>
      <c r="D199" s="3">
        <v>287.01460700223498</v>
      </c>
      <c r="E199" s="3">
        <v>288.59691055710499</v>
      </c>
      <c r="G199" s="1">
        <v>45887</v>
      </c>
      <c r="H199" s="3">
        <v>143.90393066406199</v>
      </c>
      <c r="I199">
        <v>144.18223516234701</v>
      </c>
      <c r="J199">
        <v>142.94974814607301</v>
      </c>
      <c r="K199">
        <v>143.237986674133</v>
      </c>
      <c r="M199" s="1">
        <v>45887</v>
      </c>
      <c r="N199" s="3">
        <v>47.654933929443303</v>
      </c>
      <c r="O199">
        <v>47.7742728939307</v>
      </c>
      <c r="P199">
        <v>46.531187132495702</v>
      </c>
      <c r="Q199">
        <v>46.660465320295401</v>
      </c>
    </row>
    <row r="200" spans="1:17" x14ac:dyDescent="0.3">
      <c r="A200" s="1">
        <v>45888</v>
      </c>
      <c r="B200" s="3">
        <v>289.25372314453102</v>
      </c>
      <c r="C200" s="3">
        <v>291.06492485115598</v>
      </c>
      <c r="D200" s="3">
        <v>288.12918548745102</v>
      </c>
      <c r="E200" s="3">
        <v>289.42288363793898</v>
      </c>
      <c r="G200" s="1">
        <v>45888</v>
      </c>
      <c r="H200" s="3">
        <v>143.19822692871</v>
      </c>
      <c r="I200">
        <v>144.092774882284</v>
      </c>
      <c r="J200">
        <v>142.55215103650099</v>
      </c>
      <c r="K200">
        <v>143.615683651475</v>
      </c>
      <c r="M200" s="1">
        <v>45888</v>
      </c>
      <c r="N200" s="3">
        <v>47.814048767089801</v>
      </c>
      <c r="O200">
        <v>47.853824625176301</v>
      </c>
      <c r="P200">
        <v>47.366537169648097</v>
      </c>
      <c r="Q200">
        <v>47.555484824747303</v>
      </c>
    </row>
    <row r="201" spans="1:17" x14ac:dyDescent="0.3">
      <c r="A201" s="1">
        <v>45889</v>
      </c>
      <c r="B201" s="3">
        <v>290.826080322265</v>
      </c>
      <c r="C201" s="3">
        <v>291.910803060793</v>
      </c>
      <c r="D201" s="3">
        <v>285.88012486608397</v>
      </c>
      <c r="E201" s="3">
        <v>289.40300620960397</v>
      </c>
      <c r="G201" s="1">
        <v>45889</v>
      </c>
      <c r="H201" s="3">
        <v>143.24790954589801</v>
      </c>
      <c r="I201">
        <v>143.83435091902899</v>
      </c>
      <c r="J201">
        <v>140.17661110776399</v>
      </c>
      <c r="K201">
        <v>142.94973701128799</v>
      </c>
      <c r="M201" s="1">
        <v>45889</v>
      </c>
      <c r="N201" s="3">
        <v>48.082553863525298</v>
      </c>
      <c r="O201">
        <v>48.231725666530501</v>
      </c>
      <c r="P201">
        <v>47.6052094049438</v>
      </c>
      <c r="Q201">
        <v>47.9035492173577</v>
      </c>
    </row>
    <row r="202" spans="1:17" x14ac:dyDescent="0.3">
      <c r="A202" s="1">
        <v>45890</v>
      </c>
      <c r="B202" s="3">
        <v>290.059814453125</v>
      </c>
      <c r="C202" s="3">
        <v>291.353512660283</v>
      </c>
      <c r="D202" s="3">
        <v>288.06949082984698</v>
      </c>
      <c r="E202" s="3">
        <v>290.52754171939199</v>
      </c>
      <c r="G202" s="1">
        <v>45890</v>
      </c>
      <c r="H202" s="3">
        <v>143.16839599609301</v>
      </c>
      <c r="I202">
        <v>143.57591869390501</v>
      </c>
      <c r="J202">
        <v>142.03529483211099</v>
      </c>
      <c r="K202">
        <v>142.542218488667</v>
      </c>
      <c r="M202" s="1">
        <v>45890</v>
      </c>
      <c r="N202" s="3">
        <v>47.993049621582003</v>
      </c>
      <c r="O202">
        <v>48.221780722003899</v>
      </c>
      <c r="P202">
        <v>47.545541817651703</v>
      </c>
      <c r="Q202">
        <v>48.002996431302797</v>
      </c>
    </row>
    <row r="203" spans="1:17" x14ac:dyDescent="0.3">
      <c r="A203" s="1">
        <v>45891</v>
      </c>
      <c r="B203" s="3">
        <v>294.80670166015602</v>
      </c>
      <c r="C203" s="3">
        <v>295.722263816024</v>
      </c>
      <c r="D203" s="3">
        <v>288.726278057451</v>
      </c>
      <c r="E203" s="3">
        <v>291.781431862342</v>
      </c>
      <c r="G203" s="1">
        <v>45891</v>
      </c>
      <c r="H203" s="3">
        <v>147.12432861328099</v>
      </c>
      <c r="I203">
        <v>147.99899338077299</v>
      </c>
      <c r="J203">
        <v>143.794593546371</v>
      </c>
      <c r="K203">
        <v>143.94369498954401</v>
      </c>
      <c r="M203" s="1">
        <v>45891</v>
      </c>
      <c r="N203" s="3">
        <v>49.206302642822202</v>
      </c>
      <c r="O203">
        <v>49.3853072825599</v>
      </c>
      <c r="P203">
        <v>48.191944282173999</v>
      </c>
      <c r="Q203">
        <v>48.2516137599521</v>
      </c>
    </row>
    <row r="204" spans="1:17" x14ac:dyDescent="0.3">
      <c r="A204" s="1">
        <v>45894</v>
      </c>
      <c r="B204" s="3">
        <v>293.47320556640602</v>
      </c>
      <c r="C204" s="3">
        <v>295.91136409796098</v>
      </c>
      <c r="D204" s="3">
        <v>292.71690325815098</v>
      </c>
      <c r="E204" s="3">
        <v>294.80671871956702</v>
      </c>
      <c r="G204" s="1">
        <v>45894</v>
      </c>
      <c r="H204" s="3">
        <v>146.75656127929599</v>
      </c>
      <c r="I204">
        <v>147.71075897625599</v>
      </c>
      <c r="J204">
        <v>146.67705870713601</v>
      </c>
      <c r="K204">
        <v>147.08456626367499</v>
      </c>
      <c r="M204" s="1">
        <v>45894</v>
      </c>
      <c r="N204" s="3">
        <v>49.206302642822202</v>
      </c>
      <c r="O204">
        <v>49.3853072825599</v>
      </c>
      <c r="P204">
        <v>48.937795683215697</v>
      </c>
      <c r="Q204">
        <v>49.116800322953402</v>
      </c>
    </row>
    <row r="205" spans="1:17" x14ac:dyDescent="0.3">
      <c r="A205" s="1">
        <v>45895</v>
      </c>
      <c r="B205" s="3">
        <v>297.12545776367102</v>
      </c>
      <c r="C205" s="3">
        <v>297.29461825787098</v>
      </c>
      <c r="D205" s="3">
        <v>292.07998028730202</v>
      </c>
      <c r="E205" s="3">
        <v>292.73679070167498</v>
      </c>
      <c r="G205" s="1">
        <v>45895</v>
      </c>
      <c r="H205" s="3">
        <v>148.06857299804599</v>
      </c>
      <c r="I205">
        <v>148.12820750708499</v>
      </c>
      <c r="J205">
        <v>145.41473118060901</v>
      </c>
      <c r="K205">
        <v>146.42856333364401</v>
      </c>
      <c r="M205" s="1">
        <v>45895</v>
      </c>
      <c r="N205" s="3">
        <v>49.9720458984375</v>
      </c>
      <c r="O205">
        <v>49.9819889150059</v>
      </c>
      <c r="P205">
        <v>48.9775773233442</v>
      </c>
      <c r="Q205">
        <v>48.9775773233442</v>
      </c>
    </row>
    <row r="206" spans="1:17" x14ac:dyDescent="0.3">
      <c r="A206" s="1">
        <v>45896</v>
      </c>
      <c r="B206" s="3">
        <v>297.83200073242102</v>
      </c>
      <c r="C206" s="3">
        <v>299.613348729069</v>
      </c>
      <c r="D206" s="3">
        <v>295.60284818014202</v>
      </c>
      <c r="E206" s="3">
        <v>295.81182363943702</v>
      </c>
      <c r="G206" s="1">
        <v>45896</v>
      </c>
      <c r="H206" s="3">
        <v>148.47608947753901</v>
      </c>
      <c r="I206">
        <v>149.211601946813</v>
      </c>
      <c r="J206">
        <v>147.13425241455201</v>
      </c>
      <c r="K206">
        <v>147.472191395919</v>
      </c>
      <c r="M206" s="1">
        <v>45896</v>
      </c>
      <c r="N206" s="3">
        <v>50.101325988769503</v>
      </c>
      <c r="O206">
        <v>50.3499431231808</v>
      </c>
      <c r="P206">
        <v>49.713483866063299</v>
      </c>
      <c r="Q206">
        <v>49.7532597244358</v>
      </c>
    </row>
    <row r="207" spans="1:17" x14ac:dyDescent="0.3">
      <c r="A207" s="1">
        <v>45897</v>
      </c>
      <c r="B207" s="3">
        <v>299.61337280273398</v>
      </c>
      <c r="C207" s="3">
        <v>299.78253330292199</v>
      </c>
      <c r="D207" s="3">
        <v>297.25484417712499</v>
      </c>
      <c r="E207" s="3">
        <v>298.56843468244898</v>
      </c>
      <c r="G207" s="1">
        <v>45897</v>
      </c>
      <c r="H207" s="3">
        <v>149.271240234375</v>
      </c>
      <c r="I207">
        <v>149.47997617901001</v>
      </c>
      <c r="J207">
        <v>148.27729132297301</v>
      </c>
      <c r="K207">
        <v>148.93330124444799</v>
      </c>
      <c r="M207" s="1">
        <v>45897</v>
      </c>
      <c r="N207" s="3">
        <v>50.210720062255803</v>
      </c>
      <c r="O207">
        <v>50.359888072470604</v>
      </c>
      <c r="P207">
        <v>50.001878778200599</v>
      </c>
      <c r="Q207">
        <v>50.270385748903102</v>
      </c>
    </row>
    <row r="208" spans="1:17" x14ac:dyDescent="0.3">
      <c r="A208" s="1">
        <v>45898</v>
      </c>
      <c r="B208" s="3">
        <v>299.961669921875</v>
      </c>
      <c r="C208" s="3">
        <v>301.48426619409003</v>
      </c>
      <c r="D208" s="3">
        <v>298.27984412427298</v>
      </c>
      <c r="E208" s="3">
        <v>300.57866535154102</v>
      </c>
      <c r="G208" s="1">
        <v>45898</v>
      </c>
      <c r="H208" s="3">
        <v>149.56942749023401</v>
      </c>
      <c r="I208">
        <v>149.837797942111</v>
      </c>
      <c r="J208">
        <v>148.22760556376099</v>
      </c>
      <c r="K208">
        <v>148.98300127422399</v>
      </c>
      <c r="M208" s="1">
        <v>45898</v>
      </c>
      <c r="N208" s="3">
        <v>50.459335327148402</v>
      </c>
      <c r="O208">
        <v>50.638336174020999</v>
      </c>
      <c r="P208">
        <v>50.230604224862901</v>
      </c>
      <c r="Q208">
        <v>50.230604224862901</v>
      </c>
    </row>
    <row r="209" spans="1:17" x14ac:dyDescent="0.3">
      <c r="A209" s="1">
        <v>45902</v>
      </c>
      <c r="B209" s="3">
        <v>298.25</v>
      </c>
      <c r="C209" s="3">
        <v>299.00630230729899</v>
      </c>
      <c r="D209" s="3">
        <v>293.07514655462899</v>
      </c>
      <c r="E209" s="3">
        <v>298.80728817166403</v>
      </c>
      <c r="G209" s="1">
        <v>45902</v>
      </c>
      <c r="H209" s="3">
        <v>147.94931030273401</v>
      </c>
      <c r="I209">
        <v>148.16798028952701</v>
      </c>
      <c r="J209">
        <v>144.778610660694</v>
      </c>
      <c r="K209">
        <v>147.66105660811701</v>
      </c>
      <c r="M209" s="1">
        <v>45902</v>
      </c>
      <c r="N209" s="3">
        <v>50.141101837158203</v>
      </c>
      <c r="O209">
        <v>50.190828298907597</v>
      </c>
      <c r="P209">
        <v>49.3952504340728</v>
      </c>
      <c r="Q209">
        <v>49.942211164545903</v>
      </c>
    </row>
    <row r="210" spans="1:17" x14ac:dyDescent="0.3">
      <c r="A210" s="1">
        <v>45903</v>
      </c>
      <c r="B210" s="3">
        <v>298.06091308593699</v>
      </c>
      <c r="C210" s="3">
        <v>299.115782138329</v>
      </c>
      <c r="D210" s="3">
        <v>294.94605186956397</v>
      </c>
      <c r="E210" s="3">
        <v>299.115782138329</v>
      </c>
      <c r="G210" s="1">
        <v>45903</v>
      </c>
      <c r="H210" s="3">
        <v>147.63124084472599</v>
      </c>
      <c r="I210">
        <v>148.64507305133699</v>
      </c>
      <c r="J210">
        <v>146.050865605848</v>
      </c>
      <c r="K210">
        <v>147.90954534592001</v>
      </c>
      <c r="M210" s="1">
        <v>45903</v>
      </c>
      <c r="N210" s="3">
        <v>49.783096313476499</v>
      </c>
      <c r="O210">
        <v>50.290273598017002</v>
      </c>
      <c r="P210">
        <v>49.425087033284903</v>
      </c>
      <c r="Q210">
        <v>50.121215767702303</v>
      </c>
    </row>
    <row r="211" spans="1:17" x14ac:dyDescent="0.3">
      <c r="A211" s="1">
        <v>45904</v>
      </c>
      <c r="B211" s="3">
        <v>302.35006713867102</v>
      </c>
      <c r="C211" s="3">
        <v>302.95710126266698</v>
      </c>
      <c r="D211" s="3">
        <v>296.83686223074602</v>
      </c>
      <c r="E211" s="3">
        <v>298.54854175158499</v>
      </c>
      <c r="G211" s="1">
        <v>45904</v>
      </c>
      <c r="H211" s="3">
        <v>149.61912536621</v>
      </c>
      <c r="I211">
        <v>149.837795335572</v>
      </c>
      <c r="J211">
        <v>147.78031385106499</v>
      </c>
      <c r="K211">
        <v>148.12820202953799</v>
      </c>
      <c r="M211" s="1">
        <v>45904</v>
      </c>
      <c r="N211" s="3">
        <v>50.339996337890597</v>
      </c>
      <c r="O211">
        <v>50.548837614031001</v>
      </c>
      <c r="P211">
        <v>49.842762068825998</v>
      </c>
      <c r="Q211">
        <v>49.962101024790897</v>
      </c>
    </row>
    <row r="212" spans="1:17" x14ac:dyDescent="0.3">
      <c r="A212" s="1">
        <v>45905</v>
      </c>
      <c r="B212" s="3">
        <v>292.95571899414</v>
      </c>
      <c r="C212" s="3">
        <v>303.67360004151402</v>
      </c>
      <c r="D212" s="3">
        <v>292.88605038329302</v>
      </c>
      <c r="E212" s="3">
        <v>302.18085742583901</v>
      </c>
      <c r="G212" s="1">
        <v>45905</v>
      </c>
      <c r="H212" s="3">
        <v>147.19389343261699</v>
      </c>
      <c r="I212">
        <v>150.94108514606</v>
      </c>
      <c r="J212">
        <v>145.40478232497401</v>
      </c>
      <c r="K212">
        <v>150.20555747779099</v>
      </c>
      <c r="M212" s="1">
        <v>45905</v>
      </c>
      <c r="N212" s="3">
        <v>49.770000457763601</v>
      </c>
      <c r="O212">
        <v>50.790000915527301</v>
      </c>
      <c r="P212">
        <v>49.2299995422363</v>
      </c>
      <c r="Q212">
        <v>50.439998626708899</v>
      </c>
    </row>
    <row r="213" spans="1:17" x14ac:dyDescent="0.3">
      <c r="A213" s="1">
        <v>45908</v>
      </c>
      <c r="B213" s="3">
        <v>291.49282836914</v>
      </c>
      <c r="C213" s="3">
        <v>295.02564039164099</v>
      </c>
      <c r="D213" s="3">
        <v>290.02993939924602</v>
      </c>
      <c r="E213" s="3">
        <v>293.46325954387203</v>
      </c>
      <c r="G213" s="1">
        <v>45908</v>
      </c>
      <c r="H213" s="3">
        <v>147.8896484375</v>
      </c>
      <c r="I213">
        <v>148.297171121709</v>
      </c>
      <c r="J213">
        <v>146.35897382254501</v>
      </c>
      <c r="K213">
        <v>147.42250641307299</v>
      </c>
      <c r="M213" s="1">
        <v>45908</v>
      </c>
      <c r="N213" s="3">
        <v>49.459999084472599</v>
      </c>
      <c r="O213">
        <v>49.909999847412102</v>
      </c>
      <c r="P213">
        <v>48.880001068115199</v>
      </c>
      <c r="Q213">
        <v>49.799999237060497</v>
      </c>
    </row>
    <row r="214" spans="1:17" x14ac:dyDescent="0.3">
      <c r="A214" s="1">
        <v>45909</v>
      </c>
      <c r="B214" s="3">
        <v>296.408935546875</v>
      </c>
      <c r="C214" s="3">
        <v>297.55336549402</v>
      </c>
      <c r="D214" s="3">
        <v>290.89573090671701</v>
      </c>
      <c r="E214" s="3">
        <v>291.184336319973</v>
      </c>
      <c r="G214" s="1">
        <v>45909</v>
      </c>
      <c r="H214" s="3">
        <v>151.298904418945</v>
      </c>
      <c r="I214">
        <v>151.895279832022</v>
      </c>
      <c r="J214">
        <v>147.45232698732201</v>
      </c>
      <c r="K214">
        <v>147.52189552452199</v>
      </c>
      <c r="M214" s="1">
        <v>45909</v>
      </c>
      <c r="N214" s="3">
        <v>50.290000915527301</v>
      </c>
      <c r="O214">
        <v>50.560001373291001</v>
      </c>
      <c r="P214">
        <v>49.459999084472599</v>
      </c>
      <c r="Q214">
        <v>49.5</v>
      </c>
    </row>
    <row r="215" spans="1:17" x14ac:dyDescent="0.3">
      <c r="A215" s="1">
        <v>45910</v>
      </c>
      <c r="B215" s="3">
        <v>299.0859375</v>
      </c>
      <c r="C215" s="3">
        <v>300.08109930540502</v>
      </c>
      <c r="D215" s="3">
        <v>293.97079124265201</v>
      </c>
      <c r="E215" s="3">
        <v>295.26451981163598</v>
      </c>
      <c r="G215" s="1">
        <v>45910</v>
      </c>
      <c r="H215" s="3">
        <v>153.187408447265</v>
      </c>
      <c r="I215">
        <v>153.59493115971199</v>
      </c>
      <c r="J215">
        <v>150.503749295821</v>
      </c>
      <c r="K215">
        <v>151.97478950603099</v>
      </c>
      <c r="M215" s="1">
        <v>45910</v>
      </c>
      <c r="N215" s="3">
        <v>50.130001068115199</v>
      </c>
      <c r="O215">
        <v>50.630001068115199</v>
      </c>
      <c r="P215">
        <v>49.970001220703097</v>
      </c>
      <c r="Q215">
        <v>50.369998931884702</v>
      </c>
    </row>
    <row r="216" spans="1:17" x14ac:dyDescent="0.3">
      <c r="A216" s="1">
        <v>45911</v>
      </c>
      <c r="B216" s="3">
        <v>304.08163452148398</v>
      </c>
      <c r="C216" s="3">
        <v>304.25082538877399</v>
      </c>
      <c r="D216" s="3">
        <v>299.33472371013403</v>
      </c>
      <c r="E216" s="3">
        <v>299.78252829426498</v>
      </c>
      <c r="G216" s="1">
        <v>45911</v>
      </c>
      <c r="H216" s="3">
        <v>155.53312683105401</v>
      </c>
      <c r="I216">
        <v>156.80538026868001</v>
      </c>
      <c r="J216">
        <v>153.14765542712101</v>
      </c>
      <c r="K216">
        <v>153.45577717376301</v>
      </c>
      <c r="M216" s="1">
        <v>45911</v>
      </c>
      <c r="N216" s="3">
        <v>50.75</v>
      </c>
      <c r="O216">
        <v>50.959999084472599</v>
      </c>
      <c r="P216">
        <v>49.990001678466797</v>
      </c>
      <c r="Q216">
        <v>50.139999389648402</v>
      </c>
    </row>
    <row r="217" spans="1:17" x14ac:dyDescent="0.3">
      <c r="A217" s="1">
        <v>45912</v>
      </c>
      <c r="B217" s="3">
        <v>305.42510986328102</v>
      </c>
      <c r="C217" s="3">
        <v>306.06199761912501</v>
      </c>
      <c r="D217" s="3">
        <v>302.230649007887</v>
      </c>
      <c r="E217" s="3">
        <v>303.52434719220997</v>
      </c>
      <c r="G217" s="1">
        <v>45912</v>
      </c>
      <c r="H217" s="3">
        <v>155.44367980957</v>
      </c>
      <c r="I217">
        <v>155.92077107162501</v>
      </c>
      <c r="J217">
        <v>154.67833485114801</v>
      </c>
      <c r="K217">
        <v>155.09579160125301</v>
      </c>
      <c r="M217" s="1">
        <v>45912</v>
      </c>
      <c r="N217" s="3">
        <v>50.580001831054602</v>
      </c>
      <c r="O217">
        <v>50.930000305175703</v>
      </c>
      <c r="P217">
        <v>50.459999084472599</v>
      </c>
      <c r="Q217">
        <v>50.700000762939403</v>
      </c>
    </row>
    <row r="218" spans="1:17" x14ac:dyDescent="0.3">
      <c r="A218" s="1">
        <v>45915</v>
      </c>
      <c r="B218" s="3">
        <v>307.40545654296801</v>
      </c>
      <c r="C218" s="3">
        <v>308.45039459576799</v>
      </c>
      <c r="D218" s="3">
        <v>305.68384616318701</v>
      </c>
      <c r="E218" s="3">
        <v>305.68384616318701</v>
      </c>
      <c r="G218" s="1">
        <v>45915</v>
      </c>
      <c r="H218" s="3">
        <v>155.69215393066401</v>
      </c>
      <c r="I218">
        <v>157.521016253103</v>
      </c>
      <c r="J218">
        <v>154.93675823221</v>
      </c>
      <c r="K218">
        <v>156.39786431765299</v>
      </c>
      <c r="M218" s="1">
        <v>45915</v>
      </c>
      <c r="N218" s="3">
        <v>50.590000152587798</v>
      </c>
      <c r="O218">
        <v>51.090000152587798</v>
      </c>
      <c r="P218">
        <v>50.459999084472599</v>
      </c>
      <c r="Q218">
        <v>50.849998474121001</v>
      </c>
    </row>
    <row r="219" spans="1:17" x14ac:dyDescent="0.3">
      <c r="A219" s="1">
        <v>45916</v>
      </c>
      <c r="B219" s="3">
        <v>307.69406127929602</v>
      </c>
      <c r="C219" s="3">
        <v>309.395779353656</v>
      </c>
      <c r="D219" s="3">
        <v>305.644030521432</v>
      </c>
      <c r="E219" s="3">
        <v>308.50013986030501</v>
      </c>
      <c r="G219" s="1">
        <v>45916</v>
      </c>
      <c r="H219" s="3">
        <v>154.8671875</v>
      </c>
      <c r="I219">
        <v>156.54696369581299</v>
      </c>
      <c r="J219">
        <v>154.28076124419999</v>
      </c>
      <c r="K219">
        <v>156.129506945933</v>
      </c>
      <c r="M219" s="1">
        <v>45916</v>
      </c>
      <c r="N219" s="3">
        <v>50.659999847412102</v>
      </c>
      <c r="O219">
        <v>50.880001068115199</v>
      </c>
      <c r="P219">
        <v>50.209999084472599</v>
      </c>
      <c r="Q219">
        <v>50.639999389648402</v>
      </c>
    </row>
    <row r="220" spans="1:17" x14ac:dyDescent="0.3">
      <c r="A220" s="1">
        <v>45917</v>
      </c>
      <c r="B220" s="3">
        <v>310.24166870117102</v>
      </c>
      <c r="C220" s="3">
        <v>311.396059950032</v>
      </c>
      <c r="D220" s="3">
        <v>307.27607581858501</v>
      </c>
      <c r="E220" s="3">
        <v>308.88826332866802</v>
      </c>
      <c r="G220" s="1">
        <v>45917</v>
      </c>
      <c r="H220" s="3">
        <v>156.45750427246</v>
      </c>
      <c r="I220">
        <v>157.014113245066</v>
      </c>
      <c r="J220">
        <v>154.708144454034</v>
      </c>
      <c r="K220">
        <v>155.69215935189899</v>
      </c>
      <c r="M220" s="1">
        <v>45917</v>
      </c>
      <c r="N220" s="3">
        <v>51.400001525878899</v>
      </c>
      <c r="O220">
        <v>51.630001068115199</v>
      </c>
      <c r="P220">
        <v>50.790000915527301</v>
      </c>
      <c r="Q220">
        <v>50.860000610351499</v>
      </c>
    </row>
    <row r="221" spans="1:17" x14ac:dyDescent="0.3">
      <c r="A221" s="1">
        <v>45918</v>
      </c>
      <c r="B221" s="3">
        <v>311.71453857421801</v>
      </c>
      <c r="C221" s="3">
        <v>311.92351404664498</v>
      </c>
      <c r="D221" s="3">
        <v>308.11202738183698</v>
      </c>
      <c r="E221" s="3">
        <v>310.281503166292</v>
      </c>
      <c r="G221" s="1">
        <v>45918</v>
      </c>
      <c r="H221" s="3">
        <v>158.27642822265599</v>
      </c>
      <c r="I221">
        <v>159.170976165659</v>
      </c>
      <c r="J221">
        <v>156.53701764846099</v>
      </c>
      <c r="K221">
        <v>156.94452517076499</v>
      </c>
      <c r="M221" s="1">
        <v>45918</v>
      </c>
      <c r="N221" s="3">
        <v>52.130001068115199</v>
      </c>
      <c r="O221">
        <v>52.189998626708899</v>
      </c>
      <c r="P221">
        <v>51.299999237060497</v>
      </c>
      <c r="Q221">
        <v>51.490001678466797</v>
      </c>
    </row>
    <row r="222" spans="1:17" x14ac:dyDescent="0.3">
      <c r="A222" s="1">
        <v>45919</v>
      </c>
      <c r="B222" s="3">
        <v>313.25701904296801</v>
      </c>
      <c r="C222" s="3">
        <v>314.27207310967702</v>
      </c>
      <c r="D222" s="3">
        <v>307.62439981099499</v>
      </c>
      <c r="E222" s="3">
        <v>312.08273544953403</v>
      </c>
      <c r="G222" s="1">
        <v>45919</v>
      </c>
      <c r="H222" s="3">
        <v>158.9423828125</v>
      </c>
      <c r="I222">
        <v>160.11523531262401</v>
      </c>
      <c r="J222">
        <v>157.16320566992499</v>
      </c>
      <c r="K222">
        <v>158.58456057803701</v>
      </c>
      <c r="M222" s="1">
        <v>45919</v>
      </c>
      <c r="N222" s="3">
        <v>52.25</v>
      </c>
      <c r="O222">
        <v>52.659999847412102</v>
      </c>
      <c r="P222">
        <v>51.759998321533203</v>
      </c>
      <c r="Q222">
        <v>52.150001525878899</v>
      </c>
    </row>
    <row r="223" spans="1:17" x14ac:dyDescent="0.3">
      <c r="A223" s="1">
        <v>45922</v>
      </c>
      <c r="B223" s="3">
        <v>310.92834472656199</v>
      </c>
      <c r="C223" s="3">
        <v>312.18225827061502</v>
      </c>
      <c r="D223" s="3">
        <v>308.06227398011498</v>
      </c>
      <c r="E223" s="3">
        <v>308.301103085676</v>
      </c>
      <c r="G223" s="1">
        <v>45922</v>
      </c>
      <c r="H223" s="3">
        <v>159.737533569335</v>
      </c>
      <c r="I223">
        <v>160.05558932913999</v>
      </c>
      <c r="J223">
        <v>156.87495589881601</v>
      </c>
      <c r="K223">
        <v>158.36587924113601</v>
      </c>
      <c r="M223" s="1">
        <v>45922</v>
      </c>
      <c r="N223" s="3">
        <v>51.919998168945298</v>
      </c>
      <c r="O223">
        <v>52.349998474121001</v>
      </c>
      <c r="P223">
        <v>51.759998321533203</v>
      </c>
      <c r="Q223">
        <v>51.759998321533203</v>
      </c>
    </row>
    <row r="224" spans="1:17" x14ac:dyDescent="0.3">
      <c r="A224" s="1">
        <v>45923</v>
      </c>
      <c r="B224" s="3">
        <v>311.22686767578102</v>
      </c>
      <c r="C224" s="3">
        <v>314.77960231730702</v>
      </c>
      <c r="D224" s="3">
        <v>309.07731470872102</v>
      </c>
      <c r="E224" s="3">
        <v>310.31133589735799</v>
      </c>
      <c r="G224" s="1">
        <v>45923</v>
      </c>
      <c r="H224" s="3">
        <v>159.78723144531199</v>
      </c>
      <c r="I224">
        <v>162.98774835180399</v>
      </c>
      <c r="J224">
        <v>158.63426216309799</v>
      </c>
      <c r="K224">
        <v>159.60832791006499</v>
      </c>
      <c r="M224" s="1">
        <v>45923</v>
      </c>
      <c r="N224" s="3">
        <v>51.700000762939403</v>
      </c>
      <c r="O224">
        <v>52.880001068115199</v>
      </c>
      <c r="P224">
        <v>51.520000457763601</v>
      </c>
      <c r="Q224">
        <v>52</v>
      </c>
    </row>
    <row r="225" spans="1:17" x14ac:dyDescent="0.3">
      <c r="A225" s="1">
        <v>45924</v>
      </c>
      <c r="B225" s="3">
        <v>311.90362548828102</v>
      </c>
      <c r="C225" s="3">
        <v>315.04831005850298</v>
      </c>
      <c r="D225" s="3">
        <v>310.16209233398399</v>
      </c>
      <c r="E225" s="3">
        <v>312.530551913088</v>
      </c>
      <c r="G225" s="1">
        <v>45924</v>
      </c>
      <c r="H225" s="3">
        <v>156.92466735839801</v>
      </c>
      <c r="I225">
        <v>160.49294050077299</v>
      </c>
      <c r="J225">
        <v>156.884900906604</v>
      </c>
      <c r="K225">
        <v>160.125184237198</v>
      </c>
      <c r="M225" s="1">
        <v>45924</v>
      </c>
      <c r="N225" s="3">
        <v>51.700000762939403</v>
      </c>
      <c r="O225">
        <v>52.25</v>
      </c>
      <c r="P225">
        <v>51.459999084472599</v>
      </c>
      <c r="Q225">
        <v>51.849998474121001</v>
      </c>
    </row>
    <row r="226" spans="1:17" x14ac:dyDescent="0.3">
      <c r="A226" s="1">
        <v>45925</v>
      </c>
      <c r="B226" s="3">
        <v>311.93347167968699</v>
      </c>
      <c r="C226" s="3">
        <v>314.12280937085802</v>
      </c>
      <c r="D226" s="3">
        <v>310.29143044889997</v>
      </c>
      <c r="E226" s="3">
        <v>312.60021306425301</v>
      </c>
      <c r="G226" s="1">
        <v>45925</v>
      </c>
      <c r="H226" s="3">
        <v>157.98817443847599</v>
      </c>
      <c r="I226">
        <v>158.28636214142199</v>
      </c>
      <c r="J226">
        <v>155.68222087970801</v>
      </c>
      <c r="K226">
        <v>156.437616582907</v>
      </c>
      <c r="M226" s="1">
        <v>45925</v>
      </c>
      <c r="N226" s="3">
        <v>51.849998474121001</v>
      </c>
      <c r="O226">
        <v>52.330001831054602</v>
      </c>
      <c r="P226">
        <v>51.439998626708899</v>
      </c>
      <c r="Q226">
        <v>51.4799995422363</v>
      </c>
    </row>
    <row r="227" spans="1:17" x14ac:dyDescent="0.3">
      <c r="A227" s="1">
        <v>45926</v>
      </c>
      <c r="B227" s="3">
        <v>314.53082275390602</v>
      </c>
      <c r="C227" s="3">
        <v>316.27235583012902</v>
      </c>
      <c r="D227" s="3">
        <v>312.18225558296399</v>
      </c>
      <c r="E227" s="3">
        <v>313.37643147041803</v>
      </c>
      <c r="G227" s="1">
        <v>45926</v>
      </c>
      <c r="H227" s="3">
        <v>159.14115905761699</v>
      </c>
      <c r="I227">
        <v>160.830869155089</v>
      </c>
      <c r="J227">
        <v>158.355946099503</v>
      </c>
      <c r="K227">
        <v>158.59448412907801</v>
      </c>
      <c r="M227" s="1">
        <v>45926</v>
      </c>
      <c r="N227" s="3">
        <v>52.209999084472599</v>
      </c>
      <c r="O227">
        <v>52.619998931884702</v>
      </c>
      <c r="P227">
        <v>51.9799995422363</v>
      </c>
      <c r="Q227">
        <v>52.110000610351499</v>
      </c>
    </row>
    <row r="228" spans="1:17" x14ac:dyDescent="0.3">
      <c r="A228" s="1">
        <v>45929</v>
      </c>
      <c r="B228" s="3">
        <v>314.16262817382801</v>
      </c>
      <c r="C228" s="3">
        <v>316.47141081731502</v>
      </c>
      <c r="D228" s="3">
        <v>312.14245095325799</v>
      </c>
      <c r="E228" s="3">
        <v>315.52599496806403</v>
      </c>
      <c r="G228" s="1">
        <v>45929</v>
      </c>
      <c r="H228" s="3">
        <v>160.184814453125</v>
      </c>
      <c r="I228">
        <v>160.34384992311999</v>
      </c>
      <c r="J228">
        <v>158.75352555608299</v>
      </c>
      <c r="K228">
        <v>159.71765723905</v>
      </c>
      <c r="M228" s="1">
        <v>45929</v>
      </c>
      <c r="N228" s="3">
        <v>52.419998168945298</v>
      </c>
      <c r="O228">
        <v>52.549999237060497</v>
      </c>
      <c r="P228">
        <v>52.110000610351499</v>
      </c>
      <c r="Q228">
        <v>52.360000610351499</v>
      </c>
    </row>
    <row r="229" spans="1:17" x14ac:dyDescent="0.3">
      <c r="A229" s="1">
        <v>45930</v>
      </c>
      <c r="B229" s="3">
        <v>313.90386962890602</v>
      </c>
      <c r="C229" s="3">
        <v>315.87430086546499</v>
      </c>
      <c r="D229" s="3">
        <v>308.60960172698498</v>
      </c>
      <c r="E229" s="3">
        <v>314.71990956858502</v>
      </c>
      <c r="G229" s="1">
        <v>45930</v>
      </c>
      <c r="H229" s="3">
        <v>157.998123168945</v>
      </c>
      <c r="I229">
        <v>161.24832513876001</v>
      </c>
      <c r="J229">
        <v>155.89094119640001</v>
      </c>
      <c r="K229">
        <v>160.41341170613501</v>
      </c>
      <c r="M229" s="1">
        <v>45930</v>
      </c>
      <c r="N229" s="3">
        <v>51.590000152587798</v>
      </c>
      <c r="O229">
        <v>52.569999694824197</v>
      </c>
      <c r="P229">
        <v>51.020000457763601</v>
      </c>
      <c r="Q229">
        <v>52.4799995422363</v>
      </c>
    </row>
    <row r="230" spans="1:17" x14ac:dyDescent="0.3">
      <c r="A230" s="1">
        <v>45931</v>
      </c>
      <c r="B230" s="3">
        <v>309.20669555664</v>
      </c>
      <c r="C230" s="3">
        <v>313.06792796484098</v>
      </c>
      <c r="D230" s="3">
        <v>305.92267396447102</v>
      </c>
      <c r="E230" s="3">
        <v>312.45093254557901</v>
      </c>
      <c r="G230" s="1">
        <v>45931</v>
      </c>
      <c r="H230" s="3">
        <v>155.94064331054599</v>
      </c>
      <c r="I230">
        <v>157.48126714867999</v>
      </c>
      <c r="J230">
        <v>154.60875541598699</v>
      </c>
      <c r="K230">
        <v>156.92465818775699</v>
      </c>
      <c r="M230" s="1">
        <v>45931</v>
      </c>
      <c r="N230" s="3">
        <v>50.680000305175703</v>
      </c>
      <c r="O230">
        <v>51.680000305175703</v>
      </c>
      <c r="P230">
        <v>50.560001373291001</v>
      </c>
      <c r="Q230">
        <v>51.299999237060497</v>
      </c>
    </row>
    <row r="231" spans="1:17" x14ac:dyDescent="0.3">
      <c r="A231" s="1">
        <v>45932</v>
      </c>
      <c r="B231" s="3">
        <v>306.06198120117102</v>
      </c>
      <c r="C231" s="3">
        <v>309.05742775902399</v>
      </c>
      <c r="D231" s="3">
        <v>304.65882987233402</v>
      </c>
      <c r="E231" s="3">
        <v>308.500139613832</v>
      </c>
      <c r="G231" s="1">
        <v>45932</v>
      </c>
      <c r="H231" s="3">
        <v>154.36027526855401</v>
      </c>
      <c r="I231">
        <v>156.059919483144</v>
      </c>
      <c r="J231">
        <v>152.77990007493</v>
      </c>
      <c r="K231">
        <v>155.74186370508301</v>
      </c>
      <c r="M231" s="1">
        <v>45932</v>
      </c>
      <c r="N231" s="3">
        <v>50.4799995422363</v>
      </c>
      <c r="O231">
        <v>50.849998474121001</v>
      </c>
      <c r="P231">
        <v>50.069999694824197</v>
      </c>
      <c r="Q231">
        <v>50.650001525878899</v>
      </c>
    </row>
    <row r="232" spans="1:17" x14ac:dyDescent="0.3">
      <c r="A232" s="1">
        <v>45933</v>
      </c>
      <c r="B232" s="3">
        <v>308.52999877929602</v>
      </c>
      <c r="C232" s="3">
        <v>310.152117304873</v>
      </c>
      <c r="D232" s="3">
        <v>306.718797090007</v>
      </c>
      <c r="E232" s="3">
        <v>307.01736383951902</v>
      </c>
      <c r="G232" s="1">
        <v>45933</v>
      </c>
      <c r="H232" s="3">
        <v>156.63641357421801</v>
      </c>
      <c r="I232">
        <v>156.84514952986899</v>
      </c>
      <c r="J232">
        <v>155.215073835803</v>
      </c>
      <c r="K232">
        <v>155.98040361812301</v>
      </c>
      <c r="M232" s="1">
        <v>45933</v>
      </c>
      <c r="N232" s="3">
        <v>50.639999389648402</v>
      </c>
      <c r="O232">
        <v>51.130001068115199</v>
      </c>
      <c r="P232">
        <v>50.549999237060497</v>
      </c>
      <c r="Q232">
        <v>50.619998931884702</v>
      </c>
    </row>
    <row r="233" spans="1:17" x14ac:dyDescent="0.3">
      <c r="A233" s="1">
        <v>45936</v>
      </c>
      <c r="B233" s="3">
        <v>309.17999267578102</v>
      </c>
      <c r="C233" s="3">
        <v>311.75</v>
      </c>
      <c r="D233" s="3">
        <v>305.13000488281199</v>
      </c>
      <c r="E233" s="3">
        <v>310.17999267578102</v>
      </c>
      <c r="G233" s="1">
        <v>45936</v>
      </c>
      <c r="H233" s="3">
        <v>157.133377075195</v>
      </c>
      <c r="I233">
        <v>157.76950376094999</v>
      </c>
      <c r="J233">
        <v>154.072012660479</v>
      </c>
      <c r="K233">
        <v>157.04392531464899</v>
      </c>
      <c r="M233" s="1">
        <v>45936</v>
      </c>
      <c r="N233" s="3">
        <v>50.389999389648402</v>
      </c>
      <c r="O233">
        <v>51.319999694824197</v>
      </c>
      <c r="P233">
        <v>49.889999389648402</v>
      </c>
      <c r="Q233">
        <v>50.930000305175703</v>
      </c>
    </row>
    <row r="234" spans="1:17" x14ac:dyDescent="0.3">
      <c r="A234" s="1">
        <v>45937</v>
      </c>
      <c r="B234" s="3">
        <v>307.69000244140602</v>
      </c>
      <c r="C234" s="3">
        <v>310.010009765625</v>
      </c>
      <c r="D234" s="3">
        <v>304.70001220703102</v>
      </c>
      <c r="E234" s="3">
        <v>309.350006103515</v>
      </c>
      <c r="G234" s="1">
        <v>45937</v>
      </c>
      <c r="H234" s="3">
        <v>155.02621459960901</v>
      </c>
      <c r="I234">
        <v>158.32611713455901</v>
      </c>
      <c r="J234">
        <v>154.459656434089</v>
      </c>
      <c r="K234">
        <v>157.81920864419101</v>
      </c>
      <c r="M234" s="1">
        <v>45937</v>
      </c>
      <c r="N234" s="3">
        <v>50.290000915527301</v>
      </c>
      <c r="O234">
        <v>50.909999847412102</v>
      </c>
      <c r="P234">
        <v>50.130001068115199</v>
      </c>
      <c r="Q234">
        <v>50.549999237060497</v>
      </c>
    </row>
    <row r="235" spans="1:17" x14ac:dyDescent="0.3">
      <c r="A235" s="1">
        <v>45938</v>
      </c>
      <c r="B235" s="3">
        <v>304.02999877929602</v>
      </c>
      <c r="C235" s="3">
        <v>308.77999877929602</v>
      </c>
      <c r="D235" s="3">
        <v>303.54998779296801</v>
      </c>
      <c r="E235" s="3">
        <v>308.20999145507801</v>
      </c>
      <c r="G235" s="1">
        <v>45938</v>
      </c>
      <c r="H235" s="3">
        <v>154.70814514160099</v>
      </c>
      <c r="I235">
        <v>155.60270827994199</v>
      </c>
      <c r="J235">
        <v>153.088018696235</v>
      </c>
      <c r="K235">
        <v>155.533124574829</v>
      </c>
      <c r="M235" s="1">
        <v>45938</v>
      </c>
      <c r="N235" s="3">
        <v>49.840000152587798</v>
      </c>
      <c r="O235">
        <v>50.509998321533203</v>
      </c>
      <c r="P235">
        <v>49.779998779296797</v>
      </c>
      <c r="Q235">
        <v>50.400001525878899</v>
      </c>
    </row>
    <row r="236" spans="1:17" x14ac:dyDescent="0.3">
      <c r="A236" s="1">
        <v>45939</v>
      </c>
      <c r="B236" s="3">
        <v>305.52999877929602</v>
      </c>
      <c r="C236" s="3">
        <v>308.04000854492102</v>
      </c>
      <c r="D236" s="3">
        <v>303.39001464843699</v>
      </c>
      <c r="E236" s="3">
        <v>305.04998779296801</v>
      </c>
      <c r="G236" s="1">
        <v>45939</v>
      </c>
      <c r="H236" s="3">
        <v>155.32440185546801</v>
      </c>
      <c r="I236">
        <v>155.48342215603901</v>
      </c>
      <c r="J236">
        <v>152.899164065902</v>
      </c>
      <c r="K236">
        <v>154.63857467456299</v>
      </c>
      <c r="M236" s="1">
        <v>45939</v>
      </c>
      <c r="N236" s="3">
        <v>49.790000915527301</v>
      </c>
      <c r="O236">
        <v>50.279998779296797</v>
      </c>
      <c r="P236">
        <v>49.669998168945298</v>
      </c>
      <c r="Q236">
        <v>50</v>
      </c>
    </row>
    <row r="237" spans="1:17" x14ac:dyDescent="0.3">
      <c r="A237" s="1">
        <v>45940</v>
      </c>
      <c r="B237" s="3">
        <v>300.89001464843699</v>
      </c>
      <c r="C237" s="3">
        <v>310.47000122070301</v>
      </c>
      <c r="D237" s="3">
        <v>300.80999755859301</v>
      </c>
      <c r="E237" s="3">
        <v>305.66000366210898</v>
      </c>
      <c r="G237" s="1">
        <v>45940</v>
      </c>
      <c r="H237" s="3">
        <v>150.94108581542901</v>
      </c>
      <c r="I237">
        <v>156.99423118721</v>
      </c>
      <c r="J237">
        <v>150.92120259012901</v>
      </c>
      <c r="K237">
        <v>155.900896459021</v>
      </c>
      <c r="M237" s="1">
        <v>45940</v>
      </c>
      <c r="N237" s="3">
        <v>48.650001525878899</v>
      </c>
      <c r="O237">
        <v>50.139999389648402</v>
      </c>
      <c r="P237">
        <v>48.549999237060497</v>
      </c>
      <c r="Q237">
        <v>49.930000305175703</v>
      </c>
    </row>
    <row r="238" spans="1:17" x14ac:dyDescent="0.3">
      <c r="A238" s="1">
        <v>45943</v>
      </c>
      <c r="B238" s="3">
        <v>307.97000122070301</v>
      </c>
      <c r="C238" s="3">
        <v>309.45999145507801</v>
      </c>
      <c r="D238" s="3">
        <v>305.45001220703102</v>
      </c>
      <c r="E238" s="3">
        <v>305.600006103515</v>
      </c>
      <c r="G238" s="1">
        <v>45943</v>
      </c>
      <c r="H238" s="3">
        <v>154.19129943847599</v>
      </c>
      <c r="I238">
        <v>154.678324698403</v>
      </c>
      <c r="J238">
        <v>152.422071589963</v>
      </c>
      <c r="K238">
        <v>153.34643679742399</v>
      </c>
      <c r="M238" s="1">
        <v>45943</v>
      </c>
      <c r="N238" s="3">
        <v>48.860000610351499</v>
      </c>
      <c r="O238">
        <v>49.400001525878899</v>
      </c>
      <c r="P238">
        <v>48.810001373291001</v>
      </c>
      <c r="Q238">
        <v>49.200000762939403</v>
      </c>
    </row>
    <row r="239" spans="1:17" x14ac:dyDescent="0.3">
      <c r="A239" s="1">
        <v>45944</v>
      </c>
      <c r="B239" s="3">
        <v>302.079986572265</v>
      </c>
      <c r="C239" s="3">
        <v>307</v>
      </c>
      <c r="D239" s="3">
        <v>294.20999145507801</v>
      </c>
      <c r="E239" s="3">
        <v>305.83999633789</v>
      </c>
      <c r="G239" s="1">
        <v>45944</v>
      </c>
      <c r="H239" s="3">
        <v>154.40002441406199</v>
      </c>
      <c r="I239">
        <v>156.16925231067299</v>
      </c>
      <c r="J239">
        <v>150.960969581239</v>
      </c>
      <c r="K239">
        <v>153.56511094595601</v>
      </c>
      <c r="M239" s="1">
        <v>45944</v>
      </c>
      <c r="N239" s="3">
        <v>50.090000152587798</v>
      </c>
      <c r="O239">
        <v>50.5</v>
      </c>
      <c r="P239">
        <v>48.529998779296797</v>
      </c>
      <c r="Q239">
        <v>48.849998474121001</v>
      </c>
    </row>
    <row r="240" spans="1:17" x14ac:dyDescent="0.3">
      <c r="A240" s="1">
        <v>45945</v>
      </c>
      <c r="B240" s="3">
        <v>305.69000244140602</v>
      </c>
      <c r="C240" s="3">
        <v>312.11999511718699</v>
      </c>
      <c r="D240" s="3">
        <v>305.44000244140602</v>
      </c>
      <c r="E240" s="3">
        <v>306.39001464843699</v>
      </c>
      <c r="G240" s="1">
        <v>45945</v>
      </c>
      <c r="H240" s="3">
        <v>161.66578674316401</v>
      </c>
      <c r="I240">
        <v>165.760866631369</v>
      </c>
      <c r="J240">
        <v>160.66190378785399</v>
      </c>
      <c r="K240">
        <v>161.94409122912</v>
      </c>
      <c r="M240" s="1">
        <v>45945</v>
      </c>
      <c r="N240" s="3">
        <v>52.279998779296797</v>
      </c>
      <c r="O240">
        <v>52.849998474121001</v>
      </c>
      <c r="P240">
        <v>51.2299995422363</v>
      </c>
      <c r="Q240">
        <v>51.569999694824197</v>
      </c>
    </row>
    <row r="241" spans="1:17" x14ac:dyDescent="0.3">
      <c r="A241" s="1">
        <v>45946</v>
      </c>
      <c r="B241" s="3">
        <v>298.54000854492102</v>
      </c>
      <c r="C241" s="3">
        <v>308.67999267578102</v>
      </c>
      <c r="D241" s="3">
        <v>297.07000732421801</v>
      </c>
      <c r="E241" s="3">
        <v>305.350006103515</v>
      </c>
      <c r="G241" s="1">
        <v>45946</v>
      </c>
      <c r="H241" s="3">
        <v>159.05171203613199</v>
      </c>
      <c r="I241">
        <v>163.75308622874701</v>
      </c>
      <c r="J241">
        <v>158.00806262626901</v>
      </c>
      <c r="K241">
        <v>162.10312736488399</v>
      </c>
      <c r="M241" s="1">
        <v>45946</v>
      </c>
      <c r="N241" s="3">
        <v>50.439998626708899</v>
      </c>
      <c r="O241">
        <v>52.759998321533203</v>
      </c>
      <c r="P241">
        <v>50</v>
      </c>
      <c r="Q241">
        <v>52.599998474121001</v>
      </c>
    </row>
    <row r="242" spans="1:17" x14ac:dyDescent="0.3">
      <c r="A242" s="1">
        <v>45947</v>
      </c>
      <c r="B242" s="3">
        <v>297.55999755859301</v>
      </c>
      <c r="C242" s="3">
        <v>299.54998779296801</v>
      </c>
      <c r="D242" s="3">
        <v>294.20001220703102</v>
      </c>
      <c r="E242" s="3">
        <v>299.16000366210898</v>
      </c>
      <c r="G242" s="1">
        <v>45947</v>
      </c>
      <c r="H242" s="3">
        <v>157.709869384765</v>
      </c>
      <c r="I242">
        <v>160.00588890609299</v>
      </c>
      <c r="J242">
        <v>156.89483917724101</v>
      </c>
      <c r="K242">
        <v>159.727584428748</v>
      </c>
      <c r="M242" s="1">
        <v>45947</v>
      </c>
      <c r="N242" s="3">
        <v>51.279998779296797</v>
      </c>
      <c r="O242">
        <v>51.770000457763601</v>
      </c>
      <c r="P242">
        <v>50.330001831054602</v>
      </c>
      <c r="Q242">
        <v>50.950000762939403</v>
      </c>
    </row>
    <row r="243" spans="1:17" x14ac:dyDescent="0.3">
      <c r="A243" s="1">
        <v>45950</v>
      </c>
      <c r="B243" s="3">
        <v>302.35998535156199</v>
      </c>
      <c r="C243" s="3">
        <v>303.69000244140602</v>
      </c>
      <c r="D243" s="3">
        <v>298.16000366210898</v>
      </c>
      <c r="E243" s="3">
        <v>298.5</v>
      </c>
      <c r="G243" s="1">
        <v>45950</v>
      </c>
      <c r="H243" s="3">
        <v>160.98991394042901</v>
      </c>
      <c r="I243">
        <v>162.15283240131299</v>
      </c>
      <c r="J243">
        <v>158.53485880085501</v>
      </c>
      <c r="K243">
        <v>159.23062003816301</v>
      </c>
      <c r="M243" s="1">
        <v>45950</v>
      </c>
      <c r="N243" s="3">
        <v>52.040000915527301</v>
      </c>
      <c r="O243">
        <v>52.279998779296797</v>
      </c>
      <c r="P243">
        <v>51.369998931884702</v>
      </c>
      <c r="Q243">
        <v>51.439998626708899</v>
      </c>
    </row>
    <row r="244" spans="1:17" x14ac:dyDescent="0.3">
      <c r="A244" s="1">
        <v>45951</v>
      </c>
      <c r="B244" s="3">
        <v>297.08999633789</v>
      </c>
      <c r="C244" s="3">
        <v>304.04998779296801</v>
      </c>
      <c r="D244" s="3">
        <v>297</v>
      </c>
      <c r="E244" s="3">
        <v>301.66000366210898</v>
      </c>
      <c r="G244" s="1">
        <v>45951</v>
      </c>
      <c r="H244" s="3">
        <v>158.26647949218699</v>
      </c>
      <c r="I244">
        <v>161.079356706125</v>
      </c>
      <c r="J244">
        <v>158.22672820932999</v>
      </c>
      <c r="K244">
        <v>160.47304726896601</v>
      </c>
      <c r="M244" s="1">
        <v>45951</v>
      </c>
      <c r="N244" s="3">
        <v>51.520000457763601</v>
      </c>
      <c r="O244">
        <v>52.369998931884702</v>
      </c>
      <c r="P244">
        <v>51.439998626708899</v>
      </c>
      <c r="Q244">
        <v>52.090000152587798</v>
      </c>
    </row>
    <row r="245" spans="1:17" x14ac:dyDescent="0.3">
      <c r="A245" s="1">
        <v>45952</v>
      </c>
      <c r="B245" s="3">
        <v>294.10998535156199</v>
      </c>
      <c r="C245" s="3">
        <v>298.05999755859301</v>
      </c>
      <c r="D245" s="3">
        <v>290.54000854492102</v>
      </c>
      <c r="E245" s="3">
        <v>297.76998901367102</v>
      </c>
      <c r="G245" s="1">
        <v>45952</v>
      </c>
      <c r="H245" s="3">
        <v>157.16320800781199</v>
      </c>
      <c r="I245">
        <v>158.77341567007301</v>
      </c>
      <c r="J245">
        <v>156.26865999157801</v>
      </c>
      <c r="K245">
        <v>158.604446163294</v>
      </c>
      <c r="M245" s="1">
        <v>45952</v>
      </c>
      <c r="N245" s="3">
        <v>51.099998474121001</v>
      </c>
      <c r="O245">
        <v>51.580001831054602</v>
      </c>
      <c r="P245">
        <v>50.439998626708899</v>
      </c>
      <c r="Q245">
        <v>51.5</v>
      </c>
    </row>
    <row r="246" spans="1:17" x14ac:dyDescent="0.3">
      <c r="A246" s="1">
        <v>45953</v>
      </c>
      <c r="B246" s="3">
        <v>294.54000854492102</v>
      </c>
      <c r="C246" s="3">
        <v>296.36999511718699</v>
      </c>
      <c r="D246" s="3">
        <v>292.510009765625</v>
      </c>
      <c r="E246" s="3">
        <v>294.38000488281199</v>
      </c>
      <c r="G246" s="1">
        <v>45953</v>
      </c>
      <c r="H246" s="3">
        <v>158.34600830078099</v>
      </c>
      <c r="I246">
        <v>159.12128728561501</v>
      </c>
      <c r="J246">
        <v>156.94453661032799</v>
      </c>
      <c r="K246">
        <v>157.93848558231599</v>
      </c>
      <c r="M246" s="1">
        <v>45953</v>
      </c>
      <c r="N246" s="3">
        <v>51.759998321533203</v>
      </c>
      <c r="O246">
        <v>51.799999237060497</v>
      </c>
      <c r="P246">
        <v>51.110000610351499</v>
      </c>
      <c r="Q246">
        <v>51.4799995422363</v>
      </c>
    </row>
    <row r="247" spans="1:17" x14ac:dyDescent="0.3">
      <c r="A247" s="1">
        <v>45954</v>
      </c>
      <c r="B247" s="3">
        <v>300.44000244140602</v>
      </c>
      <c r="C247" s="3">
        <v>302.600006103515</v>
      </c>
      <c r="D247" s="3">
        <v>295.45001220703102</v>
      </c>
      <c r="E247" s="3">
        <v>296.079986572265</v>
      </c>
      <c r="G247" s="1">
        <v>45954</v>
      </c>
      <c r="H247" s="3">
        <v>162.86846923828099</v>
      </c>
      <c r="I247">
        <v>163.90216943295701</v>
      </c>
      <c r="J247">
        <v>159.548683513958</v>
      </c>
      <c r="K247">
        <v>159.548683513958</v>
      </c>
      <c r="M247" s="1">
        <v>45954</v>
      </c>
      <c r="N247" s="3">
        <v>52.569999694824197</v>
      </c>
      <c r="O247">
        <v>52.819999694824197</v>
      </c>
      <c r="P247">
        <v>51.849998474121001</v>
      </c>
      <c r="Q247">
        <v>51.849998474121001</v>
      </c>
    </row>
    <row r="248" spans="1:17" x14ac:dyDescent="0.3">
      <c r="A248" s="1">
        <v>45957</v>
      </c>
      <c r="B248" s="3">
        <v>304.14999389648398</v>
      </c>
      <c r="C248" s="3">
        <v>304.52999877929602</v>
      </c>
      <c r="D248" s="3">
        <v>301.010009765625</v>
      </c>
      <c r="E248" s="3">
        <v>302.16000366210898</v>
      </c>
      <c r="G248" s="1">
        <v>45957</v>
      </c>
      <c r="H248" s="3">
        <v>165.01541137695301</v>
      </c>
      <c r="I248">
        <v>165.68135536336999</v>
      </c>
      <c r="J248">
        <v>163.90217822322401</v>
      </c>
      <c r="K248">
        <v>163.96182790093499</v>
      </c>
      <c r="M248" s="1">
        <v>45957</v>
      </c>
      <c r="N248" s="3">
        <v>53.020000457763601</v>
      </c>
      <c r="O248">
        <v>53.069999694824197</v>
      </c>
      <c r="P248">
        <v>52.529998779296797</v>
      </c>
      <c r="Q248">
        <v>52.799999237060497</v>
      </c>
    </row>
    <row r="249" spans="1:17" x14ac:dyDescent="0.3">
      <c r="A249" s="1">
        <v>45958</v>
      </c>
      <c r="B249" s="3">
        <v>305.35998535156199</v>
      </c>
      <c r="C249" s="3">
        <v>307.97000122070301</v>
      </c>
      <c r="D249" s="3">
        <v>303.16000366210898</v>
      </c>
      <c r="E249" s="3">
        <v>304.85998535156199</v>
      </c>
      <c r="G249" s="1">
        <v>45958</v>
      </c>
      <c r="H249" s="3">
        <v>164.21031188964801</v>
      </c>
      <c r="I249">
        <v>166.11869204422399</v>
      </c>
      <c r="J249">
        <v>163.385332445258</v>
      </c>
      <c r="K249">
        <v>165.114793903162</v>
      </c>
      <c r="M249" s="1">
        <v>45958</v>
      </c>
      <c r="N249" s="3">
        <v>52.869998931884702</v>
      </c>
      <c r="O249">
        <v>53.279998779296797</v>
      </c>
      <c r="P249">
        <v>52.340000152587798</v>
      </c>
      <c r="Q249">
        <v>53</v>
      </c>
    </row>
    <row r="250" spans="1:17" x14ac:dyDescent="0.3">
      <c r="A250" s="1">
        <v>45959</v>
      </c>
      <c r="B250" s="3">
        <v>305.510009765625</v>
      </c>
      <c r="C250" s="3">
        <v>308.25</v>
      </c>
      <c r="D250" s="3">
        <v>303.010009765625</v>
      </c>
      <c r="E250" s="3">
        <v>303.510009765625</v>
      </c>
      <c r="G250" s="1">
        <v>45959</v>
      </c>
      <c r="H250" s="3">
        <v>163.03744506835901</v>
      </c>
      <c r="I250">
        <v>165.01540893894301</v>
      </c>
      <c r="J250">
        <v>162.13294788383601</v>
      </c>
      <c r="K250">
        <v>163.31574956106499</v>
      </c>
      <c r="M250" s="1">
        <v>45959</v>
      </c>
      <c r="N250" s="3">
        <v>52.580001831054602</v>
      </c>
      <c r="O250">
        <v>53.009998321533203</v>
      </c>
      <c r="P250">
        <v>52.319999694824197</v>
      </c>
      <c r="Q250">
        <v>52.659999847412102</v>
      </c>
    </row>
    <row r="251" spans="1:17" x14ac:dyDescent="0.3">
      <c r="A251" s="1">
        <v>45960</v>
      </c>
      <c r="B251" s="3">
        <v>309.44000244140602</v>
      </c>
      <c r="C251" s="3">
        <v>312.60998535156199</v>
      </c>
      <c r="D251" s="3">
        <v>305.100006103515</v>
      </c>
      <c r="E251" s="3">
        <v>305.79000854492102</v>
      </c>
      <c r="G251" s="1">
        <v>45960</v>
      </c>
      <c r="H251" s="3">
        <v>164.259994506835</v>
      </c>
      <c r="I251">
        <v>165.98947110280099</v>
      </c>
      <c r="J251">
        <v>162.41124889268499</v>
      </c>
      <c r="K251">
        <v>162.82872078924601</v>
      </c>
      <c r="M251" s="1">
        <v>45960</v>
      </c>
      <c r="N251" s="3">
        <v>53.029998779296797</v>
      </c>
      <c r="O251">
        <v>53.439998626708899</v>
      </c>
      <c r="P251">
        <v>52.560001373291001</v>
      </c>
      <c r="Q251">
        <v>52.669998168945298</v>
      </c>
    </row>
    <row r="252" spans="1:17" x14ac:dyDescent="0.3">
      <c r="A252" s="1"/>
    </row>
  </sheetData>
  <mergeCells count="3">
    <mergeCell ref="A1:E1"/>
    <mergeCell ref="G1:K1"/>
    <mergeCell ref="M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Table</vt:lpstr>
      <vt:lpstr>Variance Covariance</vt:lpstr>
      <vt:lpstr>Historical Simulation</vt:lpstr>
      <vt:lpstr>Monte Carlo Simulation</vt:lpstr>
      <vt:lpstr>Backtesting (Traffic Light)</vt:lpstr>
      <vt:lpstr>Backtesting (Kupiec)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Mehul Mehta</dc:creator>
  <cp:lastModifiedBy>harish maqbool</cp:lastModifiedBy>
  <cp:lastPrinted>2023-09-29T07:19:29Z</cp:lastPrinted>
  <dcterms:created xsi:type="dcterms:W3CDTF">2023-09-29T05:42:54Z</dcterms:created>
  <dcterms:modified xsi:type="dcterms:W3CDTF">2025-11-03T14:30:20Z</dcterms:modified>
</cp:coreProperties>
</file>